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15" yWindow="-15" windowWidth="28830" windowHeight="5955" tabRatio="749" firstSheet="1" activeTab="1"/>
  </bookViews>
  <sheets>
    <sheet name="Cover Sheet" sheetId="21" r:id="rId1"/>
    <sheet name="Text File Generator" sheetId="47" r:id="rId2"/>
    <sheet name="Bond Position per Summit" sheetId="22" r:id="rId3"/>
    <sheet name="Workings" sheetId="48" r:id="rId4"/>
    <sheet name="01 - US83162CRG05" sheetId="29" r:id="rId5"/>
    <sheet name="02 - US83162CRA35" sheetId="30" r:id="rId6"/>
    <sheet name="03 - US83162CQS51" sheetId="31" r:id="rId7"/>
    <sheet name="04 - US83162CQX47" sheetId="32" r:id="rId8"/>
    <sheet name="05 - US83162CNU35" sheetId="24" r:id="rId9"/>
    <sheet name="06- US83162CPV99" sheetId="26" r:id="rId10"/>
    <sheet name="07 - US83162CMR15" sheetId="23" r:id="rId11"/>
    <sheet name="08 - US83162CQY20" sheetId="34" r:id="rId12"/>
    <sheet name="09 - 83162CRD7" sheetId="35" r:id="rId13"/>
    <sheet name="10 - US83162CQV80" sheetId="36" r:id="rId14"/>
    <sheet name="11 - US83162CNW90" sheetId="25" r:id="rId15"/>
    <sheet name="12 - US83162CQL09" sheetId="37" r:id="rId16"/>
    <sheet name="13 - US83162CPX55" sheetId="27" r:id="rId17"/>
    <sheet name="14 - US83162CQE65" sheetId="28" r:id="rId18"/>
    <sheet name="15 - US83162CQA44" sheetId="38" r:id="rId19"/>
    <sheet name="16 - US83162CPU17" sheetId="39" r:id="rId20"/>
    <sheet name="17 - US83162CPY39" sheetId="40" r:id="rId21"/>
    <sheet name="18 - US83162CQB27" sheetId="41" r:id="rId22"/>
    <sheet name="19 - US83162CQH96" sheetId="42" r:id="rId23"/>
    <sheet name="20 - US83162CRE56" sheetId="43" r:id="rId24"/>
    <sheet name="21 - US83162CQG14" sheetId="45" r:id="rId25"/>
    <sheet name="WALs" sheetId="49" r:id="rId26"/>
  </sheets>
  <functionGroups builtInGroupCount="17"/>
  <definedNames>
    <definedName name="Mtge_Cusip">'Cover Sheet'!$H$20</definedName>
    <definedName name="Today">'Cover Sheet'!$C$1</definedName>
    <definedName name="today_text">'Text File Generator'!$B$2</definedName>
  </definedNames>
  <calcPr calcId="145621"/>
  <pivotCaches>
    <pivotCache cacheId="5" r:id="rId27"/>
    <pivotCache cacheId="6" r:id="rId28"/>
    <pivotCache cacheId="7" r:id="rId29"/>
    <pivotCache cacheId="8" r:id="rId30"/>
  </pivotCaches>
</workbook>
</file>

<file path=xl/calcChain.xml><?xml version="1.0" encoding="utf-8"?>
<calcChain xmlns="http://schemas.openxmlformats.org/spreadsheetml/2006/main">
  <c r="J43" i="45" l="1"/>
  <c r="J40" i="45"/>
  <c r="J34" i="45"/>
  <c r="J31" i="45"/>
  <c r="J28" i="45"/>
  <c r="P15" i="45"/>
  <c r="E15" i="45"/>
  <c r="I15" i="45" s="1"/>
  <c r="F8" i="45" s="1"/>
  <c r="E14" i="45"/>
  <c r="I14" i="45" s="1"/>
  <c r="P14" i="45" s="1"/>
  <c r="U14" i="45" s="1"/>
  <c r="P13" i="45"/>
  <c r="I13" i="45"/>
  <c r="M12" i="45"/>
  <c r="I12" i="45"/>
  <c r="P12" i="45" s="1"/>
  <c r="U12" i="45" s="1"/>
  <c r="K7" i="45"/>
  <c r="F7" i="45"/>
  <c r="K6" i="45"/>
  <c r="F6" i="45"/>
  <c r="A4" i="45"/>
  <c r="D12" i="45" s="1"/>
  <c r="H2" i="45"/>
  <c r="G2" i="45"/>
  <c r="M5" i="45" s="1"/>
  <c r="N7" i="45" s="1"/>
  <c r="J19" i="45" s="1"/>
  <c r="E2" i="45"/>
  <c r="D2" i="45"/>
  <c r="B2" i="45"/>
  <c r="E14" i="43"/>
  <c r="P13" i="43"/>
  <c r="I13" i="43"/>
  <c r="M12" i="43"/>
  <c r="I12" i="43"/>
  <c r="P12" i="43" s="1"/>
  <c r="U12" i="43" s="1"/>
  <c r="N7" i="43"/>
  <c r="J52" i="43" s="1"/>
  <c r="K7" i="43"/>
  <c r="K6" i="43"/>
  <c r="F6" i="43"/>
  <c r="A4" i="43"/>
  <c r="H2" i="43"/>
  <c r="G2" i="43"/>
  <c r="M5" i="43" s="1"/>
  <c r="N6" i="43" s="1"/>
  <c r="E2" i="43"/>
  <c r="D2" i="43"/>
  <c r="B2" i="43"/>
  <c r="P15" i="42"/>
  <c r="E15" i="42"/>
  <c r="I15" i="42" s="1"/>
  <c r="P14" i="42"/>
  <c r="I14" i="42"/>
  <c r="E14" i="42"/>
  <c r="P13" i="42"/>
  <c r="I13" i="42"/>
  <c r="S12" i="42"/>
  <c r="P12" i="42"/>
  <c r="U12" i="42" s="1"/>
  <c r="M12" i="42"/>
  <c r="I12" i="42"/>
  <c r="F8" i="42"/>
  <c r="K7" i="42"/>
  <c r="F7" i="42"/>
  <c r="K6" i="42"/>
  <c r="F6" i="42"/>
  <c r="A4" i="42"/>
  <c r="D14" i="42" s="1"/>
  <c r="H2" i="42"/>
  <c r="G2" i="42"/>
  <c r="M5" i="42" s="1"/>
  <c r="E2" i="42"/>
  <c r="D2" i="42"/>
  <c r="B2" i="42"/>
  <c r="I14" i="41"/>
  <c r="P14" i="41" s="1"/>
  <c r="E14" i="41"/>
  <c r="I13" i="41"/>
  <c r="P13" i="41" s="1"/>
  <c r="U13" i="41" s="1"/>
  <c r="U12" i="41"/>
  <c r="S12" i="41"/>
  <c r="M12" i="41"/>
  <c r="I12" i="41"/>
  <c r="P12" i="41" s="1"/>
  <c r="K7" i="41"/>
  <c r="F7" i="41"/>
  <c r="K6" i="41"/>
  <c r="F6" i="41"/>
  <c r="A4" i="41"/>
  <c r="H2" i="41"/>
  <c r="G2" i="41"/>
  <c r="M5" i="41" s="1"/>
  <c r="E2" i="41"/>
  <c r="D2" i="41"/>
  <c r="B2" i="41"/>
  <c r="E14" i="40"/>
  <c r="R13" i="40"/>
  <c r="P13" i="40"/>
  <c r="I13" i="40"/>
  <c r="U12" i="40"/>
  <c r="S12" i="40"/>
  <c r="P12" i="40"/>
  <c r="M12" i="40"/>
  <c r="I12" i="40"/>
  <c r="K7" i="40"/>
  <c r="K6" i="40"/>
  <c r="F6" i="40"/>
  <c r="A4" i="40"/>
  <c r="H2" i="40"/>
  <c r="G2" i="40"/>
  <c r="M5" i="40" s="1"/>
  <c r="E2" i="40"/>
  <c r="D2" i="40"/>
  <c r="B2" i="40"/>
  <c r="J51" i="39"/>
  <c r="J35" i="39"/>
  <c r="P16" i="39"/>
  <c r="U16" i="39" s="1"/>
  <c r="E16" i="39"/>
  <c r="I16" i="39" s="1"/>
  <c r="E15" i="39"/>
  <c r="P14" i="39"/>
  <c r="I14" i="39"/>
  <c r="E14" i="39"/>
  <c r="P13" i="39"/>
  <c r="U13" i="39" s="1"/>
  <c r="I13" i="39"/>
  <c r="M12" i="39"/>
  <c r="J43" i="39" s="1"/>
  <c r="I12" i="39"/>
  <c r="P12" i="39" s="1"/>
  <c r="U12" i="39" s="1"/>
  <c r="K7" i="39"/>
  <c r="F7" i="39"/>
  <c r="K6" i="39"/>
  <c r="F6" i="39"/>
  <c r="A4" i="39"/>
  <c r="H2" i="39"/>
  <c r="G2" i="39"/>
  <c r="M5" i="39" s="1"/>
  <c r="N7" i="39" s="1"/>
  <c r="J32" i="39" s="1"/>
  <c r="E2" i="39"/>
  <c r="D2" i="39"/>
  <c r="B2" i="39"/>
  <c r="E15" i="38"/>
  <c r="P14" i="38"/>
  <c r="E14" i="38"/>
  <c r="I14" i="38" s="1"/>
  <c r="P13" i="38"/>
  <c r="I13" i="38"/>
  <c r="S12" i="38"/>
  <c r="M12" i="38"/>
  <c r="I12" i="38"/>
  <c r="K7" i="38"/>
  <c r="F7" i="38"/>
  <c r="K6" i="38"/>
  <c r="M5" i="38"/>
  <c r="A4" i="38"/>
  <c r="D12" i="38" s="1"/>
  <c r="H2" i="38"/>
  <c r="G2" i="38"/>
  <c r="E2" i="38"/>
  <c r="D2" i="38"/>
  <c r="B2" i="38"/>
  <c r="J51" i="28"/>
  <c r="P16" i="28"/>
  <c r="U16" i="28" s="1"/>
  <c r="E16" i="28"/>
  <c r="I16" i="28" s="1"/>
  <c r="E15" i="28"/>
  <c r="I14" i="28"/>
  <c r="P14" i="28" s="1"/>
  <c r="E14" i="28"/>
  <c r="I13" i="28"/>
  <c r="P13" i="28" s="1"/>
  <c r="U13" i="28" s="1"/>
  <c r="S12" i="28"/>
  <c r="R13" i="28" s="1"/>
  <c r="M12" i="28"/>
  <c r="I12" i="28"/>
  <c r="P12" i="28" s="1"/>
  <c r="U12" i="28" s="1"/>
  <c r="K7" i="28"/>
  <c r="K6" i="28"/>
  <c r="A4" i="28"/>
  <c r="V12" i="28" s="1"/>
  <c r="H2" i="28"/>
  <c r="G2" i="28"/>
  <c r="M5" i="28" s="1"/>
  <c r="N7" i="28" s="1"/>
  <c r="J40" i="28" s="1"/>
  <c r="E2" i="28"/>
  <c r="D2" i="28"/>
  <c r="B2" i="28"/>
  <c r="P15" i="27"/>
  <c r="E15" i="27"/>
  <c r="I15" i="27" s="1"/>
  <c r="F8" i="27" s="1"/>
  <c r="P14" i="27"/>
  <c r="I14" i="27"/>
  <c r="E14" i="27"/>
  <c r="I13" i="27"/>
  <c r="U12" i="27"/>
  <c r="P12" i="27"/>
  <c r="M12" i="27"/>
  <c r="J36" i="27" s="1"/>
  <c r="I12" i="27"/>
  <c r="N7" i="27"/>
  <c r="J32" i="27" s="1"/>
  <c r="K7" i="27"/>
  <c r="K6" i="27"/>
  <c r="M5" i="27"/>
  <c r="N6" i="27" s="1"/>
  <c r="A4" i="27"/>
  <c r="H2" i="27"/>
  <c r="G2" i="27"/>
  <c r="E2" i="27"/>
  <c r="D2" i="27"/>
  <c r="B2" i="27"/>
  <c r="E16" i="37"/>
  <c r="U15" i="37"/>
  <c r="E15" i="37"/>
  <c r="I15" i="37" s="1"/>
  <c r="P15" i="37" s="1"/>
  <c r="E14" i="37"/>
  <c r="I14" i="37" s="1"/>
  <c r="P14" i="37" s="1"/>
  <c r="U14" i="37" s="1"/>
  <c r="U13" i="37"/>
  <c r="P13" i="37"/>
  <c r="I13" i="37"/>
  <c r="S12" i="37"/>
  <c r="R13" i="37" s="1"/>
  <c r="M12" i="37"/>
  <c r="I12" i="37"/>
  <c r="F6" i="37" s="1"/>
  <c r="K7" i="37"/>
  <c r="F7" i="37"/>
  <c r="K6" i="37"/>
  <c r="A4" i="37"/>
  <c r="H2" i="37"/>
  <c r="G2" i="37"/>
  <c r="M5" i="37" s="1"/>
  <c r="N6" i="37" s="1"/>
  <c r="E2" i="37"/>
  <c r="D2" i="37"/>
  <c r="B2" i="37"/>
  <c r="E15" i="25"/>
  <c r="I14" i="25"/>
  <c r="F7" i="25" s="1"/>
  <c r="E14" i="25"/>
  <c r="P13" i="25"/>
  <c r="U13" i="25" s="1"/>
  <c r="I13" i="25"/>
  <c r="M12" i="25"/>
  <c r="I12" i="25"/>
  <c r="K7" i="25"/>
  <c r="K6" i="25"/>
  <c r="A4" i="25"/>
  <c r="D12" i="25" s="1"/>
  <c r="H2" i="25"/>
  <c r="G2" i="25"/>
  <c r="M5" i="25" s="1"/>
  <c r="E2" i="25"/>
  <c r="D2" i="25"/>
  <c r="B2" i="25"/>
  <c r="I16" i="36"/>
  <c r="P16" i="36" s="1"/>
  <c r="I15" i="36"/>
  <c r="E15" i="36"/>
  <c r="E16" i="36" s="1"/>
  <c r="P14" i="36"/>
  <c r="I14" i="36"/>
  <c r="E14" i="36"/>
  <c r="U13" i="36"/>
  <c r="P13" i="36"/>
  <c r="I13" i="36"/>
  <c r="U12" i="36"/>
  <c r="P12" i="36"/>
  <c r="M12" i="36"/>
  <c r="J31" i="36" s="1"/>
  <c r="I12" i="36"/>
  <c r="K7" i="36"/>
  <c r="F7" i="36"/>
  <c r="K6" i="36"/>
  <c r="F6" i="36"/>
  <c r="A4" i="36"/>
  <c r="H2" i="36"/>
  <c r="G2" i="36"/>
  <c r="M5" i="36" s="1"/>
  <c r="N7" i="36" s="1"/>
  <c r="J16" i="36" s="1"/>
  <c r="E2" i="36"/>
  <c r="D2" i="36"/>
  <c r="B2" i="36"/>
  <c r="J49" i="35"/>
  <c r="I15" i="35"/>
  <c r="P15" i="35" s="1"/>
  <c r="E15" i="35"/>
  <c r="P14" i="35"/>
  <c r="I14" i="35"/>
  <c r="E14" i="35"/>
  <c r="P13" i="35"/>
  <c r="I13" i="35"/>
  <c r="S12" i="35"/>
  <c r="M12" i="35"/>
  <c r="I12" i="35"/>
  <c r="P12" i="35" s="1"/>
  <c r="U12" i="35" s="1"/>
  <c r="F8" i="35"/>
  <c r="K7" i="35"/>
  <c r="F7" i="35"/>
  <c r="N6" i="35"/>
  <c r="K6" i="35"/>
  <c r="F6" i="35"/>
  <c r="M5" i="35"/>
  <c r="N7" i="35" s="1"/>
  <c r="A4" i="35"/>
  <c r="H2" i="35"/>
  <c r="G2" i="35"/>
  <c r="E2" i="35"/>
  <c r="D2" i="35"/>
  <c r="B2" i="35"/>
  <c r="E16" i="34"/>
  <c r="I16" i="34" s="1"/>
  <c r="P16" i="34" s="1"/>
  <c r="E15" i="34"/>
  <c r="I15" i="34" s="1"/>
  <c r="F8" i="34" s="1"/>
  <c r="U14" i="34"/>
  <c r="P14" i="34"/>
  <c r="I14" i="34"/>
  <c r="E14" i="34"/>
  <c r="I13" i="34"/>
  <c r="P12" i="34"/>
  <c r="U12" i="34" s="1"/>
  <c r="M12" i="34"/>
  <c r="I12" i="34"/>
  <c r="K7" i="34"/>
  <c r="K6" i="34"/>
  <c r="A4" i="34"/>
  <c r="H2" i="34"/>
  <c r="G2" i="34"/>
  <c r="M5" i="34" s="1"/>
  <c r="E2" i="34"/>
  <c r="D2" i="34"/>
  <c r="B2" i="34"/>
  <c r="E14" i="23"/>
  <c r="P13" i="23"/>
  <c r="I13" i="23"/>
  <c r="M12" i="23"/>
  <c r="I12" i="23"/>
  <c r="P12" i="23" s="1"/>
  <c r="U12" i="23" s="1"/>
  <c r="K7" i="23"/>
  <c r="K6" i="23"/>
  <c r="F6" i="23"/>
  <c r="M5" i="23"/>
  <c r="N6" i="23" s="1"/>
  <c r="A4" i="23"/>
  <c r="D12" i="23" s="1"/>
  <c r="H2" i="23"/>
  <c r="G2" i="23"/>
  <c r="E2" i="23"/>
  <c r="D2" i="23"/>
  <c r="B2" i="23"/>
  <c r="P14" i="26"/>
  <c r="E14" i="26"/>
  <c r="I14" i="26" s="1"/>
  <c r="P13" i="26"/>
  <c r="I13" i="26"/>
  <c r="S12" i="26"/>
  <c r="P12" i="26"/>
  <c r="U12" i="26" s="1"/>
  <c r="M12" i="26"/>
  <c r="I12" i="26"/>
  <c r="F6" i="26" s="1"/>
  <c r="K7" i="26"/>
  <c r="F7" i="26"/>
  <c r="K6" i="26"/>
  <c r="A4" i="26"/>
  <c r="D14" i="26" s="1"/>
  <c r="H2" i="26"/>
  <c r="G2" i="26"/>
  <c r="M5" i="26" s="1"/>
  <c r="N6" i="26" s="1"/>
  <c r="E2" i="26"/>
  <c r="D2" i="26"/>
  <c r="B2" i="26"/>
  <c r="E14" i="24"/>
  <c r="P13" i="24"/>
  <c r="I13" i="24"/>
  <c r="S12" i="24"/>
  <c r="R13" i="24" s="1"/>
  <c r="M12" i="24"/>
  <c r="I12" i="24"/>
  <c r="P12" i="24" s="1"/>
  <c r="U12" i="24" s="1"/>
  <c r="K7" i="24"/>
  <c r="K6" i="24"/>
  <c r="F6" i="24"/>
  <c r="A4" i="24"/>
  <c r="H2" i="24"/>
  <c r="G2" i="24"/>
  <c r="M5" i="24" s="1"/>
  <c r="E2" i="24"/>
  <c r="D2" i="24"/>
  <c r="B2" i="24"/>
  <c r="E16" i="32"/>
  <c r="E15" i="32"/>
  <c r="P14" i="32"/>
  <c r="E14" i="32"/>
  <c r="I14" i="32" s="1"/>
  <c r="I13" i="32"/>
  <c r="P13" i="32" s="1"/>
  <c r="P12" i="32"/>
  <c r="U12" i="32" s="1"/>
  <c r="M12" i="32"/>
  <c r="I12" i="32"/>
  <c r="K7" i="32"/>
  <c r="F7" i="32"/>
  <c r="N6" i="32"/>
  <c r="K6" i="32"/>
  <c r="F6" i="32"/>
  <c r="M5" i="32"/>
  <c r="N7" i="32" s="1"/>
  <c r="A4" i="32"/>
  <c r="D14" i="32" s="1"/>
  <c r="H2" i="32"/>
  <c r="G2" i="32"/>
  <c r="E2" i="32"/>
  <c r="D2" i="32"/>
  <c r="B2" i="32"/>
  <c r="E15" i="31"/>
  <c r="E14" i="31"/>
  <c r="I14" i="31" s="1"/>
  <c r="P14" i="31" s="1"/>
  <c r="U14" i="31" s="1"/>
  <c r="I13" i="31"/>
  <c r="F7" i="31" s="1"/>
  <c r="P12" i="31"/>
  <c r="U12" i="31" s="1"/>
  <c r="M12" i="31"/>
  <c r="I12" i="31"/>
  <c r="F6" i="31" s="1"/>
  <c r="K7" i="31"/>
  <c r="K6" i="31"/>
  <c r="M5" i="31"/>
  <c r="N6" i="31" s="1"/>
  <c r="A4" i="31"/>
  <c r="H2" i="31"/>
  <c r="G2" i="31"/>
  <c r="E2" i="31"/>
  <c r="D2" i="31"/>
  <c r="B2" i="31"/>
  <c r="E14" i="30"/>
  <c r="I14" i="30" s="1"/>
  <c r="F7" i="30" s="1"/>
  <c r="P13" i="30"/>
  <c r="U13" i="30" s="1"/>
  <c r="I13" i="30"/>
  <c r="U12" i="30"/>
  <c r="M12" i="30"/>
  <c r="I12" i="30"/>
  <c r="P12" i="30" s="1"/>
  <c r="K7" i="30"/>
  <c r="K6" i="30"/>
  <c r="F6" i="30"/>
  <c r="M5" i="30"/>
  <c r="A4" i="30"/>
  <c r="H2" i="30"/>
  <c r="G2" i="30"/>
  <c r="E2" i="30"/>
  <c r="D2" i="30"/>
  <c r="B2" i="30"/>
  <c r="P15" i="29"/>
  <c r="U15" i="29" s="1"/>
  <c r="I15" i="29"/>
  <c r="E15" i="29"/>
  <c r="E14" i="29"/>
  <c r="I14" i="29" s="1"/>
  <c r="F8" i="29" s="1"/>
  <c r="I13" i="29"/>
  <c r="U12" i="29"/>
  <c r="P12" i="29"/>
  <c r="M12" i="29"/>
  <c r="J44" i="29" s="1"/>
  <c r="I12" i="29"/>
  <c r="N7" i="29"/>
  <c r="J14" i="29" s="1"/>
  <c r="K7" i="29"/>
  <c r="K6" i="29"/>
  <c r="M5" i="29"/>
  <c r="N6" i="29" s="1"/>
  <c r="A4" i="29"/>
  <c r="H2" i="29"/>
  <c r="G2" i="29"/>
  <c r="E2" i="29"/>
  <c r="D2" i="29"/>
  <c r="B2" i="29"/>
  <c r="D5" i="22"/>
  <c r="B1" i="47"/>
  <c r="B2" i="47" s="1"/>
  <c r="B28" i="47" s="1"/>
  <c r="L44" i="21"/>
  <c r="K44" i="21"/>
  <c r="M44" i="21" s="1"/>
  <c r="G44" i="21"/>
  <c r="F44" i="21"/>
  <c r="D44" i="21"/>
  <c r="L43" i="21"/>
  <c r="K43" i="21"/>
  <c r="M43" i="21" s="1"/>
  <c r="G43" i="21"/>
  <c r="F43" i="21"/>
  <c r="D43" i="21"/>
  <c r="L42" i="21"/>
  <c r="K42" i="21"/>
  <c r="M42" i="21" s="1"/>
  <c r="G42" i="21"/>
  <c r="F42" i="21"/>
  <c r="D42" i="21"/>
  <c r="L41" i="21"/>
  <c r="K41" i="21"/>
  <c r="M41" i="21" s="1"/>
  <c r="G41" i="21"/>
  <c r="F41" i="21"/>
  <c r="D41" i="21"/>
  <c r="L40" i="21"/>
  <c r="K40" i="21"/>
  <c r="M40" i="21" s="1"/>
  <c r="G40" i="21"/>
  <c r="F40" i="21"/>
  <c r="D40" i="21"/>
  <c r="M39" i="21"/>
  <c r="L39" i="21"/>
  <c r="K39" i="21"/>
  <c r="G39" i="21"/>
  <c r="F39" i="21"/>
  <c r="D39" i="21"/>
  <c r="L38" i="21"/>
  <c r="M38" i="21" s="1"/>
  <c r="K38" i="21"/>
  <c r="G38" i="21"/>
  <c r="F38" i="21"/>
  <c r="D38" i="21"/>
  <c r="L37" i="21"/>
  <c r="K37" i="21"/>
  <c r="M37" i="21" s="1"/>
  <c r="G37" i="21"/>
  <c r="F37" i="21"/>
  <c r="D37" i="21"/>
  <c r="L36" i="21"/>
  <c r="K36" i="21"/>
  <c r="M36" i="21" s="1"/>
  <c r="G36" i="21"/>
  <c r="F36" i="21"/>
  <c r="D36" i="21"/>
  <c r="L35" i="21"/>
  <c r="K35" i="21"/>
  <c r="M35" i="21" s="1"/>
  <c r="G35" i="21"/>
  <c r="F35" i="21"/>
  <c r="D35" i="21"/>
  <c r="L34" i="21"/>
  <c r="K34" i="21"/>
  <c r="M34" i="21" s="1"/>
  <c r="G34" i="21"/>
  <c r="F34" i="21"/>
  <c r="D34" i="21"/>
  <c r="L33" i="21"/>
  <c r="K33" i="21"/>
  <c r="M33" i="21" s="1"/>
  <c r="G33" i="21"/>
  <c r="F33" i="21"/>
  <c r="D33" i="21"/>
  <c r="L32" i="21"/>
  <c r="K32" i="21"/>
  <c r="M32" i="21" s="1"/>
  <c r="G32" i="21"/>
  <c r="F32" i="21"/>
  <c r="D32" i="21"/>
  <c r="M31" i="21"/>
  <c r="L31" i="21"/>
  <c r="K31" i="21"/>
  <c r="G31" i="21"/>
  <c r="F31" i="21"/>
  <c r="D31" i="21"/>
  <c r="L30" i="21"/>
  <c r="M30" i="21" s="1"/>
  <c r="K30" i="21"/>
  <c r="G30" i="21"/>
  <c r="F30" i="21"/>
  <c r="D30" i="21"/>
  <c r="L29" i="21"/>
  <c r="K29" i="21"/>
  <c r="M29" i="21" s="1"/>
  <c r="G29" i="21"/>
  <c r="F29" i="21"/>
  <c r="D29" i="21"/>
  <c r="L28" i="21"/>
  <c r="K28" i="21"/>
  <c r="M28" i="21" s="1"/>
  <c r="G28" i="21"/>
  <c r="F28" i="21"/>
  <c r="D28" i="21"/>
  <c r="L27" i="21"/>
  <c r="K27" i="21"/>
  <c r="M27" i="21" s="1"/>
  <c r="G27" i="21"/>
  <c r="F27" i="21"/>
  <c r="D27" i="21"/>
  <c r="L26" i="21"/>
  <c r="K26" i="21"/>
  <c r="M26" i="21" s="1"/>
  <c r="G26" i="21"/>
  <c r="F26" i="21"/>
  <c r="D26" i="21"/>
  <c r="L25" i="21"/>
  <c r="K25" i="21"/>
  <c r="M25" i="21" s="1"/>
  <c r="G25" i="21"/>
  <c r="F25" i="21"/>
  <c r="D25" i="21"/>
  <c r="L24" i="21"/>
  <c r="K24" i="21"/>
  <c r="M24" i="21" s="1"/>
  <c r="G24" i="21"/>
  <c r="F24" i="21"/>
  <c r="D24" i="21"/>
  <c r="M23" i="21"/>
  <c r="M45" i="21" s="1"/>
  <c r="L23" i="21"/>
  <c r="L45" i="21" s="1"/>
  <c r="K23" i="21"/>
  <c r="K45" i="21" s="1"/>
  <c r="G23" i="21"/>
  <c r="G45" i="21" s="1"/>
  <c r="F23" i="21"/>
  <c r="F45" i="21" s="1"/>
  <c r="D23" i="21"/>
  <c r="H20" i="21"/>
  <c r="C1" i="21"/>
  <c r="A12" i="28"/>
  <c r="A12" i="39"/>
  <c r="A12" i="37"/>
  <c r="A12" i="40"/>
  <c r="A12" i="27"/>
  <c r="A12" i="41"/>
  <c r="A12" i="38"/>
  <c r="A12" i="45"/>
  <c r="A12" i="42"/>
  <c r="A12" i="43"/>
  <c r="A12" i="25"/>
  <c r="A12" i="35"/>
  <c r="A12" i="36"/>
  <c r="A12" i="34"/>
  <c r="A12" i="26"/>
  <c r="A12" i="23"/>
  <c r="A12" i="24"/>
  <c r="A12" i="32"/>
  <c r="A12" i="29"/>
  <c r="A12" i="30"/>
  <c r="A12" i="31"/>
  <c r="A12" i="49"/>
  <c r="D9" i="49"/>
  <c r="E6" i="49"/>
  <c r="D4" i="49"/>
  <c r="L2" i="49"/>
  <c r="D13" i="49"/>
  <c r="D11" i="49"/>
  <c r="E8" i="49"/>
  <c r="J2" i="49"/>
  <c r="C15" i="49"/>
  <c r="C13" i="49"/>
  <c r="C11" i="49"/>
  <c r="D8" i="49"/>
  <c r="B6" i="49"/>
  <c r="D3" i="49"/>
  <c r="I2" i="49"/>
  <c r="E10" i="49"/>
  <c r="C8" i="49"/>
  <c r="E5" i="49"/>
  <c r="C3" i="49"/>
  <c r="F2" i="49"/>
  <c r="E15" i="49"/>
  <c r="E13" i="49"/>
  <c r="E11" i="49"/>
  <c r="C9" i="49"/>
  <c r="D6" i="49"/>
  <c r="C4" i="49"/>
  <c r="K2" i="49"/>
  <c r="D15" i="49"/>
  <c r="C6" i="49"/>
  <c r="E3" i="49"/>
  <c r="E14" i="49"/>
  <c r="D10" i="49"/>
  <c r="E7" i="49"/>
  <c r="D5" i="49"/>
  <c r="O2" i="49"/>
  <c r="D14" i="49"/>
  <c r="C10" i="49"/>
  <c r="D7" i="49"/>
  <c r="C5" i="49"/>
  <c r="N2" i="49"/>
  <c r="C14" i="49"/>
  <c r="E9" i="49"/>
  <c r="C7" i="49"/>
  <c r="E4" i="49"/>
  <c r="M2" i="49"/>
  <c r="N2" i="45"/>
  <c r="B6" i="45"/>
  <c r="L2" i="45"/>
  <c r="F2" i="45"/>
  <c r="O2" i="45"/>
  <c r="K2" i="43"/>
  <c r="J2" i="43"/>
  <c r="L2" i="41"/>
  <c r="K2" i="41"/>
  <c r="N2" i="40"/>
  <c r="F2" i="40"/>
  <c r="O2" i="40"/>
  <c r="B6" i="40"/>
  <c r="J2" i="40"/>
  <c r="L2" i="40"/>
  <c r="M2" i="40"/>
  <c r="M2" i="39"/>
  <c r="N2" i="39"/>
  <c r="L2" i="39"/>
  <c r="O2" i="39"/>
  <c r="B6" i="39"/>
  <c r="F2" i="39"/>
  <c r="I2" i="38"/>
  <c r="M2" i="38"/>
  <c r="K2" i="38"/>
  <c r="F2" i="28"/>
  <c r="O2" i="28"/>
  <c r="M2" i="28"/>
  <c r="M2" i="27"/>
  <c r="O2" i="27"/>
  <c r="N2" i="27"/>
  <c r="F2" i="27"/>
  <c r="B6" i="27"/>
  <c r="L2" i="27"/>
  <c r="J2" i="27"/>
  <c r="I2" i="27"/>
  <c r="B6" i="37"/>
  <c r="L2" i="37"/>
  <c r="K2" i="37"/>
  <c r="J2" i="37"/>
  <c r="M2" i="25"/>
  <c r="O2" i="25"/>
  <c r="N2" i="25"/>
  <c r="J2" i="25"/>
  <c r="I2" i="25"/>
  <c r="F2" i="25"/>
  <c r="B6" i="25"/>
  <c r="L2" i="36"/>
  <c r="J2" i="36"/>
  <c r="B6" i="36"/>
  <c r="I2" i="36"/>
  <c r="F2" i="36"/>
  <c r="O2" i="36"/>
  <c r="N2" i="36"/>
  <c r="M2" i="36"/>
  <c r="J2" i="34"/>
  <c r="F2" i="34"/>
  <c r="I2" i="34"/>
  <c r="O2" i="34"/>
  <c r="N2" i="34"/>
  <c r="B6" i="34"/>
  <c r="M2" i="34"/>
  <c r="M2" i="23"/>
  <c r="J2" i="23"/>
  <c r="B6" i="23"/>
  <c r="I2" i="23"/>
  <c r="M2" i="26"/>
  <c r="J2" i="26"/>
  <c r="L2" i="24"/>
  <c r="B6" i="32"/>
  <c r="F2" i="32"/>
  <c r="N2" i="32"/>
  <c r="M2" i="32"/>
  <c r="J2" i="32"/>
  <c r="I2" i="32"/>
  <c r="L2" i="32"/>
  <c r="O2" i="31"/>
  <c r="J2" i="31"/>
  <c r="I2" i="31"/>
  <c r="B6" i="31"/>
  <c r="O2" i="30"/>
  <c r="K2" i="30"/>
  <c r="N2" i="30"/>
  <c r="I2" i="30"/>
  <c r="F2" i="30"/>
  <c r="M2" i="29"/>
  <c r="J2" i="29"/>
  <c r="L2" i="29"/>
  <c r="I2" i="29"/>
  <c r="F2" i="29"/>
  <c r="N2" i="29"/>
  <c r="B6" i="29"/>
  <c r="V12" i="43" l="1"/>
  <c r="V14" i="45"/>
  <c r="F14" i="49"/>
  <c r="F13" i="49"/>
  <c r="F15" i="49"/>
  <c r="D13" i="42"/>
  <c r="V12" i="45"/>
  <c r="C6" i="45"/>
  <c r="F13" i="45"/>
  <c r="G13" i="45" s="1"/>
  <c r="F14" i="45"/>
  <c r="G14" i="45" s="1"/>
  <c r="F12" i="45"/>
  <c r="G12" i="45" s="1"/>
  <c r="U15" i="45"/>
  <c r="V15" i="45" s="1"/>
  <c r="J42" i="45"/>
  <c r="J39" i="45"/>
  <c r="J48" i="45"/>
  <c r="J36" i="45"/>
  <c r="J27" i="45"/>
  <c r="J50" i="45"/>
  <c r="J24" i="45"/>
  <c r="A7" i="45"/>
  <c r="J16" i="45"/>
  <c r="K13" i="45"/>
  <c r="N6" i="45"/>
  <c r="J18" i="45"/>
  <c r="J51" i="45"/>
  <c r="D13" i="45"/>
  <c r="D15" i="45"/>
  <c r="S14" i="45"/>
  <c r="J52" i="45"/>
  <c r="U13" i="45"/>
  <c r="V13" i="45" s="1"/>
  <c r="E16" i="45"/>
  <c r="D15" i="42"/>
  <c r="J47" i="45"/>
  <c r="J46" i="45"/>
  <c r="J38" i="45"/>
  <c r="J30" i="45"/>
  <c r="J22" i="45"/>
  <c r="J14" i="45"/>
  <c r="J45" i="45"/>
  <c r="J37" i="45"/>
  <c r="J29" i="45"/>
  <c r="J21" i="45"/>
  <c r="J13" i="45"/>
  <c r="L13" i="45" s="1"/>
  <c r="S12" i="45"/>
  <c r="S13" i="45" s="1"/>
  <c r="J49" i="45"/>
  <c r="J41" i="45"/>
  <c r="J33" i="45"/>
  <c r="J25" i="45"/>
  <c r="J17" i="45"/>
  <c r="F15" i="45"/>
  <c r="G15" i="45" s="1"/>
  <c r="J23" i="45"/>
  <c r="J26" i="45"/>
  <c r="J32" i="45"/>
  <c r="J35" i="45"/>
  <c r="J44" i="45"/>
  <c r="D14" i="45"/>
  <c r="J15" i="45"/>
  <c r="J20" i="45"/>
  <c r="J19" i="43"/>
  <c r="J35" i="43"/>
  <c r="J51" i="43"/>
  <c r="J47" i="43"/>
  <c r="J39" i="43"/>
  <c r="J31" i="43"/>
  <c r="J23" i="43"/>
  <c r="J15" i="43"/>
  <c r="J46" i="43"/>
  <c r="J38" i="43"/>
  <c r="J30" i="43"/>
  <c r="J22" i="43"/>
  <c r="J14" i="43"/>
  <c r="J45" i="43"/>
  <c r="J37" i="43"/>
  <c r="J29" i="43"/>
  <c r="J21" i="43"/>
  <c r="J13" i="43"/>
  <c r="S12" i="43"/>
  <c r="J49" i="43"/>
  <c r="J41" i="43"/>
  <c r="J33" i="43"/>
  <c r="J25" i="43"/>
  <c r="J17" i="43"/>
  <c r="J44" i="43"/>
  <c r="J28" i="43"/>
  <c r="J24" i="43"/>
  <c r="J43" i="43"/>
  <c r="J27" i="43"/>
  <c r="J42" i="43"/>
  <c r="J26" i="43"/>
  <c r="J40" i="43"/>
  <c r="J50" i="43"/>
  <c r="J34" i="43"/>
  <c r="J18" i="43"/>
  <c r="J48" i="43"/>
  <c r="J32" i="43"/>
  <c r="J16" i="43"/>
  <c r="J36" i="43"/>
  <c r="D13" i="43"/>
  <c r="D12" i="43"/>
  <c r="D13" i="40"/>
  <c r="D12" i="40"/>
  <c r="J20" i="43"/>
  <c r="U13" i="43"/>
  <c r="V13" i="43" s="1"/>
  <c r="D12" i="42"/>
  <c r="I14" i="43"/>
  <c r="D14" i="43"/>
  <c r="E15" i="43"/>
  <c r="R13" i="42"/>
  <c r="D14" i="39"/>
  <c r="D16" i="39"/>
  <c r="N7" i="42"/>
  <c r="J39" i="42" s="1"/>
  <c r="N6" i="42"/>
  <c r="J13" i="42" s="1"/>
  <c r="U15" i="42"/>
  <c r="V15" i="42" s="1"/>
  <c r="D12" i="41"/>
  <c r="D13" i="41"/>
  <c r="D14" i="41"/>
  <c r="V12" i="41"/>
  <c r="U13" i="42"/>
  <c r="V13" i="42" s="1"/>
  <c r="V12" i="42"/>
  <c r="J18" i="42"/>
  <c r="V12" i="39"/>
  <c r="J23" i="42"/>
  <c r="J15" i="42"/>
  <c r="J37" i="42"/>
  <c r="J29" i="42"/>
  <c r="U14" i="42"/>
  <c r="V14" i="42" s="1"/>
  <c r="E16" i="42"/>
  <c r="N6" i="41"/>
  <c r="N7" i="41"/>
  <c r="V13" i="41"/>
  <c r="U14" i="41"/>
  <c r="V14" i="41" s="1"/>
  <c r="J20" i="41"/>
  <c r="J26" i="41"/>
  <c r="J25" i="41"/>
  <c r="J18" i="41"/>
  <c r="J32" i="41"/>
  <c r="J40" i="41"/>
  <c r="J44" i="41"/>
  <c r="J50" i="41"/>
  <c r="R13" i="41"/>
  <c r="V13" i="28"/>
  <c r="J47" i="41"/>
  <c r="J39" i="41"/>
  <c r="J31" i="41"/>
  <c r="J23" i="41"/>
  <c r="J15" i="41"/>
  <c r="J46" i="41"/>
  <c r="J38" i="41"/>
  <c r="J30" i="41"/>
  <c r="J22" i="41"/>
  <c r="J14" i="41"/>
  <c r="J51" i="41"/>
  <c r="J43" i="41"/>
  <c r="J35" i="41"/>
  <c r="J27" i="41"/>
  <c r="J19" i="41"/>
  <c r="J45" i="41"/>
  <c r="J42" i="41"/>
  <c r="J36" i="41"/>
  <c r="J33" i="41"/>
  <c r="J24" i="41"/>
  <c r="J48" i="41"/>
  <c r="J13" i="41"/>
  <c r="J37" i="41"/>
  <c r="J34" i="41"/>
  <c r="D12" i="39"/>
  <c r="E15" i="41"/>
  <c r="V12" i="40"/>
  <c r="C6" i="40"/>
  <c r="F12" i="40"/>
  <c r="G12" i="40" s="1"/>
  <c r="F13" i="40"/>
  <c r="G13" i="40" s="1"/>
  <c r="J43" i="40"/>
  <c r="K13" i="40"/>
  <c r="N6" i="40"/>
  <c r="N7" i="40"/>
  <c r="U13" i="40"/>
  <c r="V13" i="40" s="1"/>
  <c r="S13" i="40"/>
  <c r="J18" i="40"/>
  <c r="J34" i="40"/>
  <c r="J50" i="40"/>
  <c r="I14" i="40"/>
  <c r="D14" i="40"/>
  <c r="J26" i="40"/>
  <c r="J42" i="40"/>
  <c r="V16" i="39"/>
  <c r="F14" i="40"/>
  <c r="G14" i="40" s="1"/>
  <c r="E15" i="40"/>
  <c r="J27" i="40"/>
  <c r="V13" i="39"/>
  <c r="J47" i="40"/>
  <c r="J39" i="40"/>
  <c r="J31" i="40"/>
  <c r="J23" i="40"/>
  <c r="J15" i="40"/>
  <c r="J46" i="40"/>
  <c r="J38" i="40"/>
  <c r="J30" i="40"/>
  <c r="J22" i="40"/>
  <c r="J14" i="40"/>
  <c r="J45" i="40"/>
  <c r="J37" i="40"/>
  <c r="J29" i="40"/>
  <c r="J21" i="40"/>
  <c r="J13" i="40"/>
  <c r="J49" i="40"/>
  <c r="J41" i="40"/>
  <c r="J33" i="40"/>
  <c r="J25" i="40"/>
  <c r="J17" i="40"/>
  <c r="J28" i="40"/>
  <c r="J44" i="40"/>
  <c r="C6" i="39"/>
  <c r="F14" i="39"/>
  <c r="G14" i="39" s="1"/>
  <c r="F12" i="39"/>
  <c r="G12" i="39" s="1"/>
  <c r="S13" i="39"/>
  <c r="A7" i="39"/>
  <c r="S16" i="39"/>
  <c r="F15" i="39"/>
  <c r="G15" i="39" s="1"/>
  <c r="F13" i="39"/>
  <c r="G13" i="39" s="1"/>
  <c r="D14" i="38"/>
  <c r="N6" i="39"/>
  <c r="J24" i="39"/>
  <c r="J27" i="39"/>
  <c r="J36" i="39"/>
  <c r="D13" i="28"/>
  <c r="D12" i="28"/>
  <c r="D14" i="28"/>
  <c r="K13" i="39"/>
  <c r="J52" i="39"/>
  <c r="J48" i="39"/>
  <c r="D16" i="37"/>
  <c r="V16" i="28"/>
  <c r="D13" i="39"/>
  <c r="I15" i="39"/>
  <c r="P15" i="39" s="1"/>
  <c r="D15" i="39"/>
  <c r="J17" i="39"/>
  <c r="J20" i="39"/>
  <c r="J33" i="39"/>
  <c r="J49" i="39"/>
  <c r="J13" i="39"/>
  <c r="F16" i="39"/>
  <c r="G16" i="39" s="1"/>
  <c r="J41" i="39"/>
  <c r="J21" i="39"/>
  <c r="S12" i="39"/>
  <c r="J16" i="39"/>
  <c r="J19" i="39"/>
  <c r="J25" i="39"/>
  <c r="J28" i="39"/>
  <c r="J47" i="39"/>
  <c r="J39" i="39"/>
  <c r="J31" i="39"/>
  <c r="J23" i="39"/>
  <c r="J15" i="39"/>
  <c r="J46" i="39"/>
  <c r="J38" i="39"/>
  <c r="J30" i="39"/>
  <c r="J22" i="39"/>
  <c r="J14" i="39"/>
  <c r="J45" i="39"/>
  <c r="J37" i="39"/>
  <c r="J29" i="39"/>
  <c r="J50" i="39"/>
  <c r="J42" i="39"/>
  <c r="J34" i="39"/>
  <c r="J26" i="39"/>
  <c r="J18" i="39"/>
  <c r="U14" i="39"/>
  <c r="V14" i="39" s="1"/>
  <c r="S14" i="39"/>
  <c r="J40" i="39"/>
  <c r="D15" i="28"/>
  <c r="E17" i="39"/>
  <c r="J44" i="39"/>
  <c r="D13" i="38"/>
  <c r="F6" i="38"/>
  <c r="P12" i="38"/>
  <c r="U12" i="38" s="1"/>
  <c r="V12" i="38" s="1"/>
  <c r="U13" i="38"/>
  <c r="V13" i="38" s="1"/>
  <c r="R13" i="38"/>
  <c r="N7" i="38"/>
  <c r="N6" i="38"/>
  <c r="J13" i="38" s="1"/>
  <c r="J47" i="38"/>
  <c r="J39" i="38"/>
  <c r="J31" i="38"/>
  <c r="J23" i="38"/>
  <c r="J15" i="38"/>
  <c r="J38" i="38"/>
  <c r="J30" i="38"/>
  <c r="J22" i="38"/>
  <c r="J14" i="38"/>
  <c r="J45" i="38"/>
  <c r="J37" i="38"/>
  <c r="J29" i="38"/>
  <c r="J50" i="38"/>
  <c r="J42" i="38"/>
  <c r="J34" i="38"/>
  <c r="J26" i="38"/>
  <c r="J18" i="38"/>
  <c r="J44" i="38"/>
  <c r="J41" i="38"/>
  <c r="J25" i="38"/>
  <c r="J40" i="38"/>
  <c r="J24" i="38"/>
  <c r="J51" i="38"/>
  <c r="J35" i="38"/>
  <c r="J19" i="38"/>
  <c r="J33" i="38"/>
  <c r="J17" i="38"/>
  <c r="J48" i="38"/>
  <c r="J32" i="38"/>
  <c r="I15" i="38"/>
  <c r="D15" i="38"/>
  <c r="E16" i="38"/>
  <c r="J43" i="38"/>
  <c r="J52" i="38"/>
  <c r="U14" i="38"/>
  <c r="V14" i="38" s="1"/>
  <c r="U14" i="28"/>
  <c r="V14" i="28" s="1"/>
  <c r="J17" i="28"/>
  <c r="J35" i="28"/>
  <c r="F8" i="28"/>
  <c r="J25" i="28"/>
  <c r="J48" i="28"/>
  <c r="J32" i="28"/>
  <c r="J19" i="28"/>
  <c r="D14" i="27"/>
  <c r="D12" i="27"/>
  <c r="J36" i="28"/>
  <c r="J41" i="28"/>
  <c r="E17" i="28"/>
  <c r="J52" i="28"/>
  <c r="V13" i="25"/>
  <c r="N6" i="28"/>
  <c r="J13" i="28" s="1"/>
  <c r="L13" i="28" s="1"/>
  <c r="V14" i="37"/>
  <c r="V13" i="37"/>
  <c r="D16" i="28"/>
  <c r="J21" i="28"/>
  <c r="V15" i="37"/>
  <c r="V12" i="27"/>
  <c r="F6" i="28"/>
  <c r="K13" i="28" s="1"/>
  <c r="I15" i="28"/>
  <c r="P15" i="28" s="1"/>
  <c r="J24" i="28"/>
  <c r="J33" i="28"/>
  <c r="J49" i="28"/>
  <c r="F7" i="28"/>
  <c r="J14" i="28"/>
  <c r="J47" i="28"/>
  <c r="J39" i="28"/>
  <c r="J31" i="28"/>
  <c r="J23" i="28"/>
  <c r="J15" i="28"/>
  <c r="J46" i="28"/>
  <c r="J38" i="28"/>
  <c r="J30" i="28"/>
  <c r="J22" i="28"/>
  <c r="J45" i="28"/>
  <c r="J37" i="28"/>
  <c r="J29" i="28"/>
  <c r="J50" i="28"/>
  <c r="J42" i="28"/>
  <c r="J34" i="28"/>
  <c r="J26" i="28"/>
  <c r="J18" i="28"/>
  <c r="J16" i="28"/>
  <c r="J27" i="28"/>
  <c r="J43" i="28"/>
  <c r="J20" i="28"/>
  <c r="J28" i="28"/>
  <c r="J44" i="28"/>
  <c r="C6" i="27"/>
  <c r="F13" i="27"/>
  <c r="G13" i="27" s="1"/>
  <c r="A7" i="27"/>
  <c r="F14" i="27"/>
  <c r="G14" i="27" s="1"/>
  <c r="F12" i="27"/>
  <c r="G12" i="27" s="1"/>
  <c r="F7" i="27"/>
  <c r="P13" i="27"/>
  <c r="S15" i="27"/>
  <c r="U15" i="27"/>
  <c r="V15" i="27" s="1"/>
  <c r="J16" i="27"/>
  <c r="J20" i="27"/>
  <c r="D15" i="25"/>
  <c r="J47" i="27"/>
  <c r="J39" i="27"/>
  <c r="J31" i="27"/>
  <c r="J23" i="27"/>
  <c r="J15" i="27"/>
  <c r="J46" i="27"/>
  <c r="J38" i="27"/>
  <c r="J30" i="27"/>
  <c r="J22" i="27"/>
  <c r="J14" i="27"/>
  <c r="J45" i="27"/>
  <c r="J37" i="27"/>
  <c r="J29" i="27"/>
  <c r="J21" i="27"/>
  <c r="J49" i="27"/>
  <c r="J41" i="27"/>
  <c r="J33" i="27"/>
  <c r="J25" i="27"/>
  <c r="J17" i="27"/>
  <c r="J44" i="27"/>
  <c r="J28" i="27"/>
  <c r="J40" i="27"/>
  <c r="J43" i="27"/>
  <c r="J27" i="27"/>
  <c r="J42" i="27"/>
  <c r="J26" i="27"/>
  <c r="J24" i="27"/>
  <c r="J51" i="27"/>
  <c r="J35" i="27"/>
  <c r="J19" i="27"/>
  <c r="J13" i="27"/>
  <c r="S12" i="27"/>
  <c r="J50" i="27"/>
  <c r="J34" i="27"/>
  <c r="J18" i="27"/>
  <c r="J48" i="27"/>
  <c r="F6" i="27"/>
  <c r="K13" i="27" s="1"/>
  <c r="J52" i="27"/>
  <c r="U14" i="27"/>
  <c r="V14" i="27" s="1"/>
  <c r="S14" i="27"/>
  <c r="D15" i="27"/>
  <c r="D13" i="27"/>
  <c r="F15" i="27"/>
  <c r="G15" i="27" s="1"/>
  <c r="E16" i="27"/>
  <c r="C6" i="37"/>
  <c r="P12" i="37"/>
  <c r="U12" i="37" s="1"/>
  <c r="V12" i="37" s="1"/>
  <c r="N7" i="37"/>
  <c r="J46" i="37" s="1"/>
  <c r="D13" i="37"/>
  <c r="D12" i="37"/>
  <c r="D14" i="37"/>
  <c r="F8" i="37"/>
  <c r="D15" i="37"/>
  <c r="E17" i="37"/>
  <c r="I16" i="37"/>
  <c r="P16" i="37" s="1"/>
  <c r="J13" i="37"/>
  <c r="J27" i="37"/>
  <c r="J44" i="37"/>
  <c r="C6" i="25"/>
  <c r="F13" i="25"/>
  <c r="G13" i="25" s="1"/>
  <c r="F14" i="25"/>
  <c r="G14" i="25" s="1"/>
  <c r="F12" i="25"/>
  <c r="G12" i="25" s="1"/>
  <c r="J34" i="25"/>
  <c r="N6" i="25"/>
  <c r="J13" i="25" s="1"/>
  <c r="N7" i="25"/>
  <c r="D14" i="25"/>
  <c r="J29" i="25"/>
  <c r="I15" i="25"/>
  <c r="P15" i="25" s="1"/>
  <c r="E16" i="25"/>
  <c r="F15" i="25"/>
  <c r="G15" i="25" s="1"/>
  <c r="D13" i="35"/>
  <c r="D14" i="35"/>
  <c r="V12" i="35"/>
  <c r="D14" i="36"/>
  <c r="V13" i="36"/>
  <c r="V12" i="36"/>
  <c r="J38" i="25"/>
  <c r="J45" i="25"/>
  <c r="J52" i="25"/>
  <c r="J44" i="25"/>
  <c r="J28" i="25"/>
  <c r="J37" i="25"/>
  <c r="J32" i="25"/>
  <c r="J25" i="25"/>
  <c r="J50" i="25"/>
  <c r="J41" i="25"/>
  <c r="J18" i="25"/>
  <c r="A7" i="25"/>
  <c r="S12" i="25"/>
  <c r="D13" i="25"/>
  <c r="S13" i="25"/>
  <c r="J31" i="25"/>
  <c r="J40" i="25"/>
  <c r="J49" i="25"/>
  <c r="P14" i="25"/>
  <c r="P12" i="25"/>
  <c r="U12" i="25" s="1"/>
  <c r="V12" i="25" s="1"/>
  <c r="F6" i="25"/>
  <c r="K13" i="25" s="1"/>
  <c r="J43" i="25"/>
  <c r="K13" i="36"/>
  <c r="C6" i="36"/>
  <c r="F13" i="36"/>
  <c r="G13" i="36" s="1"/>
  <c r="F12" i="36"/>
  <c r="G12" i="36" s="1"/>
  <c r="F14" i="36"/>
  <c r="G14" i="36" s="1"/>
  <c r="A7" i="36"/>
  <c r="N6" i="36"/>
  <c r="U16" i="36"/>
  <c r="V16" i="36" s="1"/>
  <c r="J46" i="36"/>
  <c r="U14" i="36"/>
  <c r="V14" i="36" s="1"/>
  <c r="J45" i="36"/>
  <c r="J37" i="36"/>
  <c r="J29" i="36"/>
  <c r="J21" i="36"/>
  <c r="J13" i="36"/>
  <c r="S12" i="36"/>
  <c r="S14" i="36" s="1"/>
  <c r="J52" i="36"/>
  <c r="J44" i="36"/>
  <c r="J36" i="36"/>
  <c r="J28" i="36"/>
  <c r="J20" i="36"/>
  <c r="J51" i="36"/>
  <c r="J43" i="36"/>
  <c r="J35" i="36"/>
  <c r="J27" i="36"/>
  <c r="J19" i="36"/>
  <c r="J50" i="36"/>
  <c r="J42" i="36"/>
  <c r="J34" i="36"/>
  <c r="J26" i="36"/>
  <c r="J18" i="36"/>
  <c r="J41" i="36"/>
  <c r="J25" i="36"/>
  <c r="J17" i="36"/>
  <c r="J40" i="36"/>
  <c r="J24" i="36"/>
  <c r="J14" i="36"/>
  <c r="J39" i="36"/>
  <c r="J23" i="36"/>
  <c r="J38" i="36"/>
  <c r="J22" i="36"/>
  <c r="J49" i="36"/>
  <c r="J33" i="36"/>
  <c r="J48" i="36"/>
  <c r="F8" i="36"/>
  <c r="P15" i="36"/>
  <c r="J30" i="36"/>
  <c r="J32" i="36"/>
  <c r="J47" i="36"/>
  <c r="D12" i="35"/>
  <c r="J15" i="36"/>
  <c r="D15" i="35"/>
  <c r="D12" i="36"/>
  <c r="D13" i="36"/>
  <c r="E17" i="36"/>
  <c r="F16" i="36"/>
  <c r="G16" i="36" s="1"/>
  <c r="D16" i="36"/>
  <c r="D15" i="36"/>
  <c r="F15" i="36"/>
  <c r="G15" i="36" s="1"/>
  <c r="U14" i="35"/>
  <c r="V14" i="35" s="1"/>
  <c r="J38" i="35"/>
  <c r="J32" i="35"/>
  <c r="J43" i="35"/>
  <c r="J34" i="35"/>
  <c r="J25" i="35"/>
  <c r="J22" i="35"/>
  <c r="J19" i="35"/>
  <c r="J16" i="35"/>
  <c r="D12" i="34"/>
  <c r="D15" i="34"/>
  <c r="D16" i="34"/>
  <c r="R13" i="35"/>
  <c r="J40" i="35"/>
  <c r="J46" i="35"/>
  <c r="V14" i="34"/>
  <c r="V12" i="34"/>
  <c r="J45" i="35"/>
  <c r="J37" i="35"/>
  <c r="J29" i="35"/>
  <c r="J21" i="35"/>
  <c r="J52" i="35"/>
  <c r="J44" i="35"/>
  <c r="J36" i="35"/>
  <c r="J28" i="35"/>
  <c r="J20" i="35"/>
  <c r="J47" i="35"/>
  <c r="J39" i="35"/>
  <c r="J31" i="35"/>
  <c r="J23" i="35"/>
  <c r="J15" i="35"/>
  <c r="U13" i="35"/>
  <c r="V13" i="35" s="1"/>
  <c r="J24" i="35"/>
  <c r="J30" i="35"/>
  <c r="J33" i="35"/>
  <c r="J42" i="35"/>
  <c r="J51" i="35"/>
  <c r="J13" i="35"/>
  <c r="J18" i="35"/>
  <c r="J27" i="35"/>
  <c r="J14" i="35"/>
  <c r="U15" i="35"/>
  <c r="V15" i="35" s="1"/>
  <c r="J17" i="35"/>
  <c r="J26" i="35"/>
  <c r="J35" i="35"/>
  <c r="J41" i="35"/>
  <c r="J50" i="35"/>
  <c r="E16" i="35"/>
  <c r="J48" i="35"/>
  <c r="C6" i="34"/>
  <c r="F12" i="34"/>
  <c r="G12" i="34" s="1"/>
  <c r="A7" i="34"/>
  <c r="F13" i="34"/>
  <c r="G13" i="34" s="1"/>
  <c r="F14" i="34"/>
  <c r="G14" i="34" s="1"/>
  <c r="M13" i="34"/>
  <c r="N7" i="34"/>
  <c r="N6" i="34"/>
  <c r="U16" i="34"/>
  <c r="V16" i="34" s="1"/>
  <c r="J39" i="34"/>
  <c r="J42" i="34"/>
  <c r="J48" i="34"/>
  <c r="J51" i="34"/>
  <c r="F6" i="34"/>
  <c r="K13" i="34" s="1"/>
  <c r="F7" i="34"/>
  <c r="V12" i="23"/>
  <c r="E17" i="34"/>
  <c r="F16" i="34"/>
  <c r="G16" i="34" s="1"/>
  <c r="P13" i="34"/>
  <c r="D13" i="23"/>
  <c r="J45" i="34"/>
  <c r="J37" i="34"/>
  <c r="J29" i="34"/>
  <c r="J21" i="34"/>
  <c r="J52" i="34"/>
  <c r="J44" i="34"/>
  <c r="J49" i="34"/>
  <c r="J41" i="34"/>
  <c r="J33" i="34"/>
  <c r="J25" i="34"/>
  <c r="J17" i="34"/>
  <c r="J35" i="34"/>
  <c r="J30" i="34"/>
  <c r="J28" i="34"/>
  <c r="J23" i="34"/>
  <c r="J18" i="34"/>
  <c r="S12" i="34"/>
  <c r="S14" i="34" s="1"/>
  <c r="J50" i="34"/>
  <c r="J47" i="34"/>
  <c r="J38" i="34"/>
  <c r="J16" i="34"/>
  <c r="J13" i="34"/>
  <c r="L13" i="34" s="1"/>
  <c r="N13" i="34" s="1"/>
  <c r="J43" i="34"/>
  <c r="J40" i="34"/>
  <c r="J24" i="34"/>
  <c r="J19" i="34"/>
  <c r="J14" i="34"/>
  <c r="J46" i="34"/>
  <c r="J34" i="34"/>
  <c r="P15" i="34"/>
  <c r="J27" i="34"/>
  <c r="J32" i="34"/>
  <c r="D14" i="34"/>
  <c r="D13" i="34"/>
  <c r="V12" i="24"/>
  <c r="F15" i="34"/>
  <c r="G15" i="34" s="1"/>
  <c r="V12" i="26"/>
  <c r="C6" i="23"/>
  <c r="F12" i="23"/>
  <c r="G12" i="23" s="1"/>
  <c r="F13" i="23"/>
  <c r="G13" i="23" s="1"/>
  <c r="I14" i="23"/>
  <c r="E15" i="23"/>
  <c r="F14" i="23"/>
  <c r="G14" i="23" s="1"/>
  <c r="D14" i="23"/>
  <c r="N7" i="23"/>
  <c r="J37" i="23" s="1"/>
  <c r="J16" i="23"/>
  <c r="D13" i="26"/>
  <c r="U13" i="23"/>
  <c r="V13" i="23" s="1"/>
  <c r="J29" i="23"/>
  <c r="J21" i="23"/>
  <c r="J13" i="23"/>
  <c r="S12" i="23"/>
  <c r="J19" i="23"/>
  <c r="J18" i="23"/>
  <c r="D12" i="26"/>
  <c r="R13" i="26"/>
  <c r="N7" i="26"/>
  <c r="J18" i="26" s="1"/>
  <c r="U13" i="26"/>
  <c r="V13" i="26" s="1"/>
  <c r="V12" i="32"/>
  <c r="U14" i="26"/>
  <c r="V14" i="26" s="1"/>
  <c r="J46" i="26"/>
  <c r="J29" i="26"/>
  <c r="J21" i="26"/>
  <c r="J13" i="26"/>
  <c r="J48" i="26"/>
  <c r="J40" i="26"/>
  <c r="E15" i="26"/>
  <c r="J27" i="26"/>
  <c r="D13" i="24"/>
  <c r="D12" i="24"/>
  <c r="N6" i="24"/>
  <c r="N7" i="24"/>
  <c r="J14" i="24" s="1"/>
  <c r="V12" i="31"/>
  <c r="D12" i="32"/>
  <c r="J38" i="24"/>
  <c r="J30" i="24"/>
  <c r="J13" i="24"/>
  <c r="J52" i="24"/>
  <c r="J33" i="24"/>
  <c r="J25" i="24"/>
  <c r="U13" i="24"/>
  <c r="V13" i="24" s="1"/>
  <c r="J18" i="24"/>
  <c r="I14" i="24"/>
  <c r="D14" i="24"/>
  <c r="J42" i="24"/>
  <c r="E15" i="24"/>
  <c r="C6" i="32"/>
  <c r="F13" i="32"/>
  <c r="G13" i="32" s="1"/>
  <c r="F14" i="32"/>
  <c r="G14" i="32" s="1"/>
  <c r="F12" i="32"/>
  <c r="G12" i="32" s="1"/>
  <c r="F15" i="32"/>
  <c r="G15" i="32" s="1"/>
  <c r="J19" i="32"/>
  <c r="J52" i="32"/>
  <c r="D14" i="31"/>
  <c r="D13" i="31"/>
  <c r="V14" i="31"/>
  <c r="V13" i="30"/>
  <c r="D15" i="31"/>
  <c r="E17" i="32"/>
  <c r="F16" i="32"/>
  <c r="G16" i="32" s="1"/>
  <c r="D16" i="32"/>
  <c r="J51" i="32"/>
  <c r="D13" i="32"/>
  <c r="A7" i="32"/>
  <c r="U13" i="32"/>
  <c r="V13" i="32" s="1"/>
  <c r="U14" i="32"/>
  <c r="V14" i="32" s="1"/>
  <c r="I16" i="32"/>
  <c r="P16" i="32" s="1"/>
  <c r="J31" i="32"/>
  <c r="J40" i="32"/>
  <c r="J16" i="32"/>
  <c r="J47" i="32"/>
  <c r="J46" i="32"/>
  <c r="J38" i="32"/>
  <c r="J30" i="32"/>
  <c r="J22" i="32"/>
  <c r="J14" i="32"/>
  <c r="J45" i="32"/>
  <c r="J37" i="32"/>
  <c r="J29" i="32"/>
  <c r="J21" i="32"/>
  <c r="J13" i="32"/>
  <c r="J50" i="32"/>
  <c r="J42" i="32"/>
  <c r="J34" i="32"/>
  <c r="J26" i="32"/>
  <c r="J18" i="32"/>
  <c r="J44" i="32"/>
  <c r="J20" i="32"/>
  <c r="J17" i="32"/>
  <c r="J43" i="32"/>
  <c r="J35" i="32"/>
  <c r="J32" i="32"/>
  <c r="J23" i="32"/>
  <c r="J41" i="32"/>
  <c r="J28" i="32"/>
  <c r="J25" i="32"/>
  <c r="J49" i="32"/>
  <c r="J36" i="32"/>
  <c r="J33" i="32"/>
  <c r="J27" i="32"/>
  <c r="J24" i="32"/>
  <c r="J15" i="32"/>
  <c r="S12" i="32"/>
  <c r="S14" i="32" s="1"/>
  <c r="J48" i="32"/>
  <c r="J39" i="32"/>
  <c r="I15" i="32"/>
  <c r="P15" i="32" s="1"/>
  <c r="D15" i="32"/>
  <c r="C6" i="31"/>
  <c r="F12" i="31"/>
  <c r="G12" i="31" s="1"/>
  <c r="F13" i="31"/>
  <c r="G13" i="31" s="1"/>
  <c r="A7" i="31"/>
  <c r="F14" i="31"/>
  <c r="G14" i="31" s="1"/>
  <c r="J27" i="31"/>
  <c r="J36" i="31"/>
  <c r="S14" i="31"/>
  <c r="N7" i="31"/>
  <c r="J32" i="31" s="1"/>
  <c r="P13" i="31"/>
  <c r="D13" i="29"/>
  <c r="D14" i="29"/>
  <c r="V12" i="29"/>
  <c r="D12" i="29"/>
  <c r="J47" i="31"/>
  <c r="J39" i="31"/>
  <c r="J21" i="31"/>
  <c r="J13" i="31"/>
  <c r="L13" i="31" s="1"/>
  <c r="N13" i="31" s="1"/>
  <c r="J42" i="31"/>
  <c r="J34" i="31"/>
  <c r="J20" i="31"/>
  <c r="J15" i="31"/>
  <c r="J48" i="31"/>
  <c r="J35" i="31"/>
  <c r="S12" i="31"/>
  <c r="J33" i="31"/>
  <c r="J23" i="31"/>
  <c r="J41" i="31"/>
  <c r="J49" i="31"/>
  <c r="J46" i="31"/>
  <c r="J40" i="31"/>
  <c r="J17" i="31"/>
  <c r="K13" i="31"/>
  <c r="E16" i="31"/>
  <c r="F15" i="31"/>
  <c r="G15" i="31" s="1"/>
  <c r="D12" i="31"/>
  <c r="I15" i="31"/>
  <c r="K13" i="30"/>
  <c r="J47" i="30"/>
  <c r="J31" i="30"/>
  <c r="J23" i="30"/>
  <c r="J46" i="30"/>
  <c r="J30" i="30"/>
  <c r="J22" i="30"/>
  <c r="J45" i="30"/>
  <c r="J37" i="30"/>
  <c r="J21" i="30"/>
  <c r="J44" i="30"/>
  <c r="J36" i="30"/>
  <c r="J20" i="30"/>
  <c r="J43" i="30"/>
  <c r="S12" i="30"/>
  <c r="J42" i="30"/>
  <c r="J26" i="30"/>
  <c r="J25" i="30"/>
  <c r="J50" i="30"/>
  <c r="J18" i="30"/>
  <c r="J33" i="30"/>
  <c r="J17" i="30"/>
  <c r="J35" i="30"/>
  <c r="J40" i="30"/>
  <c r="V12" i="30"/>
  <c r="J48" i="30"/>
  <c r="J19" i="30"/>
  <c r="J24" i="30"/>
  <c r="D12" i="30"/>
  <c r="D13" i="30"/>
  <c r="P14" i="30"/>
  <c r="J32" i="30"/>
  <c r="N7" i="30"/>
  <c r="J15" i="30" s="1"/>
  <c r="N6" i="30"/>
  <c r="J13" i="30" s="1"/>
  <c r="L13" i="30" s="1"/>
  <c r="D14" i="30"/>
  <c r="E15" i="30"/>
  <c r="V15" i="29"/>
  <c r="C6" i="29"/>
  <c r="F13" i="29"/>
  <c r="G13" i="29" s="1"/>
  <c r="F14" i="29"/>
  <c r="G14" i="29" s="1"/>
  <c r="F15" i="29"/>
  <c r="G15" i="29" s="1"/>
  <c r="F12" i="29"/>
  <c r="G12" i="29" s="1"/>
  <c r="S15" i="29"/>
  <c r="J20" i="29"/>
  <c r="J35" i="29"/>
  <c r="J41" i="29"/>
  <c r="F7" i="29"/>
  <c r="P13" i="29"/>
  <c r="J17" i="29"/>
  <c r="J32" i="29"/>
  <c r="J15" i="29"/>
  <c r="J38" i="29"/>
  <c r="F6" i="29"/>
  <c r="J47" i="29"/>
  <c r="J39" i="29"/>
  <c r="J31" i="29"/>
  <c r="J23" i="29"/>
  <c r="J45" i="29"/>
  <c r="J37" i="29"/>
  <c r="J29" i="29"/>
  <c r="J21" i="29"/>
  <c r="J13" i="29"/>
  <c r="J50" i="29"/>
  <c r="J42" i="29"/>
  <c r="J34" i="29"/>
  <c r="J26" i="29"/>
  <c r="J18" i="29"/>
  <c r="J36" i="29"/>
  <c r="J33" i="29"/>
  <c r="J30" i="29"/>
  <c r="J27" i="29"/>
  <c r="J24" i="29"/>
  <c r="J51" i="29"/>
  <c r="J48" i="29"/>
  <c r="J28" i="29"/>
  <c r="J25" i="29"/>
  <c r="J22" i="29"/>
  <c r="J19" i="29"/>
  <c r="J16" i="29"/>
  <c r="S12" i="29"/>
  <c r="J52" i="29"/>
  <c r="J49" i="29"/>
  <c r="J46" i="29"/>
  <c r="J43" i="29"/>
  <c r="J40" i="29"/>
  <c r="P14" i="29"/>
  <c r="D15" i="29"/>
  <c r="A7" i="29"/>
  <c r="E16" i="29"/>
  <c r="E12" i="49"/>
  <c r="D12" i="49"/>
  <c r="C12" i="49"/>
  <c r="K2" i="45"/>
  <c r="J2" i="45"/>
  <c r="I2" i="45"/>
  <c r="M2" i="45"/>
  <c r="M2" i="43"/>
  <c r="L2" i="43"/>
  <c r="B6" i="43"/>
  <c r="F2" i="43"/>
  <c r="I2" i="43"/>
  <c r="O2" i="43"/>
  <c r="N2" i="43"/>
  <c r="B6" i="42"/>
  <c r="O2" i="42"/>
  <c r="J2" i="42"/>
  <c r="I2" i="42"/>
  <c r="N2" i="42"/>
  <c r="F2" i="42"/>
  <c r="K2" i="42"/>
  <c r="L2" i="42"/>
  <c r="M2" i="42"/>
  <c r="M2" i="41"/>
  <c r="B6" i="41"/>
  <c r="I2" i="41"/>
  <c r="N2" i="41"/>
  <c r="J2" i="41"/>
  <c r="O2" i="41"/>
  <c r="F2" i="41"/>
  <c r="I2" i="40"/>
  <c r="K2" i="40"/>
  <c r="J2" i="39"/>
  <c r="K2" i="39"/>
  <c r="I2" i="39"/>
  <c r="F2" i="38"/>
  <c r="L2" i="38"/>
  <c r="B6" i="38"/>
  <c r="O2" i="38"/>
  <c r="N2" i="38"/>
  <c r="J2" i="38"/>
  <c r="B6" i="28"/>
  <c r="K2" i="28"/>
  <c r="J2" i="28"/>
  <c r="L2" i="28"/>
  <c r="I2" i="28"/>
  <c r="N2" i="28"/>
  <c r="K2" i="27"/>
  <c r="N2" i="37"/>
  <c r="F2" i="37"/>
  <c r="M2" i="37"/>
  <c r="I2" i="37"/>
  <c r="O2" i="37"/>
  <c r="L2" i="25"/>
  <c r="K2" i="25"/>
  <c r="K2" i="36"/>
  <c r="B6" i="35"/>
  <c r="I2" i="35"/>
  <c r="J2" i="35"/>
  <c r="K2" i="35"/>
  <c r="F2" i="35"/>
  <c r="M2" i="35"/>
  <c r="O2" i="35"/>
  <c r="N2" i="35"/>
  <c r="L2" i="35"/>
  <c r="K2" i="34"/>
  <c r="L2" i="34"/>
  <c r="F2" i="23"/>
  <c r="N2" i="23"/>
  <c r="K2" i="23"/>
  <c r="O2" i="23"/>
  <c r="L2" i="23"/>
  <c r="B6" i="26"/>
  <c r="F2" i="26"/>
  <c r="N2" i="26"/>
  <c r="K2" i="26"/>
  <c r="L2" i="26"/>
  <c r="I2" i="26"/>
  <c r="O2" i="26"/>
  <c r="F2" i="24"/>
  <c r="B6" i="24"/>
  <c r="K2" i="24"/>
  <c r="M2" i="24"/>
  <c r="J2" i="24"/>
  <c r="I2" i="24"/>
  <c r="O2" i="24"/>
  <c r="N2" i="24"/>
  <c r="O2" i="32"/>
  <c r="K2" i="32"/>
  <c r="F2" i="31"/>
  <c r="L2" i="31"/>
  <c r="K2" i="31"/>
  <c r="N2" i="31"/>
  <c r="M2" i="31"/>
  <c r="B6" i="30"/>
  <c r="M2" i="30"/>
  <c r="J2" i="30"/>
  <c r="L2" i="30"/>
  <c r="O2" i="29"/>
  <c r="K2" i="29"/>
  <c r="F12" i="49" l="1"/>
  <c r="W13" i="39"/>
  <c r="R14" i="45"/>
  <c r="W14" i="45"/>
  <c r="W12" i="45"/>
  <c r="M13" i="45"/>
  <c r="N13" i="45"/>
  <c r="E17" i="45"/>
  <c r="F16" i="45"/>
  <c r="G16" i="45" s="1"/>
  <c r="D16" i="45"/>
  <c r="I16" i="45"/>
  <c r="P16" i="45" s="1"/>
  <c r="R15" i="45"/>
  <c r="Q13" i="45"/>
  <c r="R13" i="45"/>
  <c r="W13" i="45"/>
  <c r="S15" i="45"/>
  <c r="W15" i="45" s="1"/>
  <c r="K13" i="43"/>
  <c r="F13" i="43"/>
  <c r="G13" i="43" s="1"/>
  <c r="F12" i="43"/>
  <c r="G12" i="43" s="1"/>
  <c r="S13" i="43"/>
  <c r="W13" i="43" s="1"/>
  <c r="A7" i="43"/>
  <c r="F14" i="43"/>
  <c r="G14" i="43" s="1"/>
  <c r="C6" i="43"/>
  <c r="I15" i="43"/>
  <c r="P15" i="43" s="1"/>
  <c r="E16" i="43"/>
  <c r="F15" i="43"/>
  <c r="G15" i="43" s="1"/>
  <c r="D15" i="43"/>
  <c r="R13" i="43"/>
  <c r="W12" i="39"/>
  <c r="F8" i="43"/>
  <c r="P14" i="43"/>
  <c r="F7" i="43"/>
  <c r="L13" i="43"/>
  <c r="F13" i="42"/>
  <c r="G13" i="42" s="1"/>
  <c r="A7" i="42"/>
  <c r="F12" i="42"/>
  <c r="G12" i="42" s="1"/>
  <c r="F14" i="42"/>
  <c r="G14" i="42" s="1"/>
  <c r="S13" i="42"/>
  <c r="S14" i="42"/>
  <c r="S15" i="42"/>
  <c r="F15" i="42"/>
  <c r="G15" i="42" s="1"/>
  <c r="K13" i="42"/>
  <c r="L13" i="42" s="1"/>
  <c r="C6" i="42"/>
  <c r="J49" i="42"/>
  <c r="J38" i="42"/>
  <c r="J26" i="42"/>
  <c r="J34" i="42"/>
  <c r="J28" i="42"/>
  <c r="J27" i="42"/>
  <c r="J21" i="42"/>
  <c r="J46" i="42"/>
  <c r="J42" i="42"/>
  <c r="J17" i="42"/>
  <c r="J25" i="42"/>
  <c r="J14" i="42"/>
  <c r="J36" i="42"/>
  <c r="J24" i="42"/>
  <c r="J20" i="42"/>
  <c r="J51" i="42"/>
  <c r="J40" i="42"/>
  <c r="J52" i="42"/>
  <c r="J35" i="42"/>
  <c r="J19" i="42"/>
  <c r="J48" i="42"/>
  <c r="J32" i="42"/>
  <c r="J16" i="42"/>
  <c r="J31" i="42"/>
  <c r="W15" i="27"/>
  <c r="W13" i="40"/>
  <c r="W12" i="40"/>
  <c r="J33" i="42"/>
  <c r="J22" i="42"/>
  <c r="J47" i="42"/>
  <c r="I16" i="42"/>
  <c r="P16" i="42" s="1"/>
  <c r="E17" i="42"/>
  <c r="F16" i="42"/>
  <c r="G16" i="42" s="1"/>
  <c r="D16" i="42"/>
  <c r="J45" i="42"/>
  <c r="J44" i="42"/>
  <c r="J43" i="42"/>
  <c r="J41" i="42"/>
  <c r="J30" i="42"/>
  <c r="J50" i="42"/>
  <c r="F12" i="41"/>
  <c r="G12" i="41" s="1"/>
  <c r="F13" i="41"/>
  <c r="G13" i="41" s="1"/>
  <c r="A7" i="41"/>
  <c r="S14" i="41"/>
  <c r="S13" i="41"/>
  <c r="W13" i="41" s="1"/>
  <c r="F14" i="41"/>
  <c r="G14" i="41" s="1"/>
  <c r="K13" i="41"/>
  <c r="L13" i="41" s="1"/>
  <c r="C6" i="41"/>
  <c r="J49" i="41"/>
  <c r="J28" i="41"/>
  <c r="J29" i="41"/>
  <c r="J16" i="41"/>
  <c r="J41" i="41"/>
  <c r="J21" i="41"/>
  <c r="J17" i="41"/>
  <c r="I15" i="41"/>
  <c r="F15" i="41"/>
  <c r="G15" i="41" s="1"/>
  <c r="E16" i="41"/>
  <c r="D15" i="41"/>
  <c r="J52" i="41"/>
  <c r="R14" i="40"/>
  <c r="J40" i="40"/>
  <c r="J24" i="40"/>
  <c r="J48" i="40"/>
  <c r="J32" i="40"/>
  <c r="J16" i="40"/>
  <c r="J52" i="40"/>
  <c r="J35" i="40"/>
  <c r="J51" i="40"/>
  <c r="J19" i="40"/>
  <c r="J20" i="40"/>
  <c r="J36" i="40"/>
  <c r="I15" i="40"/>
  <c r="P15" i="40" s="1"/>
  <c r="E16" i="40"/>
  <c r="F15" i="40"/>
  <c r="G15" i="40" s="1"/>
  <c r="D15" i="40"/>
  <c r="L13" i="40"/>
  <c r="F7" i="40"/>
  <c r="F8" i="40"/>
  <c r="P14" i="40"/>
  <c r="R15" i="39"/>
  <c r="S15" i="39"/>
  <c r="U15" i="39"/>
  <c r="V15" i="39" s="1"/>
  <c r="W14" i="39"/>
  <c r="R13" i="39"/>
  <c r="E18" i="39"/>
  <c r="F17" i="39"/>
  <c r="G17" i="39" s="1"/>
  <c r="D17" i="39"/>
  <c r="I17" i="39"/>
  <c r="P17" i="39" s="1"/>
  <c r="R17" i="39"/>
  <c r="R14" i="39"/>
  <c r="L13" i="39"/>
  <c r="F8" i="39"/>
  <c r="C6" i="38"/>
  <c r="F12" i="38"/>
  <c r="G12" i="38" s="1"/>
  <c r="F14" i="38"/>
  <c r="G14" i="38" s="1"/>
  <c r="F13" i="38"/>
  <c r="G13" i="38" s="1"/>
  <c r="F15" i="38"/>
  <c r="G15" i="38" s="1"/>
  <c r="A7" i="38"/>
  <c r="S14" i="38"/>
  <c r="S13" i="38"/>
  <c r="W12" i="38" s="1"/>
  <c r="P15" i="38"/>
  <c r="F8" i="38"/>
  <c r="I16" i="38"/>
  <c r="P16" i="38" s="1"/>
  <c r="E17" i="38"/>
  <c r="F16" i="38"/>
  <c r="G16" i="38" s="1"/>
  <c r="D16" i="38"/>
  <c r="J27" i="38"/>
  <c r="J36" i="38"/>
  <c r="J16" i="38"/>
  <c r="K13" i="38"/>
  <c r="L13" i="38" s="1"/>
  <c r="J49" i="38"/>
  <c r="J28" i="38"/>
  <c r="J21" i="38"/>
  <c r="J46" i="38"/>
  <c r="J20" i="38"/>
  <c r="F13" i="28"/>
  <c r="G13" i="28" s="1"/>
  <c r="A7" i="28"/>
  <c r="F12" i="28"/>
  <c r="G12" i="28" s="1"/>
  <c r="F14" i="28"/>
  <c r="G14" i="28" s="1"/>
  <c r="S14" i="28"/>
  <c r="F15" i="28"/>
  <c r="G15" i="28" s="1"/>
  <c r="S13" i="28"/>
  <c r="F16" i="28"/>
  <c r="G16" i="28" s="1"/>
  <c r="S16" i="28"/>
  <c r="C6" i="28"/>
  <c r="N13" i="28"/>
  <c r="Q13" i="28" s="1"/>
  <c r="M13" i="28"/>
  <c r="K14" i="28" s="1"/>
  <c r="L14" i="28" s="1"/>
  <c r="N14" i="28" s="1"/>
  <c r="S15" i="28"/>
  <c r="U15" i="28"/>
  <c r="V15" i="28" s="1"/>
  <c r="D17" i="28"/>
  <c r="E18" i="28"/>
  <c r="F17" i="28"/>
  <c r="G17" i="28" s="1"/>
  <c r="I17" i="28"/>
  <c r="P17" i="28" s="1"/>
  <c r="L13" i="27"/>
  <c r="I16" i="27"/>
  <c r="P16" i="27" s="1"/>
  <c r="E17" i="27"/>
  <c r="F16" i="27"/>
  <c r="G16" i="27" s="1"/>
  <c r="D16" i="27"/>
  <c r="R15" i="27"/>
  <c r="U13" i="27"/>
  <c r="V13" i="27" s="1"/>
  <c r="S13" i="27"/>
  <c r="W14" i="27" s="1"/>
  <c r="R16" i="27"/>
  <c r="R13" i="27"/>
  <c r="K13" i="37"/>
  <c r="F14" i="37"/>
  <c r="G14" i="37" s="1"/>
  <c r="F12" i="37"/>
  <c r="G12" i="37" s="1"/>
  <c r="F13" i="37"/>
  <c r="G13" i="37" s="1"/>
  <c r="F15" i="37"/>
  <c r="G15" i="37" s="1"/>
  <c r="S15" i="37"/>
  <c r="F16" i="37"/>
  <c r="G16" i="37" s="1"/>
  <c r="A7" i="37"/>
  <c r="S14" i="37"/>
  <c r="S13" i="37"/>
  <c r="W12" i="37" s="1"/>
  <c r="J49" i="37"/>
  <c r="J48" i="37"/>
  <c r="J38" i="37"/>
  <c r="J36" i="37"/>
  <c r="J52" i="37"/>
  <c r="J16" i="37"/>
  <c r="J41" i="37"/>
  <c r="J18" i="37"/>
  <c r="J47" i="37"/>
  <c r="J42" i="37"/>
  <c r="J39" i="37"/>
  <c r="J33" i="37"/>
  <c r="J50" i="37"/>
  <c r="J19" i="37"/>
  <c r="J34" i="37"/>
  <c r="J31" i="37"/>
  <c r="J15" i="37"/>
  <c r="J20" i="37"/>
  <c r="J43" i="37"/>
  <c r="J51" i="37"/>
  <c r="J28" i="37"/>
  <c r="J25" i="37"/>
  <c r="J35" i="37"/>
  <c r="J21" i="37"/>
  <c r="J26" i="37"/>
  <c r="J14" i="37"/>
  <c r="J29" i="37"/>
  <c r="J23" i="37"/>
  <c r="J37" i="37"/>
  <c r="J17" i="37"/>
  <c r="J32" i="37"/>
  <c r="J45" i="37"/>
  <c r="L13" i="37"/>
  <c r="U16" i="37"/>
  <c r="V16" i="37" s="1"/>
  <c r="S16" i="37"/>
  <c r="J22" i="37"/>
  <c r="I17" i="37"/>
  <c r="P17" i="37" s="1"/>
  <c r="E18" i="37"/>
  <c r="F17" i="37"/>
  <c r="G17" i="37" s="1"/>
  <c r="D17" i="37"/>
  <c r="J24" i="37"/>
  <c r="J40" i="37"/>
  <c r="J30" i="37"/>
  <c r="F8" i="25"/>
  <c r="J23" i="25"/>
  <c r="J21" i="25"/>
  <c r="J19" i="25"/>
  <c r="J17" i="25"/>
  <c r="J16" i="25"/>
  <c r="S14" i="25"/>
  <c r="U14" i="25"/>
  <c r="V14" i="25" s="1"/>
  <c r="J27" i="25"/>
  <c r="J35" i="25"/>
  <c r="J36" i="25"/>
  <c r="J46" i="25"/>
  <c r="E17" i="25"/>
  <c r="F16" i="25"/>
  <c r="G16" i="25" s="1"/>
  <c r="D16" i="25"/>
  <c r="I16" i="25"/>
  <c r="P16" i="25" s="1"/>
  <c r="L13" i="25"/>
  <c r="J26" i="25"/>
  <c r="R14" i="25"/>
  <c r="J33" i="25"/>
  <c r="J39" i="25"/>
  <c r="J14" i="25"/>
  <c r="J51" i="25"/>
  <c r="U15" i="25"/>
  <c r="V15" i="25" s="1"/>
  <c r="S15" i="25"/>
  <c r="J47" i="25"/>
  <c r="J48" i="25"/>
  <c r="J22" i="25"/>
  <c r="J42" i="25"/>
  <c r="J24" i="25"/>
  <c r="W12" i="25"/>
  <c r="R13" i="25"/>
  <c r="J15" i="25"/>
  <c r="J20" i="25"/>
  <c r="J30" i="25"/>
  <c r="W13" i="25"/>
  <c r="R15" i="36"/>
  <c r="D17" i="36"/>
  <c r="E18" i="36"/>
  <c r="I17" i="36"/>
  <c r="P17" i="36" s="1"/>
  <c r="F17" i="36"/>
  <c r="G17" i="36" s="1"/>
  <c r="R13" i="36"/>
  <c r="S13" i="36"/>
  <c r="U15" i="36"/>
  <c r="V15" i="36" s="1"/>
  <c r="S15" i="36"/>
  <c r="L13" i="36"/>
  <c r="S16" i="36"/>
  <c r="K13" i="35"/>
  <c r="L13" i="35" s="1"/>
  <c r="F14" i="35"/>
  <c r="G14" i="35" s="1"/>
  <c r="F13" i="35"/>
  <c r="G13" i="35" s="1"/>
  <c r="F12" i="35"/>
  <c r="G12" i="35" s="1"/>
  <c r="S15" i="35"/>
  <c r="F15" i="35"/>
  <c r="G15" i="35" s="1"/>
  <c r="A7" i="35"/>
  <c r="S14" i="35"/>
  <c r="S13" i="35"/>
  <c r="C6" i="35"/>
  <c r="E17" i="35"/>
  <c r="F16" i="35"/>
  <c r="G16" i="35" s="1"/>
  <c r="I16" i="35"/>
  <c r="P16" i="35" s="1"/>
  <c r="D16" i="35"/>
  <c r="R15" i="34"/>
  <c r="U15" i="34"/>
  <c r="V15" i="34" s="1"/>
  <c r="S15" i="34"/>
  <c r="S13" i="34"/>
  <c r="U13" i="34"/>
  <c r="V13" i="34" s="1"/>
  <c r="F17" i="34"/>
  <c r="G17" i="34" s="1"/>
  <c r="D17" i="34"/>
  <c r="E18" i="34"/>
  <c r="I17" i="34"/>
  <c r="P17" i="34" s="1"/>
  <c r="S16" i="34"/>
  <c r="K14" i="34"/>
  <c r="L14" i="34" s="1"/>
  <c r="R13" i="34"/>
  <c r="Q13" i="34"/>
  <c r="J15" i="34"/>
  <c r="J36" i="34"/>
  <c r="J31" i="34"/>
  <c r="J20" i="34"/>
  <c r="J26" i="34"/>
  <c r="J22" i="34"/>
  <c r="K13" i="23"/>
  <c r="J43" i="23"/>
  <c r="J31" i="23"/>
  <c r="I15" i="23"/>
  <c r="P15" i="23" s="1"/>
  <c r="F15" i="23"/>
  <c r="G15" i="23" s="1"/>
  <c r="D15" i="23"/>
  <c r="E16" i="23"/>
  <c r="J51" i="23"/>
  <c r="J39" i="23"/>
  <c r="P14" i="23"/>
  <c r="F7" i="23"/>
  <c r="R13" i="23"/>
  <c r="J47" i="23"/>
  <c r="S13" i="23"/>
  <c r="W13" i="23" s="1"/>
  <c r="J26" i="23"/>
  <c r="L13" i="23"/>
  <c r="J27" i="23"/>
  <c r="J48" i="23"/>
  <c r="J20" i="23"/>
  <c r="J15" i="23"/>
  <c r="J50" i="23"/>
  <c r="J44" i="23"/>
  <c r="J41" i="23"/>
  <c r="J38" i="23"/>
  <c r="J32" i="23"/>
  <c r="J23" i="23"/>
  <c r="J52" i="23"/>
  <c r="J49" i="23"/>
  <c r="J46" i="23"/>
  <c r="J40" i="23"/>
  <c r="J14" i="23"/>
  <c r="J34" i="23"/>
  <c r="J28" i="23"/>
  <c r="J25" i="23"/>
  <c r="J33" i="23"/>
  <c r="J17" i="23"/>
  <c r="J22" i="23"/>
  <c r="J42" i="23"/>
  <c r="J36" i="23"/>
  <c r="J30" i="23"/>
  <c r="J24" i="23"/>
  <c r="J35" i="23"/>
  <c r="J45" i="23"/>
  <c r="K13" i="26"/>
  <c r="L13" i="26" s="1"/>
  <c r="A7" i="26"/>
  <c r="F13" i="26"/>
  <c r="G13" i="26" s="1"/>
  <c r="F12" i="26"/>
  <c r="G12" i="26" s="1"/>
  <c r="S13" i="26"/>
  <c r="W13" i="26" s="1"/>
  <c r="S14" i="26"/>
  <c r="F14" i="26"/>
  <c r="G14" i="26" s="1"/>
  <c r="C6" i="26"/>
  <c r="J45" i="26"/>
  <c r="J36" i="26"/>
  <c r="J14" i="26"/>
  <c r="J37" i="26"/>
  <c r="J50" i="26"/>
  <c r="J28" i="26"/>
  <c r="J16" i="26"/>
  <c r="J44" i="26"/>
  <c r="J22" i="26"/>
  <c r="J51" i="26"/>
  <c r="J19" i="26"/>
  <c r="J39" i="26"/>
  <c r="J23" i="26"/>
  <c r="J35" i="26"/>
  <c r="J41" i="26"/>
  <c r="J25" i="26"/>
  <c r="J33" i="26"/>
  <c r="J31" i="26"/>
  <c r="J17" i="26"/>
  <c r="J49" i="26"/>
  <c r="J47" i="26"/>
  <c r="J15" i="26"/>
  <c r="I15" i="26"/>
  <c r="E16" i="26"/>
  <c r="F15" i="26"/>
  <c r="G15" i="26" s="1"/>
  <c r="D15" i="26"/>
  <c r="J43" i="26"/>
  <c r="J24" i="26"/>
  <c r="J52" i="26"/>
  <c r="J30" i="26"/>
  <c r="J42" i="26"/>
  <c r="J20" i="26"/>
  <c r="J26" i="26"/>
  <c r="J34" i="26"/>
  <c r="J32" i="26"/>
  <c r="J38" i="26"/>
  <c r="K13" i="24"/>
  <c r="F12" i="24"/>
  <c r="G12" i="24" s="1"/>
  <c r="F13" i="24"/>
  <c r="G13" i="24" s="1"/>
  <c r="A7" i="24"/>
  <c r="S13" i="24"/>
  <c r="F14" i="24"/>
  <c r="G14" i="24" s="1"/>
  <c r="C6" i="24"/>
  <c r="F7" i="24"/>
  <c r="P14" i="24"/>
  <c r="F8" i="24"/>
  <c r="J16" i="24"/>
  <c r="J28" i="24"/>
  <c r="J45" i="24"/>
  <c r="J43" i="24"/>
  <c r="J50" i="24"/>
  <c r="J36" i="24"/>
  <c r="J40" i="24"/>
  <c r="J24" i="24"/>
  <c r="J47" i="24"/>
  <c r="J31" i="24"/>
  <c r="J15" i="24"/>
  <c r="J51" i="24"/>
  <c r="J39" i="24"/>
  <c r="J19" i="24"/>
  <c r="J35" i="24"/>
  <c r="J23" i="24"/>
  <c r="J27" i="24"/>
  <c r="J34" i="24"/>
  <c r="J17" i="24"/>
  <c r="J44" i="24"/>
  <c r="J22" i="24"/>
  <c r="I15" i="24"/>
  <c r="P15" i="24" s="1"/>
  <c r="E16" i="24"/>
  <c r="F15" i="24"/>
  <c r="G15" i="24" s="1"/>
  <c r="D15" i="24"/>
  <c r="J26" i="24"/>
  <c r="J48" i="24"/>
  <c r="J49" i="24"/>
  <c r="J29" i="24"/>
  <c r="L13" i="24"/>
  <c r="J41" i="24"/>
  <c r="J21" i="24"/>
  <c r="J46" i="24"/>
  <c r="J32" i="24"/>
  <c r="J20" i="24"/>
  <c r="J37" i="24"/>
  <c r="K13" i="32"/>
  <c r="R15" i="32"/>
  <c r="E18" i="32"/>
  <c r="F17" i="32"/>
  <c r="G17" i="32" s="1"/>
  <c r="I17" i="32"/>
  <c r="P17" i="32" s="1"/>
  <c r="D17" i="32"/>
  <c r="S13" i="32"/>
  <c r="W12" i="32" s="1"/>
  <c r="L13" i="32"/>
  <c r="U15" i="32"/>
  <c r="V15" i="32" s="1"/>
  <c r="S15" i="32"/>
  <c r="S16" i="32"/>
  <c r="U16" i="32"/>
  <c r="V16" i="32" s="1"/>
  <c r="R13" i="32"/>
  <c r="F8" i="32"/>
  <c r="F8" i="31"/>
  <c r="P15" i="31"/>
  <c r="S13" i="31"/>
  <c r="U13" i="31"/>
  <c r="V13" i="31" s="1"/>
  <c r="J22" i="31"/>
  <c r="J43" i="31"/>
  <c r="J28" i="31"/>
  <c r="J51" i="31"/>
  <c r="J50" i="31"/>
  <c r="J52" i="31"/>
  <c r="J25" i="31"/>
  <c r="E17" i="31"/>
  <c r="F16" i="31"/>
  <c r="G16" i="31" s="1"/>
  <c r="D16" i="31"/>
  <c r="I16" i="31"/>
  <c r="P16" i="31" s="1"/>
  <c r="J16" i="31"/>
  <c r="M13" i="31"/>
  <c r="J18" i="31"/>
  <c r="J37" i="31"/>
  <c r="J14" i="31"/>
  <c r="R15" i="31"/>
  <c r="Q13" i="31"/>
  <c r="R13" i="31"/>
  <c r="J44" i="31"/>
  <c r="J29" i="31"/>
  <c r="J24" i="31"/>
  <c r="J19" i="31"/>
  <c r="J38" i="31"/>
  <c r="J30" i="31"/>
  <c r="J26" i="31"/>
  <c r="J45" i="31"/>
  <c r="J31" i="31"/>
  <c r="A7" i="30"/>
  <c r="F12" i="30"/>
  <c r="G12" i="30" s="1"/>
  <c r="F13" i="30"/>
  <c r="G13" i="30" s="1"/>
  <c r="F14" i="30"/>
  <c r="G14" i="30" s="1"/>
  <c r="S13" i="30"/>
  <c r="C6" i="30"/>
  <c r="N13" i="30"/>
  <c r="Q13" i="30" s="1"/>
  <c r="M13" i="30"/>
  <c r="U14" i="30"/>
  <c r="V14" i="30" s="1"/>
  <c r="S14" i="30"/>
  <c r="J51" i="30"/>
  <c r="J41" i="30"/>
  <c r="J28" i="30"/>
  <c r="J14" i="30"/>
  <c r="J39" i="30"/>
  <c r="J16" i="30"/>
  <c r="J49" i="30"/>
  <c r="R13" i="30"/>
  <c r="J52" i="30"/>
  <c r="J38" i="30"/>
  <c r="I15" i="30"/>
  <c r="E16" i="30"/>
  <c r="F15" i="30"/>
  <c r="G15" i="30" s="1"/>
  <c r="D15" i="30"/>
  <c r="J34" i="30"/>
  <c r="J27" i="30"/>
  <c r="J29" i="30"/>
  <c r="E17" i="29"/>
  <c r="F16" i="29"/>
  <c r="G16" i="29" s="1"/>
  <c r="D16" i="29"/>
  <c r="I16" i="29"/>
  <c r="P16" i="29" s="1"/>
  <c r="S13" i="29"/>
  <c r="U13" i="29"/>
  <c r="V13" i="29" s="1"/>
  <c r="U14" i="29"/>
  <c r="V14" i="29" s="1"/>
  <c r="S14" i="29"/>
  <c r="L13" i="29"/>
  <c r="K13" i="29"/>
  <c r="R16" i="29"/>
  <c r="R13" i="29"/>
  <c r="W14" i="42" l="1"/>
  <c r="U16" i="45"/>
  <c r="V16" i="45" s="1"/>
  <c r="S16" i="45"/>
  <c r="E18" i="45"/>
  <c r="F17" i="45"/>
  <c r="G17" i="45" s="1"/>
  <c r="I17" i="45"/>
  <c r="P17" i="45" s="1"/>
  <c r="D17" i="45"/>
  <c r="R16" i="45"/>
  <c r="K14" i="45"/>
  <c r="L14" i="45" s="1"/>
  <c r="N14" i="45" s="1"/>
  <c r="Q14" i="45" s="1"/>
  <c r="R14" i="43"/>
  <c r="W14" i="38"/>
  <c r="W14" i="41"/>
  <c r="I16" i="43"/>
  <c r="P16" i="43" s="1"/>
  <c r="E17" i="43"/>
  <c r="F16" i="43"/>
  <c r="G16" i="43" s="1"/>
  <c r="D16" i="43"/>
  <c r="N13" i="43"/>
  <c r="Q13" i="43" s="1"/>
  <c r="M13" i="43"/>
  <c r="W12" i="43"/>
  <c r="K14" i="43"/>
  <c r="L14" i="43" s="1"/>
  <c r="N14" i="43" s="1"/>
  <c r="Q14" i="43" s="1"/>
  <c r="S15" i="43"/>
  <c r="U15" i="43"/>
  <c r="V15" i="43" s="1"/>
  <c r="W12" i="42"/>
  <c r="U14" i="43"/>
  <c r="V14" i="43" s="1"/>
  <c r="S14" i="43"/>
  <c r="N13" i="42"/>
  <c r="Q13" i="42" s="1"/>
  <c r="M13" i="42"/>
  <c r="U16" i="42"/>
  <c r="V16" i="42" s="1"/>
  <c r="S16" i="42"/>
  <c r="R16" i="42"/>
  <c r="R14" i="42"/>
  <c r="W13" i="42"/>
  <c r="R15" i="42"/>
  <c r="W15" i="42"/>
  <c r="W15" i="39"/>
  <c r="E18" i="42"/>
  <c r="F17" i="42"/>
  <c r="G17" i="42" s="1"/>
  <c r="D17" i="42"/>
  <c r="I17" i="42"/>
  <c r="P17" i="42" s="1"/>
  <c r="N13" i="41"/>
  <c r="Q13" i="41" s="1"/>
  <c r="M13" i="41"/>
  <c r="W14" i="28"/>
  <c r="I16" i="41"/>
  <c r="P16" i="41" s="1"/>
  <c r="D16" i="41"/>
  <c r="E17" i="41"/>
  <c r="F16" i="41"/>
  <c r="G16" i="41" s="1"/>
  <c r="R15" i="41"/>
  <c r="R14" i="41"/>
  <c r="W12" i="41"/>
  <c r="P15" i="41"/>
  <c r="F8" i="41"/>
  <c r="K14" i="40"/>
  <c r="L14" i="40" s="1"/>
  <c r="N14" i="40" s="1"/>
  <c r="Q14" i="40" s="1"/>
  <c r="A7" i="40"/>
  <c r="I16" i="40"/>
  <c r="P16" i="40" s="1"/>
  <c r="E17" i="40"/>
  <c r="F16" i="40"/>
  <c r="G16" i="40" s="1"/>
  <c r="D16" i="40"/>
  <c r="S15" i="40"/>
  <c r="U15" i="40"/>
  <c r="V15" i="40" s="1"/>
  <c r="W13" i="38"/>
  <c r="U14" i="40"/>
  <c r="V14" i="40" s="1"/>
  <c r="S14" i="40"/>
  <c r="N13" i="40"/>
  <c r="Q13" i="40" s="1"/>
  <c r="M13" i="40"/>
  <c r="U17" i="39"/>
  <c r="V17" i="39" s="1"/>
  <c r="S17" i="39"/>
  <c r="E19" i="39"/>
  <c r="F18" i="39"/>
  <c r="G18" i="39" s="1"/>
  <c r="D18" i="39"/>
  <c r="I18" i="39"/>
  <c r="P18" i="39" s="1"/>
  <c r="N13" i="39"/>
  <c r="Q13" i="39" s="1"/>
  <c r="M13" i="39"/>
  <c r="R16" i="39"/>
  <c r="W16" i="39"/>
  <c r="N13" i="38"/>
  <c r="Q13" i="38" s="1"/>
  <c r="M13" i="38"/>
  <c r="R14" i="38"/>
  <c r="R15" i="38"/>
  <c r="E18" i="38"/>
  <c r="F17" i="38"/>
  <c r="G17" i="38" s="1"/>
  <c r="D17" i="38"/>
  <c r="I17" i="38"/>
  <c r="P17" i="38" s="1"/>
  <c r="S15" i="38"/>
  <c r="U15" i="38"/>
  <c r="V15" i="38" s="1"/>
  <c r="U16" i="38"/>
  <c r="V16" i="38" s="1"/>
  <c r="S16" i="38"/>
  <c r="W12" i="23"/>
  <c r="W13" i="27"/>
  <c r="Q14" i="28"/>
  <c r="R14" i="28"/>
  <c r="W12" i="28"/>
  <c r="W13" i="28"/>
  <c r="R15" i="28"/>
  <c r="E19" i="28"/>
  <c r="F18" i="28"/>
  <c r="G18" i="28" s="1"/>
  <c r="I18" i="28"/>
  <c r="P18" i="28" s="1"/>
  <c r="D18" i="28"/>
  <c r="R16" i="28"/>
  <c r="W16" i="28"/>
  <c r="M14" i="28"/>
  <c r="U17" i="28"/>
  <c r="V17" i="28" s="1"/>
  <c r="S17" i="28"/>
  <c r="W15" i="28"/>
  <c r="R17" i="28"/>
  <c r="E18" i="27"/>
  <c r="F17" i="27"/>
  <c r="G17" i="27" s="1"/>
  <c r="D17" i="27"/>
  <c r="I17" i="27"/>
  <c r="P17" i="27" s="1"/>
  <c r="U16" i="27"/>
  <c r="V16" i="27" s="1"/>
  <c r="S16" i="27"/>
  <c r="N13" i="27"/>
  <c r="Q13" i="27" s="1"/>
  <c r="M13" i="27"/>
  <c r="W14" i="25"/>
  <c r="R14" i="27"/>
  <c r="W12" i="27"/>
  <c r="R17" i="37"/>
  <c r="R15" i="37"/>
  <c r="W15" i="37"/>
  <c r="W16" i="37"/>
  <c r="N13" i="37"/>
  <c r="Q13" i="37" s="1"/>
  <c r="M13" i="37"/>
  <c r="W16" i="36"/>
  <c r="R16" i="37"/>
  <c r="D18" i="37"/>
  <c r="I18" i="37"/>
  <c r="P18" i="37" s="1"/>
  <c r="F18" i="37"/>
  <c r="G18" i="37" s="1"/>
  <c r="E19" i="37"/>
  <c r="U17" i="37"/>
  <c r="V17" i="37" s="1"/>
  <c r="S17" i="37"/>
  <c r="R14" i="37"/>
  <c r="W13" i="37"/>
  <c r="W14" i="37"/>
  <c r="N13" i="25"/>
  <c r="Q13" i="25" s="1"/>
  <c r="M13" i="25"/>
  <c r="R15" i="25"/>
  <c r="W15" i="35"/>
  <c r="W15" i="25"/>
  <c r="U16" i="25"/>
  <c r="V16" i="25" s="1"/>
  <c r="S16" i="25"/>
  <c r="R16" i="25"/>
  <c r="E18" i="25"/>
  <c r="F17" i="25"/>
  <c r="G17" i="25" s="1"/>
  <c r="D17" i="25"/>
  <c r="I17" i="25"/>
  <c r="P17" i="25" s="1"/>
  <c r="R16" i="36"/>
  <c r="W15" i="36"/>
  <c r="U17" i="36"/>
  <c r="V17" i="36" s="1"/>
  <c r="S17" i="36"/>
  <c r="R14" i="36"/>
  <c r="W13" i="36"/>
  <c r="R17" i="36"/>
  <c r="W12" i="36"/>
  <c r="D18" i="36"/>
  <c r="I18" i="36"/>
  <c r="P18" i="36" s="1"/>
  <c r="E19" i="36"/>
  <c r="F18" i="36"/>
  <c r="G18" i="36" s="1"/>
  <c r="W14" i="36"/>
  <c r="N13" i="36"/>
  <c r="Q13" i="36" s="1"/>
  <c r="M13" i="36"/>
  <c r="W14" i="26"/>
  <c r="N13" i="35"/>
  <c r="Q13" i="35" s="1"/>
  <c r="M13" i="35"/>
  <c r="R14" i="35"/>
  <c r="W12" i="35"/>
  <c r="U16" i="35"/>
  <c r="V16" i="35" s="1"/>
  <c r="S16" i="35"/>
  <c r="W13" i="35"/>
  <c r="R15" i="35"/>
  <c r="R16" i="35"/>
  <c r="W13" i="31"/>
  <c r="W16" i="34"/>
  <c r="D17" i="35"/>
  <c r="I17" i="35"/>
  <c r="P17" i="35" s="1"/>
  <c r="F17" i="35"/>
  <c r="G17" i="35" s="1"/>
  <c r="E18" i="35"/>
  <c r="W14" i="35"/>
  <c r="N14" i="34"/>
  <c r="M14" i="34"/>
  <c r="W15" i="34"/>
  <c r="W13" i="34"/>
  <c r="D18" i="34"/>
  <c r="I18" i="34"/>
  <c r="P18" i="34" s="1"/>
  <c r="F18" i="34"/>
  <c r="G18" i="34" s="1"/>
  <c r="E19" i="34"/>
  <c r="R17" i="34"/>
  <c r="R14" i="34"/>
  <c r="Q14" i="34"/>
  <c r="W12" i="34"/>
  <c r="W14" i="34"/>
  <c r="R16" i="34"/>
  <c r="S17" i="34"/>
  <c r="U17" i="34"/>
  <c r="V17" i="34" s="1"/>
  <c r="R14" i="23"/>
  <c r="E17" i="23"/>
  <c r="F16" i="23"/>
  <c r="G16" i="23" s="1"/>
  <c r="D16" i="23"/>
  <c r="I16" i="23"/>
  <c r="P16" i="23" s="1"/>
  <c r="N13" i="23"/>
  <c r="Q13" i="23" s="1"/>
  <c r="M13" i="23"/>
  <c r="U15" i="23"/>
  <c r="V15" i="23" s="1"/>
  <c r="S15" i="23"/>
  <c r="U14" i="23"/>
  <c r="V14" i="23" s="1"/>
  <c r="S14" i="23"/>
  <c r="A7" i="23"/>
  <c r="F8" i="23"/>
  <c r="N13" i="26"/>
  <c r="Q13" i="26" s="1"/>
  <c r="M13" i="26"/>
  <c r="R14" i="26"/>
  <c r="W12" i="26"/>
  <c r="P15" i="26"/>
  <c r="F8" i="26"/>
  <c r="E17" i="26"/>
  <c r="F16" i="26"/>
  <c r="G16" i="26" s="1"/>
  <c r="D16" i="26"/>
  <c r="I16" i="26"/>
  <c r="P16" i="26" s="1"/>
  <c r="R15" i="26"/>
  <c r="N13" i="24"/>
  <c r="Q13" i="24" s="1"/>
  <c r="M13" i="24"/>
  <c r="W16" i="32"/>
  <c r="W14" i="32"/>
  <c r="R14" i="24"/>
  <c r="W12" i="24"/>
  <c r="U15" i="24"/>
  <c r="V15" i="24" s="1"/>
  <c r="S15" i="24"/>
  <c r="S14" i="24"/>
  <c r="U14" i="24"/>
  <c r="V14" i="24" s="1"/>
  <c r="W13" i="32"/>
  <c r="K14" i="24"/>
  <c r="L14" i="24" s="1"/>
  <c r="N14" i="24" s="1"/>
  <c r="Q14" i="24" s="1"/>
  <c r="E17" i="24"/>
  <c r="F16" i="24"/>
  <c r="G16" i="24" s="1"/>
  <c r="D16" i="24"/>
  <c r="I16" i="24"/>
  <c r="P16" i="24" s="1"/>
  <c r="W13" i="29"/>
  <c r="W13" i="24"/>
  <c r="N13" i="32"/>
  <c r="Q13" i="32" s="1"/>
  <c r="M13" i="32"/>
  <c r="R14" i="32"/>
  <c r="U17" i="32"/>
  <c r="V17" i="32" s="1"/>
  <c r="S17" i="32"/>
  <c r="D18" i="32"/>
  <c r="F18" i="32"/>
  <c r="G18" i="32" s="1"/>
  <c r="E19" i="32"/>
  <c r="I18" i="32"/>
  <c r="P18" i="32" s="1"/>
  <c r="W15" i="32"/>
  <c r="R17" i="32"/>
  <c r="R16" i="32"/>
  <c r="L14" i="31"/>
  <c r="N14" i="31" s="1"/>
  <c r="Q14" i="31" s="1"/>
  <c r="U15" i="31"/>
  <c r="V15" i="31" s="1"/>
  <c r="S15" i="31"/>
  <c r="K14" i="31"/>
  <c r="R14" i="31"/>
  <c r="W14" i="31"/>
  <c r="F17" i="31"/>
  <c r="G17" i="31" s="1"/>
  <c r="D17" i="31"/>
  <c r="E18" i="31"/>
  <c r="I17" i="31"/>
  <c r="P17" i="31" s="1"/>
  <c r="S16" i="31"/>
  <c r="U16" i="31"/>
  <c r="V16" i="31" s="1"/>
  <c r="W12" i="31"/>
  <c r="I16" i="30"/>
  <c r="P16" i="30" s="1"/>
  <c r="E17" i="30"/>
  <c r="F16" i="30"/>
  <c r="G16" i="30" s="1"/>
  <c r="D16" i="30"/>
  <c r="R14" i="30"/>
  <c r="Q14" i="30"/>
  <c r="R15" i="30"/>
  <c r="P15" i="30"/>
  <c r="F8" i="30"/>
  <c r="W13" i="30"/>
  <c r="W14" i="30"/>
  <c r="L14" i="30"/>
  <c r="N14" i="30" s="1"/>
  <c r="W12" i="30"/>
  <c r="K14" i="30"/>
  <c r="R15" i="29"/>
  <c r="W15" i="29"/>
  <c r="W14" i="29"/>
  <c r="S16" i="29"/>
  <c r="U16" i="29"/>
  <c r="V16" i="29" s="1"/>
  <c r="R14" i="29"/>
  <c r="N13" i="29"/>
  <c r="Q13" i="29" s="1"/>
  <c r="M13" i="29"/>
  <c r="D17" i="29"/>
  <c r="I17" i="29"/>
  <c r="P17" i="29" s="1"/>
  <c r="F17" i="29"/>
  <c r="G17" i="29" s="1"/>
  <c r="E18" i="29"/>
  <c r="W12" i="29"/>
  <c r="W15" i="43" l="1"/>
  <c r="S17" i="45"/>
  <c r="U17" i="45"/>
  <c r="V17" i="45" s="1"/>
  <c r="R17" i="45"/>
  <c r="D18" i="45"/>
  <c r="I18" i="45"/>
  <c r="P18" i="45" s="1"/>
  <c r="F18" i="45"/>
  <c r="G18" i="45" s="1"/>
  <c r="E19" i="45"/>
  <c r="W14" i="43"/>
  <c r="M14" i="45"/>
  <c r="W16" i="45"/>
  <c r="R15" i="43"/>
  <c r="E18" i="43"/>
  <c r="F17" i="43"/>
  <c r="G17" i="43" s="1"/>
  <c r="D17" i="43"/>
  <c r="I17" i="43"/>
  <c r="P17" i="43" s="1"/>
  <c r="R16" i="43"/>
  <c r="M14" i="43"/>
  <c r="U16" i="43"/>
  <c r="V16" i="43" s="1"/>
  <c r="S16" i="43"/>
  <c r="S17" i="42"/>
  <c r="U17" i="42"/>
  <c r="V17" i="42" s="1"/>
  <c r="R17" i="42"/>
  <c r="E19" i="42"/>
  <c r="F18" i="42"/>
  <c r="G18" i="42" s="1"/>
  <c r="D18" i="42"/>
  <c r="I18" i="42"/>
  <c r="P18" i="42" s="1"/>
  <c r="K14" i="42"/>
  <c r="L14" i="42" s="1"/>
  <c r="N14" i="42" s="1"/>
  <c r="Q14" i="42" s="1"/>
  <c r="W16" i="42"/>
  <c r="S16" i="41"/>
  <c r="U16" i="41"/>
  <c r="V16" i="41" s="1"/>
  <c r="S15" i="41"/>
  <c r="U15" i="41"/>
  <c r="V15" i="41" s="1"/>
  <c r="K14" i="41"/>
  <c r="L14" i="41" s="1"/>
  <c r="N14" i="41" s="1"/>
  <c r="Q14" i="41" s="1"/>
  <c r="E18" i="41"/>
  <c r="F17" i="41"/>
  <c r="G17" i="41" s="1"/>
  <c r="I17" i="41"/>
  <c r="P17" i="41" s="1"/>
  <c r="D17" i="41"/>
  <c r="R15" i="40"/>
  <c r="W14" i="40"/>
  <c r="W15" i="40"/>
  <c r="M14" i="40"/>
  <c r="W15" i="38"/>
  <c r="E18" i="40"/>
  <c r="F17" i="40"/>
  <c r="G17" i="40" s="1"/>
  <c r="D17" i="40"/>
  <c r="I17" i="40"/>
  <c r="P17" i="40" s="1"/>
  <c r="R16" i="40"/>
  <c r="U16" i="40"/>
  <c r="V16" i="40" s="1"/>
  <c r="S16" i="40"/>
  <c r="W17" i="28"/>
  <c r="W16" i="38"/>
  <c r="S18" i="39"/>
  <c r="U18" i="39"/>
  <c r="V18" i="39" s="1"/>
  <c r="D19" i="39"/>
  <c r="I19" i="39"/>
  <c r="P19" i="39" s="1"/>
  <c r="F19" i="39"/>
  <c r="G19" i="39" s="1"/>
  <c r="E20" i="39"/>
  <c r="R18" i="39"/>
  <c r="W17" i="39"/>
  <c r="K14" i="39"/>
  <c r="L14" i="39" s="1"/>
  <c r="N14" i="39" s="1"/>
  <c r="Q14" i="39" s="1"/>
  <c r="U17" i="38"/>
  <c r="V17" i="38" s="1"/>
  <c r="S17" i="38"/>
  <c r="R17" i="38"/>
  <c r="E19" i="38"/>
  <c r="F18" i="38"/>
  <c r="G18" i="38" s="1"/>
  <c r="D18" i="38"/>
  <c r="I18" i="38"/>
  <c r="P18" i="38" s="1"/>
  <c r="K14" i="38"/>
  <c r="L14" i="38" s="1"/>
  <c r="N14" i="38" s="1"/>
  <c r="Q14" i="38" s="1"/>
  <c r="R16" i="38"/>
  <c r="I19" i="28"/>
  <c r="P19" i="28" s="1"/>
  <c r="D19" i="28"/>
  <c r="F19" i="28"/>
  <c r="G19" i="28" s="1"/>
  <c r="E20" i="28"/>
  <c r="K15" i="28"/>
  <c r="L15" i="28" s="1"/>
  <c r="N15" i="28" s="1"/>
  <c r="Q15" i="28" s="1"/>
  <c r="S18" i="28"/>
  <c r="U18" i="28"/>
  <c r="V18" i="28" s="1"/>
  <c r="W16" i="27"/>
  <c r="R18" i="28"/>
  <c r="K14" i="27"/>
  <c r="L14" i="27" s="1"/>
  <c r="N14" i="27" s="1"/>
  <c r="Q14" i="27" s="1"/>
  <c r="R17" i="27"/>
  <c r="S17" i="27"/>
  <c r="U17" i="27"/>
  <c r="V17" i="27" s="1"/>
  <c r="E19" i="27"/>
  <c r="F18" i="27"/>
  <c r="G18" i="27" s="1"/>
  <c r="D18" i="27"/>
  <c r="I18" i="27"/>
  <c r="P18" i="27" s="1"/>
  <c r="R18" i="37"/>
  <c r="W17" i="37"/>
  <c r="K14" i="37"/>
  <c r="L14" i="37" s="1"/>
  <c r="N14" i="37" s="1"/>
  <c r="Q14" i="37" s="1"/>
  <c r="E20" i="37"/>
  <c r="F19" i="37"/>
  <c r="G19" i="37" s="1"/>
  <c r="D19" i="37"/>
  <c r="I19" i="37"/>
  <c r="P19" i="37" s="1"/>
  <c r="U18" i="37"/>
  <c r="V18" i="37" s="1"/>
  <c r="S18" i="37"/>
  <c r="R17" i="25"/>
  <c r="K14" i="25"/>
  <c r="L14" i="25" s="1"/>
  <c r="N14" i="25" s="1"/>
  <c r="Q14" i="25" s="1"/>
  <c r="W16" i="25"/>
  <c r="E19" i="25"/>
  <c r="I18" i="25"/>
  <c r="P18" i="25" s="1"/>
  <c r="F18" i="25"/>
  <c r="G18" i="25" s="1"/>
  <c r="D18" i="25"/>
  <c r="U17" i="25"/>
  <c r="V17" i="25" s="1"/>
  <c r="S17" i="25"/>
  <c r="I19" i="36"/>
  <c r="P19" i="36" s="1"/>
  <c r="E20" i="36"/>
  <c r="F19" i="36"/>
  <c r="G19" i="36" s="1"/>
  <c r="D19" i="36"/>
  <c r="R18" i="36"/>
  <c r="W17" i="36"/>
  <c r="W17" i="34"/>
  <c r="U18" i="36"/>
  <c r="V18" i="36" s="1"/>
  <c r="S18" i="36"/>
  <c r="K14" i="36"/>
  <c r="L14" i="36" s="1"/>
  <c r="N14" i="36" s="1"/>
  <c r="Q14" i="36" s="1"/>
  <c r="W16" i="35"/>
  <c r="U17" i="35"/>
  <c r="V17" i="35" s="1"/>
  <c r="S17" i="35"/>
  <c r="R17" i="35"/>
  <c r="W14" i="24"/>
  <c r="W14" i="23"/>
  <c r="D18" i="35"/>
  <c r="E19" i="35"/>
  <c r="F18" i="35"/>
  <c r="G18" i="35" s="1"/>
  <c r="I18" i="35"/>
  <c r="P18" i="35" s="1"/>
  <c r="K14" i="35"/>
  <c r="L14" i="35" s="1"/>
  <c r="N14" i="35" s="1"/>
  <c r="Q14" i="35" s="1"/>
  <c r="R18" i="34"/>
  <c r="U18" i="34"/>
  <c r="V18" i="34" s="1"/>
  <c r="S18" i="34"/>
  <c r="K15" i="34"/>
  <c r="L15" i="34" s="1"/>
  <c r="N15" i="34" s="1"/>
  <c r="Q15" i="34" s="1"/>
  <c r="D19" i="34"/>
  <c r="E20" i="34"/>
  <c r="I19" i="34"/>
  <c r="P19" i="34" s="1"/>
  <c r="F19" i="34"/>
  <c r="G19" i="34" s="1"/>
  <c r="R16" i="23"/>
  <c r="S16" i="23"/>
  <c r="U16" i="23"/>
  <c r="V16" i="23" s="1"/>
  <c r="F17" i="23"/>
  <c r="G17" i="23" s="1"/>
  <c r="D17" i="23"/>
  <c r="E18" i="23"/>
  <c r="I17" i="23"/>
  <c r="P17" i="23" s="1"/>
  <c r="R15" i="23"/>
  <c r="W15" i="23"/>
  <c r="K14" i="23"/>
  <c r="L14" i="23" s="1"/>
  <c r="N14" i="23" s="1"/>
  <c r="Q14" i="23" s="1"/>
  <c r="W15" i="24"/>
  <c r="S16" i="26"/>
  <c r="U16" i="26"/>
  <c r="V16" i="26" s="1"/>
  <c r="M14" i="26"/>
  <c r="K14" i="26"/>
  <c r="L14" i="26" s="1"/>
  <c r="N14" i="26" s="1"/>
  <c r="Q14" i="26" s="1"/>
  <c r="U15" i="26"/>
  <c r="V15" i="26" s="1"/>
  <c r="S15" i="26"/>
  <c r="E18" i="26"/>
  <c r="F17" i="26"/>
  <c r="G17" i="26" s="1"/>
  <c r="D17" i="26"/>
  <c r="I17" i="26"/>
  <c r="P17" i="26" s="1"/>
  <c r="E18" i="24"/>
  <c r="F17" i="24"/>
  <c r="G17" i="24" s="1"/>
  <c r="D17" i="24"/>
  <c r="I17" i="24"/>
  <c r="P17" i="24" s="1"/>
  <c r="R15" i="24"/>
  <c r="R16" i="24"/>
  <c r="W17" i="32"/>
  <c r="M14" i="24"/>
  <c r="U16" i="24"/>
  <c r="V16" i="24" s="1"/>
  <c r="S16" i="24"/>
  <c r="R18" i="32"/>
  <c r="S18" i="32"/>
  <c r="U18" i="32"/>
  <c r="V18" i="32" s="1"/>
  <c r="D19" i="32"/>
  <c r="I19" i="32"/>
  <c r="P19" i="32" s="1"/>
  <c r="F19" i="32"/>
  <c r="G19" i="32" s="1"/>
  <c r="E20" i="32"/>
  <c r="K14" i="32"/>
  <c r="L14" i="32" s="1"/>
  <c r="N14" i="32" s="1"/>
  <c r="Q14" i="32" s="1"/>
  <c r="R17" i="31"/>
  <c r="M14" i="31"/>
  <c r="W15" i="31"/>
  <c r="R16" i="31"/>
  <c r="U17" i="31"/>
  <c r="V17" i="31" s="1"/>
  <c r="S17" i="31"/>
  <c r="D18" i="31"/>
  <c r="E19" i="31"/>
  <c r="I18" i="31"/>
  <c r="P18" i="31" s="1"/>
  <c r="F18" i="31"/>
  <c r="G18" i="31" s="1"/>
  <c r="W16" i="31"/>
  <c r="S15" i="30"/>
  <c r="U15" i="30"/>
  <c r="V15" i="30" s="1"/>
  <c r="M14" i="30"/>
  <c r="E18" i="30"/>
  <c r="F17" i="30"/>
  <c r="G17" i="30" s="1"/>
  <c r="D17" i="30"/>
  <c r="I17" i="30"/>
  <c r="P17" i="30" s="1"/>
  <c r="U16" i="30"/>
  <c r="V16" i="30" s="1"/>
  <c r="S16" i="30"/>
  <c r="E19" i="29"/>
  <c r="F18" i="29"/>
  <c r="G18" i="29" s="1"/>
  <c r="D18" i="29"/>
  <c r="I18" i="29"/>
  <c r="P18" i="29" s="1"/>
  <c r="W16" i="29"/>
  <c r="K14" i="29"/>
  <c r="L14" i="29" s="1"/>
  <c r="N14" i="29" s="1"/>
  <c r="Q14" i="29" s="1"/>
  <c r="R17" i="29"/>
  <c r="U17" i="29"/>
  <c r="V17" i="29" s="1"/>
  <c r="S17" i="29"/>
  <c r="W17" i="42" l="1"/>
  <c r="D19" i="45"/>
  <c r="F19" i="45"/>
  <c r="G19" i="45" s="1"/>
  <c r="E20" i="45"/>
  <c r="I19" i="45"/>
  <c r="P19" i="45" s="1"/>
  <c r="K15" i="45"/>
  <c r="L15" i="45" s="1"/>
  <c r="N15" i="45" s="1"/>
  <c r="Q15" i="45" s="1"/>
  <c r="W17" i="45"/>
  <c r="U18" i="45"/>
  <c r="V18" i="45" s="1"/>
  <c r="S18" i="45"/>
  <c r="R18" i="45"/>
  <c r="S17" i="43"/>
  <c r="U17" i="43"/>
  <c r="V17" i="43" s="1"/>
  <c r="W16" i="43"/>
  <c r="E19" i="43"/>
  <c r="F18" i="43"/>
  <c r="G18" i="43" s="1"/>
  <c r="D18" i="43"/>
  <c r="I18" i="43"/>
  <c r="P18" i="43" s="1"/>
  <c r="R17" i="43"/>
  <c r="K15" i="43"/>
  <c r="L15" i="43" s="1"/>
  <c r="N15" i="43" s="1"/>
  <c r="Q15" i="43" s="1"/>
  <c r="W15" i="41"/>
  <c r="D19" i="42"/>
  <c r="I19" i="42"/>
  <c r="P19" i="42" s="1"/>
  <c r="E20" i="42"/>
  <c r="F19" i="42"/>
  <c r="G19" i="42" s="1"/>
  <c r="M14" i="42"/>
  <c r="R18" i="42"/>
  <c r="U18" i="42"/>
  <c r="V18" i="42" s="1"/>
  <c r="S18" i="42"/>
  <c r="M14" i="41"/>
  <c r="E19" i="41"/>
  <c r="F18" i="41"/>
  <c r="G18" i="41" s="1"/>
  <c r="I18" i="41"/>
  <c r="P18" i="41" s="1"/>
  <c r="D18" i="41"/>
  <c r="R16" i="41"/>
  <c r="U17" i="41"/>
  <c r="V17" i="41" s="1"/>
  <c r="S17" i="41"/>
  <c r="W16" i="41"/>
  <c r="R17" i="41"/>
  <c r="E19" i="40"/>
  <c r="F18" i="40"/>
  <c r="G18" i="40" s="1"/>
  <c r="D18" i="40"/>
  <c r="I18" i="40"/>
  <c r="P18" i="40" s="1"/>
  <c r="W16" i="40"/>
  <c r="W18" i="39"/>
  <c r="S17" i="40"/>
  <c r="U17" i="40"/>
  <c r="V17" i="40" s="1"/>
  <c r="R17" i="40"/>
  <c r="K15" i="40"/>
  <c r="L15" i="40" s="1"/>
  <c r="N15" i="40" s="1"/>
  <c r="Q15" i="40" s="1"/>
  <c r="D20" i="39"/>
  <c r="F20" i="39"/>
  <c r="G20" i="39" s="1"/>
  <c r="E21" i="39"/>
  <c r="I20" i="39"/>
  <c r="P20" i="39" s="1"/>
  <c r="R19" i="39"/>
  <c r="U19" i="39"/>
  <c r="V19" i="39" s="1"/>
  <c r="S19" i="39"/>
  <c r="M14" i="39"/>
  <c r="D19" i="38"/>
  <c r="I19" i="38"/>
  <c r="P19" i="38" s="1"/>
  <c r="E20" i="38"/>
  <c r="F19" i="38"/>
  <c r="G19" i="38" s="1"/>
  <c r="R18" i="38"/>
  <c r="M14" i="38"/>
  <c r="W17" i="38"/>
  <c r="S18" i="38"/>
  <c r="U18" i="38"/>
  <c r="V18" i="38" s="1"/>
  <c r="M15" i="28"/>
  <c r="R19" i="28"/>
  <c r="D20" i="28"/>
  <c r="E21" i="28"/>
  <c r="I20" i="28"/>
  <c r="P20" i="28" s="1"/>
  <c r="F20" i="28"/>
  <c r="G20" i="28" s="1"/>
  <c r="W18" i="28"/>
  <c r="S19" i="28"/>
  <c r="U19" i="28"/>
  <c r="V19" i="28" s="1"/>
  <c r="W17" i="27"/>
  <c r="U18" i="27"/>
  <c r="V18" i="27" s="1"/>
  <c r="S18" i="27"/>
  <c r="D19" i="27"/>
  <c r="I19" i="27"/>
  <c r="P19" i="27" s="1"/>
  <c r="F19" i="27"/>
  <c r="G19" i="27" s="1"/>
  <c r="E20" i="27"/>
  <c r="R18" i="27"/>
  <c r="M14" i="27"/>
  <c r="I20" i="37"/>
  <c r="P20" i="37" s="1"/>
  <c r="F20" i="37"/>
  <c r="G20" i="37" s="1"/>
  <c r="E21" i="37"/>
  <c r="D20" i="37"/>
  <c r="M14" i="37"/>
  <c r="R19" i="37"/>
  <c r="W18" i="37"/>
  <c r="S19" i="37"/>
  <c r="U19" i="37"/>
  <c r="V19" i="37" s="1"/>
  <c r="S18" i="25"/>
  <c r="U18" i="25"/>
  <c r="V18" i="25" s="1"/>
  <c r="R18" i="25"/>
  <c r="M14" i="25"/>
  <c r="W17" i="25"/>
  <c r="D19" i="25"/>
  <c r="F19" i="25"/>
  <c r="G19" i="25" s="1"/>
  <c r="E20" i="25"/>
  <c r="I19" i="25"/>
  <c r="P19" i="25" s="1"/>
  <c r="M14" i="36"/>
  <c r="R19" i="36"/>
  <c r="W18" i="34"/>
  <c r="W18" i="36"/>
  <c r="I20" i="36"/>
  <c r="P20" i="36" s="1"/>
  <c r="E21" i="36"/>
  <c r="F20" i="36"/>
  <c r="G20" i="36" s="1"/>
  <c r="D20" i="36"/>
  <c r="U19" i="36"/>
  <c r="V19" i="36" s="1"/>
  <c r="S19" i="36"/>
  <c r="U18" i="35"/>
  <c r="V18" i="35" s="1"/>
  <c r="S18" i="35"/>
  <c r="R18" i="35"/>
  <c r="E20" i="35"/>
  <c r="F19" i="35"/>
  <c r="G19" i="35" s="1"/>
  <c r="D19" i="35"/>
  <c r="I19" i="35"/>
  <c r="P19" i="35" s="1"/>
  <c r="W17" i="35"/>
  <c r="M14" i="35"/>
  <c r="M15" i="34"/>
  <c r="R19" i="34"/>
  <c r="S19" i="34"/>
  <c r="U19" i="34"/>
  <c r="V19" i="34" s="1"/>
  <c r="E21" i="34"/>
  <c r="F20" i="34"/>
  <c r="G20" i="34" s="1"/>
  <c r="I20" i="34"/>
  <c r="P20" i="34" s="1"/>
  <c r="D20" i="34"/>
  <c r="D18" i="23"/>
  <c r="E19" i="23"/>
  <c r="I18" i="23"/>
  <c r="P18" i="23" s="1"/>
  <c r="F18" i="23"/>
  <c r="G18" i="23" s="1"/>
  <c r="M14" i="23"/>
  <c r="W16" i="23"/>
  <c r="R17" i="23"/>
  <c r="S17" i="23"/>
  <c r="U17" i="23"/>
  <c r="V17" i="23" s="1"/>
  <c r="R16" i="26"/>
  <c r="W15" i="26"/>
  <c r="K15" i="26"/>
  <c r="L15" i="26" s="1"/>
  <c r="N15" i="26" s="1"/>
  <c r="Q15" i="26" s="1"/>
  <c r="U17" i="26"/>
  <c r="V17" i="26" s="1"/>
  <c r="S17" i="26"/>
  <c r="W16" i="26"/>
  <c r="R17" i="26"/>
  <c r="W18" i="32"/>
  <c r="D18" i="26"/>
  <c r="I18" i="26"/>
  <c r="P18" i="26" s="1"/>
  <c r="F18" i="26"/>
  <c r="G18" i="26" s="1"/>
  <c r="E19" i="26"/>
  <c r="R17" i="24"/>
  <c r="S17" i="24"/>
  <c r="U17" i="24"/>
  <c r="V17" i="24" s="1"/>
  <c r="W15" i="30"/>
  <c r="W17" i="31"/>
  <c r="K15" i="24"/>
  <c r="L15" i="24" s="1"/>
  <c r="N15" i="24" s="1"/>
  <c r="Q15" i="24" s="1"/>
  <c r="W16" i="24"/>
  <c r="D18" i="24"/>
  <c r="I18" i="24"/>
  <c r="P18" i="24" s="1"/>
  <c r="E19" i="24"/>
  <c r="F18" i="24"/>
  <c r="G18" i="24" s="1"/>
  <c r="S19" i="32"/>
  <c r="U19" i="32"/>
  <c r="V19" i="32" s="1"/>
  <c r="R19" i="32"/>
  <c r="M14" i="32"/>
  <c r="E21" i="32"/>
  <c r="I20" i="32"/>
  <c r="P20" i="32" s="1"/>
  <c r="F20" i="32"/>
  <c r="G20" i="32" s="1"/>
  <c r="D20" i="32"/>
  <c r="S18" i="31"/>
  <c r="U18" i="31"/>
  <c r="V18" i="31" s="1"/>
  <c r="I19" i="31"/>
  <c r="P19" i="31" s="1"/>
  <c r="D19" i="31"/>
  <c r="E20" i="31"/>
  <c r="F19" i="31"/>
  <c r="G19" i="31" s="1"/>
  <c r="K15" i="31"/>
  <c r="L15" i="31" s="1"/>
  <c r="N15" i="31" s="1"/>
  <c r="Q15" i="31" s="1"/>
  <c r="R18" i="31"/>
  <c r="U17" i="30"/>
  <c r="V17" i="30" s="1"/>
  <c r="S17" i="30"/>
  <c r="E19" i="30"/>
  <c r="F18" i="30"/>
  <c r="G18" i="30" s="1"/>
  <c r="D18" i="30"/>
  <c r="I18" i="30"/>
  <c r="P18" i="30" s="1"/>
  <c r="K15" i="30"/>
  <c r="L15" i="30" s="1"/>
  <c r="N15" i="30" s="1"/>
  <c r="Q15" i="30" s="1"/>
  <c r="R17" i="30"/>
  <c r="W16" i="30"/>
  <c r="R16" i="30"/>
  <c r="M14" i="29"/>
  <c r="W17" i="29"/>
  <c r="I19" i="29"/>
  <c r="P19" i="29" s="1"/>
  <c r="D19" i="29"/>
  <c r="E20" i="29"/>
  <c r="F19" i="29"/>
  <c r="G19" i="29" s="1"/>
  <c r="S18" i="29"/>
  <c r="U18" i="29"/>
  <c r="V18" i="29" s="1"/>
  <c r="R18" i="29"/>
  <c r="W18" i="45" l="1"/>
  <c r="W17" i="43"/>
  <c r="U19" i="45"/>
  <c r="V19" i="45" s="1"/>
  <c r="S19" i="45"/>
  <c r="M15" i="45"/>
  <c r="E21" i="45"/>
  <c r="F20" i="45"/>
  <c r="G20" i="45" s="1"/>
  <c r="I20" i="45"/>
  <c r="P20" i="45" s="1"/>
  <c r="D20" i="45"/>
  <c r="R19" i="45"/>
  <c r="U18" i="43"/>
  <c r="V18" i="43" s="1"/>
  <c r="S18" i="43"/>
  <c r="D19" i="43"/>
  <c r="I19" i="43"/>
  <c r="P19" i="43" s="1"/>
  <c r="E20" i="43"/>
  <c r="F19" i="43"/>
  <c r="G19" i="43" s="1"/>
  <c r="W17" i="41"/>
  <c r="W18" i="42"/>
  <c r="M15" i="43"/>
  <c r="R18" i="43"/>
  <c r="D20" i="42"/>
  <c r="E21" i="42"/>
  <c r="F20" i="42"/>
  <c r="G20" i="42" s="1"/>
  <c r="I20" i="42"/>
  <c r="P20" i="42" s="1"/>
  <c r="U19" i="42"/>
  <c r="V19" i="42" s="1"/>
  <c r="S19" i="42"/>
  <c r="K15" i="42"/>
  <c r="L15" i="42" s="1"/>
  <c r="N15" i="42" s="1"/>
  <c r="Q15" i="42" s="1"/>
  <c r="R19" i="42"/>
  <c r="U18" i="41"/>
  <c r="V18" i="41" s="1"/>
  <c r="S18" i="41"/>
  <c r="D19" i="41"/>
  <c r="I19" i="41"/>
  <c r="P19" i="41" s="1"/>
  <c r="E20" i="41"/>
  <c r="F19" i="41"/>
  <c r="G19" i="41" s="1"/>
  <c r="R18" i="41"/>
  <c r="K15" i="41"/>
  <c r="L15" i="41" s="1"/>
  <c r="N15" i="41" s="1"/>
  <c r="Q15" i="41" s="1"/>
  <c r="R18" i="40"/>
  <c r="M15" i="40"/>
  <c r="U18" i="40"/>
  <c r="V18" i="40" s="1"/>
  <c r="S18" i="40"/>
  <c r="W19" i="37"/>
  <c r="W17" i="40"/>
  <c r="D19" i="40"/>
  <c r="I19" i="40"/>
  <c r="P19" i="40" s="1"/>
  <c r="E20" i="40"/>
  <c r="F19" i="40"/>
  <c r="G19" i="40" s="1"/>
  <c r="R20" i="39"/>
  <c r="W19" i="39"/>
  <c r="U20" i="39"/>
  <c r="V20" i="39" s="1"/>
  <c r="S20" i="39"/>
  <c r="W19" i="28"/>
  <c r="E22" i="39"/>
  <c r="F21" i="39"/>
  <c r="G21" i="39" s="1"/>
  <c r="D21" i="39"/>
  <c r="I21" i="39"/>
  <c r="P21" i="39" s="1"/>
  <c r="K15" i="39"/>
  <c r="L15" i="39" s="1"/>
  <c r="N15" i="39" s="1"/>
  <c r="Q15" i="39" s="1"/>
  <c r="K15" i="38"/>
  <c r="L15" i="38" s="1"/>
  <c r="N15" i="38" s="1"/>
  <c r="Q15" i="38" s="1"/>
  <c r="D20" i="38"/>
  <c r="I20" i="38"/>
  <c r="P20" i="38" s="1"/>
  <c r="E21" i="38"/>
  <c r="F20" i="38"/>
  <c r="G20" i="38" s="1"/>
  <c r="W18" i="38"/>
  <c r="U19" i="38"/>
  <c r="V19" i="38" s="1"/>
  <c r="S19" i="38"/>
  <c r="R19" i="38"/>
  <c r="E22" i="28"/>
  <c r="F21" i="28"/>
  <c r="G21" i="28" s="1"/>
  <c r="D21" i="28"/>
  <c r="I21" i="28"/>
  <c r="P21" i="28" s="1"/>
  <c r="U20" i="28"/>
  <c r="V20" i="28" s="1"/>
  <c r="S20" i="28"/>
  <c r="R20" i="28"/>
  <c r="K16" i="28"/>
  <c r="L16" i="28" s="1"/>
  <c r="N16" i="28" s="1"/>
  <c r="Q16" i="28" s="1"/>
  <c r="D20" i="27"/>
  <c r="E21" i="27"/>
  <c r="F20" i="27"/>
  <c r="G20" i="27" s="1"/>
  <c r="I20" i="27"/>
  <c r="P20" i="27" s="1"/>
  <c r="U19" i="27"/>
  <c r="V19" i="27" s="1"/>
  <c r="S19" i="27"/>
  <c r="R19" i="27"/>
  <c r="K15" i="27"/>
  <c r="L15" i="27" s="1"/>
  <c r="N15" i="27" s="1"/>
  <c r="Q15" i="27" s="1"/>
  <c r="W18" i="27"/>
  <c r="W18" i="25"/>
  <c r="K15" i="37"/>
  <c r="L15" i="37" s="1"/>
  <c r="N15" i="37" s="1"/>
  <c r="Q15" i="37" s="1"/>
  <c r="D21" i="37"/>
  <c r="E22" i="37"/>
  <c r="F21" i="37"/>
  <c r="G21" i="37" s="1"/>
  <c r="I21" i="37"/>
  <c r="P21" i="37" s="1"/>
  <c r="R20" i="37"/>
  <c r="U20" i="37"/>
  <c r="V20" i="37" s="1"/>
  <c r="S20" i="37"/>
  <c r="K15" i="25"/>
  <c r="L15" i="25" s="1"/>
  <c r="N15" i="25" s="1"/>
  <c r="Q15" i="25" s="1"/>
  <c r="U19" i="25"/>
  <c r="V19" i="25" s="1"/>
  <c r="S19" i="25"/>
  <c r="W19" i="34"/>
  <c r="I20" i="25"/>
  <c r="P20" i="25" s="1"/>
  <c r="F20" i="25"/>
  <c r="G20" i="25" s="1"/>
  <c r="E21" i="25"/>
  <c r="D20" i="25"/>
  <c r="R19" i="25"/>
  <c r="I21" i="36"/>
  <c r="P21" i="36" s="1"/>
  <c r="E22" i="36"/>
  <c r="F21" i="36"/>
  <c r="G21" i="36" s="1"/>
  <c r="D21" i="36"/>
  <c r="U20" i="36"/>
  <c r="V20" i="36" s="1"/>
  <c r="S20" i="36"/>
  <c r="R20" i="36"/>
  <c r="W18" i="35"/>
  <c r="W19" i="36"/>
  <c r="K15" i="36"/>
  <c r="L15" i="36" s="1"/>
  <c r="N15" i="36" s="1"/>
  <c r="Q15" i="36" s="1"/>
  <c r="D20" i="35"/>
  <c r="F20" i="35"/>
  <c r="G20" i="35" s="1"/>
  <c r="E21" i="35"/>
  <c r="I20" i="35"/>
  <c r="P20" i="35" s="1"/>
  <c r="U19" i="35"/>
  <c r="V19" i="35" s="1"/>
  <c r="S19" i="35"/>
  <c r="K15" i="35"/>
  <c r="L15" i="35" s="1"/>
  <c r="N15" i="35" s="1"/>
  <c r="Q15" i="35" s="1"/>
  <c r="R19" i="35"/>
  <c r="R20" i="34"/>
  <c r="W17" i="23"/>
  <c r="E22" i="34"/>
  <c r="F21" i="34"/>
  <c r="G21" i="34" s="1"/>
  <c r="D21" i="34"/>
  <c r="I21" i="34"/>
  <c r="P21" i="34" s="1"/>
  <c r="M16" i="34"/>
  <c r="K16" i="34"/>
  <c r="L16" i="34" s="1"/>
  <c r="N16" i="34" s="1"/>
  <c r="Q16" i="34" s="1"/>
  <c r="U20" i="34"/>
  <c r="V20" i="34" s="1"/>
  <c r="S20" i="34"/>
  <c r="K15" i="23"/>
  <c r="L15" i="23" s="1"/>
  <c r="N15" i="23" s="1"/>
  <c r="Q15" i="23" s="1"/>
  <c r="U18" i="23"/>
  <c r="V18" i="23" s="1"/>
  <c r="S18" i="23"/>
  <c r="D19" i="23"/>
  <c r="I19" i="23"/>
  <c r="P19" i="23" s="1"/>
  <c r="E20" i="23"/>
  <c r="F19" i="23"/>
  <c r="G19" i="23" s="1"/>
  <c r="W17" i="24"/>
  <c r="R18" i="23"/>
  <c r="D19" i="26"/>
  <c r="E20" i="26"/>
  <c r="F19" i="26"/>
  <c r="G19" i="26" s="1"/>
  <c r="I19" i="26"/>
  <c r="P19" i="26" s="1"/>
  <c r="R18" i="26"/>
  <c r="W17" i="26"/>
  <c r="U18" i="26"/>
  <c r="V18" i="26" s="1"/>
  <c r="S18" i="26"/>
  <c r="M15" i="26"/>
  <c r="W19" i="32"/>
  <c r="M15" i="24"/>
  <c r="D19" i="24"/>
  <c r="I19" i="24"/>
  <c r="P19" i="24" s="1"/>
  <c r="E20" i="24"/>
  <c r="F19" i="24"/>
  <c r="G19" i="24" s="1"/>
  <c r="R18" i="24"/>
  <c r="U18" i="24"/>
  <c r="V18" i="24" s="1"/>
  <c r="S18" i="24"/>
  <c r="U20" i="32"/>
  <c r="V20" i="32" s="1"/>
  <c r="S20" i="32"/>
  <c r="E22" i="32"/>
  <c r="F21" i="32"/>
  <c r="G21" i="32" s="1"/>
  <c r="D21" i="32"/>
  <c r="I21" i="32"/>
  <c r="P21" i="32" s="1"/>
  <c r="K15" i="32"/>
  <c r="L15" i="32" s="1"/>
  <c r="N15" i="32" s="1"/>
  <c r="Q15" i="32" s="1"/>
  <c r="W18" i="31"/>
  <c r="R20" i="32"/>
  <c r="M15" i="31"/>
  <c r="W17" i="30"/>
  <c r="U19" i="31"/>
  <c r="V19" i="31" s="1"/>
  <c r="S19" i="31"/>
  <c r="I20" i="31"/>
  <c r="P20" i="31" s="1"/>
  <c r="F20" i="31"/>
  <c r="G20" i="31" s="1"/>
  <c r="E21" i="31"/>
  <c r="D20" i="31"/>
  <c r="R19" i="31"/>
  <c r="M15" i="30"/>
  <c r="D19" i="30"/>
  <c r="I19" i="30"/>
  <c r="P19" i="30" s="1"/>
  <c r="E20" i="30"/>
  <c r="F19" i="30"/>
  <c r="G19" i="30" s="1"/>
  <c r="R18" i="30"/>
  <c r="U18" i="30"/>
  <c r="V18" i="30" s="1"/>
  <c r="S18" i="30"/>
  <c r="R19" i="29"/>
  <c r="S19" i="29"/>
  <c r="U19" i="29"/>
  <c r="V19" i="29" s="1"/>
  <c r="D20" i="29"/>
  <c r="F20" i="29"/>
  <c r="G20" i="29" s="1"/>
  <c r="E21" i="29"/>
  <c r="I20" i="29"/>
  <c r="P20" i="29" s="1"/>
  <c r="K15" i="29"/>
  <c r="L15" i="29" s="1"/>
  <c r="N15" i="29" s="1"/>
  <c r="Q15" i="29" s="1"/>
  <c r="W18" i="29"/>
  <c r="W19" i="45" l="1"/>
  <c r="U20" i="45"/>
  <c r="V20" i="45" s="1"/>
  <c r="S20" i="45"/>
  <c r="F21" i="45"/>
  <c r="G21" i="45" s="1"/>
  <c r="D21" i="45"/>
  <c r="E22" i="45"/>
  <c r="I21" i="45"/>
  <c r="P21" i="45" s="1"/>
  <c r="K16" i="45"/>
  <c r="L16" i="45" s="1"/>
  <c r="N16" i="45" s="1"/>
  <c r="Q16" i="45" s="1"/>
  <c r="R20" i="45"/>
  <c r="D20" i="43"/>
  <c r="E21" i="43"/>
  <c r="F20" i="43"/>
  <c r="G20" i="43" s="1"/>
  <c r="I20" i="43"/>
  <c r="P20" i="43" s="1"/>
  <c r="U19" i="43"/>
  <c r="V19" i="43" s="1"/>
  <c r="S19" i="43"/>
  <c r="K16" i="43"/>
  <c r="L16" i="43" s="1"/>
  <c r="N16" i="43" s="1"/>
  <c r="Q16" i="43" s="1"/>
  <c r="R19" i="43"/>
  <c r="W18" i="43"/>
  <c r="M15" i="42"/>
  <c r="U20" i="42"/>
  <c r="V20" i="42" s="1"/>
  <c r="S20" i="42"/>
  <c r="R20" i="42"/>
  <c r="W19" i="42"/>
  <c r="I21" i="42"/>
  <c r="P21" i="42" s="1"/>
  <c r="E22" i="42"/>
  <c r="F21" i="42"/>
  <c r="G21" i="42" s="1"/>
  <c r="D21" i="42"/>
  <c r="S19" i="41"/>
  <c r="U19" i="41"/>
  <c r="V19" i="41" s="1"/>
  <c r="D20" i="41"/>
  <c r="I20" i="41"/>
  <c r="P20" i="41" s="1"/>
  <c r="F20" i="41"/>
  <c r="G20" i="41" s="1"/>
  <c r="E21" i="41"/>
  <c r="R19" i="41"/>
  <c r="M15" i="41"/>
  <c r="W18" i="41"/>
  <c r="R19" i="40"/>
  <c r="W18" i="40"/>
  <c r="K16" i="40"/>
  <c r="L16" i="40" s="1"/>
  <c r="N16" i="40" s="1"/>
  <c r="Q16" i="40" s="1"/>
  <c r="D20" i="40"/>
  <c r="E21" i="40"/>
  <c r="F20" i="40"/>
  <c r="G20" i="40" s="1"/>
  <c r="I20" i="40"/>
  <c r="P20" i="40" s="1"/>
  <c r="U19" i="40"/>
  <c r="V19" i="40" s="1"/>
  <c r="S19" i="40"/>
  <c r="F22" i="39"/>
  <c r="G22" i="39" s="1"/>
  <c r="E23" i="39"/>
  <c r="I22" i="39"/>
  <c r="P22" i="39" s="1"/>
  <c r="D22" i="39"/>
  <c r="W19" i="38"/>
  <c r="M15" i="39"/>
  <c r="R21" i="39"/>
  <c r="W20" i="39"/>
  <c r="U21" i="39"/>
  <c r="V21" i="39" s="1"/>
  <c r="S21" i="39"/>
  <c r="E22" i="38"/>
  <c r="F21" i="38"/>
  <c r="G21" i="38" s="1"/>
  <c r="D21" i="38"/>
  <c r="I21" i="38"/>
  <c r="P21" i="38" s="1"/>
  <c r="U20" i="38"/>
  <c r="V20" i="38" s="1"/>
  <c r="S20" i="38"/>
  <c r="R20" i="38"/>
  <c r="M15" i="38"/>
  <c r="U21" i="28"/>
  <c r="V21" i="28" s="1"/>
  <c r="S21" i="28"/>
  <c r="R21" i="28"/>
  <c r="W20" i="28"/>
  <c r="M16" i="28"/>
  <c r="D22" i="28"/>
  <c r="I22" i="28"/>
  <c r="P22" i="28" s="1"/>
  <c r="F22" i="28"/>
  <c r="G22" i="28" s="1"/>
  <c r="E23" i="28"/>
  <c r="R20" i="27"/>
  <c r="U20" i="27"/>
  <c r="V20" i="27" s="1"/>
  <c r="S20" i="27"/>
  <c r="E22" i="27"/>
  <c r="F21" i="27"/>
  <c r="G21" i="27" s="1"/>
  <c r="D21" i="27"/>
  <c r="I21" i="27"/>
  <c r="P21" i="27" s="1"/>
  <c r="W19" i="27"/>
  <c r="M15" i="27"/>
  <c r="S21" i="37"/>
  <c r="U21" i="37"/>
  <c r="V21" i="37" s="1"/>
  <c r="I22" i="37"/>
  <c r="P22" i="37" s="1"/>
  <c r="F22" i="37"/>
  <c r="G22" i="37" s="1"/>
  <c r="D22" i="37"/>
  <c r="E23" i="37"/>
  <c r="R21" i="37"/>
  <c r="W20" i="37"/>
  <c r="M15" i="37"/>
  <c r="I21" i="25"/>
  <c r="P21" i="25" s="1"/>
  <c r="D21" i="25"/>
  <c r="E22" i="25"/>
  <c r="F21" i="25"/>
  <c r="G21" i="25" s="1"/>
  <c r="W19" i="25"/>
  <c r="S20" i="25"/>
  <c r="U20" i="25"/>
  <c r="V20" i="25" s="1"/>
  <c r="R20" i="25"/>
  <c r="M15" i="25"/>
  <c r="R21" i="36"/>
  <c r="M15" i="36"/>
  <c r="W20" i="36"/>
  <c r="I22" i="36"/>
  <c r="P22" i="36" s="1"/>
  <c r="E23" i="36"/>
  <c r="F22" i="36"/>
  <c r="G22" i="36" s="1"/>
  <c r="D22" i="36"/>
  <c r="S21" i="36"/>
  <c r="U21" i="36"/>
  <c r="V21" i="36" s="1"/>
  <c r="M15" i="35"/>
  <c r="R20" i="35"/>
  <c r="I21" i="35"/>
  <c r="P21" i="35" s="1"/>
  <c r="F21" i="35"/>
  <c r="G21" i="35" s="1"/>
  <c r="D21" i="35"/>
  <c r="E22" i="35"/>
  <c r="W19" i="35"/>
  <c r="W20" i="34"/>
  <c r="U20" i="35"/>
  <c r="V20" i="35" s="1"/>
  <c r="S20" i="35"/>
  <c r="I22" i="34"/>
  <c r="P22" i="34" s="1"/>
  <c r="D22" i="34"/>
  <c r="F22" i="34"/>
  <c r="G22" i="34" s="1"/>
  <c r="E23" i="34"/>
  <c r="W18" i="26"/>
  <c r="R21" i="34"/>
  <c r="M17" i="34"/>
  <c r="K17" i="34"/>
  <c r="L17" i="34" s="1"/>
  <c r="N17" i="34" s="1"/>
  <c r="Q17" i="34" s="1"/>
  <c r="S21" i="34"/>
  <c r="U21" i="34"/>
  <c r="V21" i="34" s="1"/>
  <c r="I20" i="23"/>
  <c r="P20" i="23" s="1"/>
  <c r="F20" i="23"/>
  <c r="G20" i="23" s="1"/>
  <c r="E21" i="23"/>
  <c r="D20" i="23"/>
  <c r="S19" i="23"/>
  <c r="U19" i="23"/>
  <c r="V19" i="23" s="1"/>
  <c r="R19" i="23"/>
  <c r="W18" i="23"/>
  <c r="M15" i="23"/>
  <c r="U19" i="26"/>
  <c r="V19" i="26" s="1"/>
  <c r="S19" i="26"/>
  <c r="K16" i="26"/>
  <c r="L16" i="26" s="1"/>
  <c r="N16" i="26" s="1"/>
  <c r="Q16" i="26" s="1"/>
  <c r="I20" i="26"/>
  <c r="P20" i="26" s="1"/>
  <c r="E21" i="26"/>
  <c r="D20" i="26"/>
  <c r="F20" i="26"/>
  <c r="G20" i="26" s="1"/>
  <c r="R19" i="26"/>
  <c r="E21" i="24"/>
  <c r="F20" i="24"/>
  <c r="G20" i="24" s="1"/>
  <c r="D20" i="24"/>
  <c r="I20" i="24"/>
  <c r="P20" i="24" s="1"/>
  <c r="R19" i="24"/>
  <c r="K16" i="24"/>
  <c r="L16" i="24" s="1"/>
  <c r="N16" i="24" s="1"/>
  <c r="Q16" i="24" s="1"/>
  <c r="U19" i="24"/>
  <c r="V19" i="24" s="1"/>
  <c r="S19" i="24"/>
  <c r="W18" i="24"/>
  <c r="M15" i="32"/>
  <c r="U21" i="32"/>
  <c r="V21" i="32" s="1"/>
  <c r="S21" i="32"/>
  <c r="I22" i="32"/>
  <c r="P22" i="32" s="1"/>
  <c r="E23" i="32"/>
  <c r="D22" i="32"/>
  <c r="F22" i="32"/>
  <c r="G22" i="32" s="1"/>
  <c r="R21" i="32"/>
  <c r="W20" i="32"/>
  <c r="E22" i="31"/>
  <c r="F21" i="31"/>
  <c r="G21" i="31" s="1"/>
  <c r="I21" i="31"/>
  <c r="P21" i="31" s="1"/>
  <c r="D21" i="31"/>
  <c r="W19" i="29"/>
  <c r="U20" i="31"/>
  <c r="V20" i="31" s="1"/>
  <c r="S20" i="31"/>
  <c r="W19" i="31"/>
  <c r="R20" i="31"/>
  <c r="W18" i="30"/>
  <c r="K16" i="31"/>
  <c r="L16" i="31" s="1"/>
  <c r="N16" i="31" s="1"/>
  <c r="Q16" i="31" s="1"/>
  <c r="D20" i="30"/>
  <c r="E21" i="30"/>
  <c r="F20" i="30"/>
  <c r="G20" i="30" s="1"/>
  <c r="I20" i="30"/>
  <c r="P20" i="30" s="1"/>
  <c r="U19" i="30"/>
  <c r="V19" i="30" s="1"/>
  <c r="S19" i="30"/>
  <c r="R19" i="30"/>
  <c r="M16" i="30"/>
  <c r="K16" i="30"/>
  <c r="L16" i="30" s="1"/>
  <c r="N16" i="30" s="1"/>
  <c r="Q16" i="30" s="1"/>
  <c r="U20" i="29"/>
  <c r="V20" i="29" s="1"/>
  <c r="S20" i="29"/>
  <c r="E22" i="29"/>
  <c r="F21" i="29"/>
  <c r="G21" i="29" s="1"/>
  <c r="I21" i="29"/>
  <c r="P21" i="29" s="1"/>
  <c r="D21" i="29"/>
  <c r="R20" i="29"/>
  <c r="M15" i="29"/>
  <c r="W21" i="36" l="1"/>
  <c r="W19" i="41"/>
  <c r="W20" i="45"/>
  <c r="M16" i="45"/>
  <c r="U21" i="45"/>
  <c r="V21" i="45" s="1"/>
  <c r="S21" i="45"/>
  <c r="I22" i="45"/>
  <c r="P22" i="45" s="1"/>
  <c r="D22" i="45"/>
  <c r="F22" i="45"/>
  <c r="G22" i="45" s="1"/>
  <c r="E23" i="45"/>
  <c r="R21" i="45"/>
  <c r="M16" i="43"/>
  <c r="W19" i="43"/>
  <c r="U20" i="43"/>
  <c r="V20" i="43" s="1"/>
  <c r="S20" i="43"/>
  <c r="E22" i="43"/>
  <c r="F21" i="43"/>
  <c r="G21" i="43" s="1"/>
  <c r="D21" i="43"/>
  <c r="I21" i="43"/>
  <c r="P21" i="43" s="1"/>
  <c r="R20" i="43"/>
  <c r="I22" i="42"/>
  <c r="P22" i="42" s="1"/>
  <c r="D22" i="42"/>
  <c r="E23" i="42"/>
  <c r="F22" i="42"/>
  <c r="G22" i="42" s="1"/>
  <c r="U21" i="42"/>
  <c r="V21" i="42" s="1"/>
  <c r="S21" i="42"/>
  <c r="W19" i="40"/>
  <c r="R21" i="42"/>
  <c r="W20" i="42"/>
  <c r="K16" i="42"/>
  <c r="L16" i="42" s="1"/>
  <c r="N16" i="42" s="1"/>
  <c r="Q16" i="42" s="1"/>
  <c r="I21" i="41"/>
  <c r="P21" i="41" s="1"/>
  <c r="F21" i="41"/>
  <c r="G21" i="41" s="1"/>
  <c r="E22" i="41"/>
  <c r="D21" i="41"/>
  <c r="U20" i="41"/>
  <c r="V20" i="41" s="1"/>
  <c r="S20" i="41"/>
  <c r="K16" i="41"/>
  <c r="L16" i="41" s="1"/>
  <c r="N16" i="41" s="1"/>
  <c r="Q16" i="41" s="1"/>
  <c r="R20" i="41"/>
  <c r="E22" i="40"/>
  <c r="F21" i="40"/>
  <c r="G21" i="40" s="1"/>
  <c r="D21" i="40"/>
  <c r="I21" i="40"/>
  <c r="P21" i="40" s="1"/>
  <c r="W21" i="39"/>
  <c r="M16" i="40"/>
  <c r="R20" i="40"/>
  <c r="U20" i="40"/>
  <c r="V20" i="40" s="1"/>
  <c r="S20" i="40"/>
  <c r="K16" i="39"/>
  <c r="L16" i="39" s="1"/>
  <c r="N16" i="39" s="1"/>
  <c r="Q16" i="39" s="1"/>
  <c r="R22" i="39"/>
  <c r="U22" i="39"/>
  <c r="V22" i="39" s="1"/>
  <c r="S22" i="39"/>
  <c r="I23" i="39"/>
  <c r="P23" i="39" s="1"/>
  <c r="D23" i="39"/>
  <c r="F23" i="39"/>
  <c r="G23" i="39" s="1"/>
  <c r="E24" i="39"/>
  <c r="R21" i="38"/>
  <c r="W21" i="37"/>
  <c r="W20" i="38"/>
  <c r="U21" i="38"/>
  <c r="V21" i="38" s="1"/>
  <c r="S21" i="38"/>
  <c r="K16" i="38"/>
  <c r="L16" i="38" s="1"/>
  <c r="N16" i="38" s="1"/>
  <c r="Q16" i="38" s="1"/>
  <c r="I22" i="38"/>
  <c r="P22" i="38" s="1"/>
  <c r="E23" i="38"/>
  <c r="F22" i="38"/>
  <c r="G22" i="38" s="1"/>
  <c r="D22" i="38"/>
  <c r="U22" i="28"/>
  <c r="V22" i="28" s="1"/>
  <c r="S22" i="28"/>
  <c r="K17" i="28"/>
  <c r="L17" i="28" s="1"/>
  <c r="N17" i="28" s="1"/>
  <c r="Q17" i="28" s="1"/>
  <c r="I23" i="28"/>
  <c r="P23" i="28" s="1"/>
  <c r="D23" i="28"/>
  <c r="E24" i="28"/>
  <c r="F23" i="28"/>
  <c r="G23" i="28" s="1"/>
  <c r="R22" i="28"/>
  <c r="W21" i="28"/>
  <c r="U21" i="27"/>
  <c r="V21" i="27" s="1"/>
  <c r="S21" i="27"/>
  <c r="I22" i="27"/>
  <c r="P22" i="27" s="1"/>
  <c r="D22" i="27"/>
  <c r="E23" i="27"/>
  <c r="F22" i="27"/>
  <c r="G22" i="27" s="1"/>
  <c r="R21" i="27"/>
  <c r="K16" i="27"/>
  <c r="L16" i="27" s="1"/>
  <c r="N16" i="27" s="1"/>
  <c r="Q16" i="27" s="1"/>
  <c r="W20" i="27"/>
  <c r="E24" i="37"/>
  <c r="I23" i="37"/>
  <c r="P23" i="37" s="1"/>
  <c r="F23" i="37"/>
  <c r="G23" i="37" s="1"/>
  <c r="D23" i="37"/>
  <c r="S22" i="37"/>
  <c r="U22" i="37"/>
  <c r="V22" i="37" s="1"/>
  <c r="K16" i="37"/>
  <c r="L16" i="37" s="1"/>
  <c r="N16" i="37" s="1"/>
  <c r="Q16" i="37" s="1"/>
  <c r="R22" i="37"/>
  <c r="W20" i="25"/>
  <c r="I22" i="25"/>
  <c r="P22" i="25" s="1"/>
  <c r="F22" i="25"/>
  <c r="G22" i="25" s="1"/>
  <c r="E23" i="25"/>
  <c r="D22" i="25"/>
  <c r="R21" i="25"/>
  <c r="M16" i="25"/>
  <c r="K16" i="25"/>
  <c r="L16" i="25" s="1"/>
  <c r="N16" i="25" s="1"/>
  <c r="Q16" i="25" s="1"/>
  <c r="U21" i="25"/>
  <c r="V21" i="25" s="1"/>
  <c r="S21" i="25"/>
  <c r="E24" i="36"/>
  <c r="F23" i="36"/>
  <c r="G23" i="36" s="1"/>
  <c r="D23" i="36"/>
  <c r="I23" i="36"/>
  <c r="P23" i="36" s="1"/>
  <c r="M16" i="36"/>
  <c r="K16" i="36"/>
  <c r="L16" i="36" s="1"/>
  <c r="N16" i="36" s="1"/>
  <c r="Q16" i="36" s="1"/>
  <c r="U22" i="36"/>
  <c r="V22" i="36" s="1"/>
  <c r="S22" i="36"/>
  <c r="R22" i="36"/>
  <c r="I22" i="35"/>
  <c r="P22" i="35" s="1"/>
  <c r="E23" i="35"/>
  <c r="D22" i="35"/>
  <c r="F22" i="35"/>
  <c r="G22" i="35" s="1"/>
  <c r="R21" i="35"/>
  <c r="S21" i="35"/>
  <c r="U21" i="35"/>
  <c r="V21" i="35" s="1"/>
  <c r="W20" i="35"/>
  <c r="K16" i="35"/>
  <c r="L16" i="35" s="1"/>
  <c r="N16" i="35" s="1"/>
  <c r="Q16" i="35" s="1"/>
  <c r="W21" i="34"/>
  <c r="M18" i="34"/>
  <c r="K18" i="34"/>
  <c r="L18" i="34" s="1"/>
  <c r="N18" i="34" s="1"/>
  <c r="Q18" i="34" s="1"/>
  <c r="I23" i="34"/>
  <c r="P23" i="34" s="1"/>
  <c r="F23" i="34"/>
  <c r="G23" i="34" s="1"/>
  <c r="D23" i="34"/>
  <c r="E24" i="34"/>
  <c r="R22" i="34"/>
  <c r="W19" i="23"/>
  <c r="S22" i="34"/>
  <c r="U22" i="34"/>
  <c r="V22" i="34" s="1"/>
  <c r="R20" i="23"/>
  <c r="E22" i="23"/>
  <c r="F21" i="23"/>
  <c r="G21" i="23" s="1"/>
  <c r="I21" i="23"/>
  <c r="P21" i="23" s="1"/>
  <c r="D21" i="23"/>
  <c r="K16" i="23"/>
  <c r="L16" i="23" s="1"/>
  <c r="N16" i="23" s="1"/>
  <c r="Q16" i="23" s="1"/>
  <c r="U20" i="23"/>
  <c r="V20" i="23" s="1"/>
  <c r="S20" i="23"/>
  <c r="I21" i="26"/>
  <c r="P21" i="26" s="1"/>
  <c r="D21" i="26"/>
  <c r="E22" i="26"/>
  <c r="F21" i="26"/>
  <c r="G21" i="26" s="1"/>
  <c r="M16" i="26"/>
  <c r="R20" i="26"/>
  <c r="U20" i="26"/>
  <c r="V20" i="26" s="1"/>
  <c r="S20" i="26"/>
  <c r="W19" i="26"/>
  <c r="M16" i="24"/>
  <c r="W20" i="31"/>
  <c r="R20" i="24"/>
  <c r="U20" i="24"/>
  <c r="V20" i="24" s="1"/>
  <c r="S20" i="24"/>
  <c r="W19" i="24"/>
  <c r="I21" i="24"/>
  <c r="P21" i="24" s="1"/>
  <c r="E22" i="24"/>
  <c r="F21" i="24"/>
  <c r="G21" i="24" s="1"/>
  <c r="D21" i="24"/>
  <c r="I23" i="32"/>
  <c r="P23" i="32" s="1"/>
  <c r="D23" i="32"/>
  <c r="E24" i="32"/>
  <c r="F23" i="32"/>
  <c r="G23" i="32" s="1"/>
  <c r="R22" i="32"/>
  <c r="W21" i="32"/>
  <c r="S22" i="32"/>
  <c r="U22" i="32"/>
  <c r="V22" i="32" s="1"/>
  <c r="K16" i="32"/>
  <c r="L16" i="32" s="1"/>
  <c r="N16" i="32" s="1"/>
  <c r="Q16" i="32" s="1"/>
  <c r="R21" i="31"/>
  <c r="S21" i="31"/>
  <c r="U21" i="31"/>
  <c r="V21" i="31" s="1"/>
  <c r="M16" i="31"/>
  <c r="I22" i="31"/>
  <c r="P22" i="31" s="1"/>
  <c r="F22" i="31"/>
  <c r="G22" i="31" s="1"/>
  <c r="D22" i="31"/>
  <c r="E23" i="31"/>
  <c r="U20" i="30"/>
  <c r="V20" i="30" s="1"/>
  <c r="S20" i="30"/>
  <c r="W20" i="29"/>
  <c r="W19" i="30"/>
  <c r="I21" i="30"/>
  <c r="P21" i="30" s="1"/>
  <c r="E22" i="30"/>
  <c r="F21" i="30"/>
  <c r="G21" i="30" s="1"/>
  <c r="D21" i="30"/>
  <c r="R20" i="30"/>
  <c r="K17" i="30"/>
  <c r="L17" i="30" s="1"/>
  <c r="N17" i="30" s="1"/>
  <c r="Q17" i="30" s="1"/>
  <c r="S21" i="29"/>
  <c r="U21" i="29"/>
  <c r="V21" i="29" s="1"/>
  <c r="I22" i="29"/>
  <c r="P22" i="29" s="1"/>
  <c r="D22" i="29"/>
  <c r="E23" i="29"/>
  <c r="F22" i="29"/>
  <c r="G22" i="29" s="1"/>
  <c r="R21" i="29"/>
  <c r="K16" i="29"/>
  <c r="L16" i="29" s="1"/>
  <c r="N16" i="29" s="1"/>
  <c r="Q16" i="29" s="1"/>
  <c r="I23" i="45" l="1"/>
  <c r="P23" i="45" s="1"/>
  <c r="E24" i="45"/>
  <c r="F23" i="45"/>
  <c r="G23" i="45" s="1"/>
  <c r="D23" i="45"/>
  <c r="S22" i="45"/>
  <c r="U22" i="45"/>
  <c r="V22" i="45" s="1"/>
  <c r="R22" i="45"/>
  <c r="W21" i="45"/>
  <c r="K17" i="45"/>
  <c r="L17" i="45" s="1"/>
  <c r="N17" i="45" s="1"/>
  <c r="Q17" i="45" s="1"/>
  <c r="U21" i="43"/>
  <c r="V21" i="43" s="1"/>
  <c r="S21" i="43"/>
  <c r="I22" i="43"/>
  <c r="P22" i="43" s="1"/>
  <c r="D22" i="43"/>
  <c r="F22" i="43"/>
  <c r="G22" i="43" s="1"/>
  <c r="E23" i="43"/>
  <c r="W20" i="43"/>
  <c r="R21" i="43"/>
  <c r="K17" i="43"/>
  <c r="L17" i="43" s="1"/>
  <c r="N17" i="43" s="1"/>
  <c r="Q17" i="43" s="1"/>
  <c r="W21" i="42"/>
  <c r="M16" i="42"/>
  <c r="I23" i="42"/>
  <c r="P23" i="42" s="1"/>
  <c r="E24" i="42"/>
  <c r="F23" i="42"/>
  <c r="G23" i="42" s="1"/>
  <c r="D23" i="42"/>
  <c r="R22" i="42"/>
  <c r="W20" i="41"/>
  <c r="U22" i="42"/>
  <c r="V22" i="42" s="1"/>
  <c r="S22" i="42"/>
  <c r="M16" i="41"/>
  <c r="R21" i="41"/>
  <c r="E23" i="41"/>
  <c r="F22" i="41"/>
  <c r="G22" i="41" s="1"/>
  <c r="D22" i="41"/>
  <c r="I22" i="41"/>
  <c r="P22" i="41" s="1"/>
  <c r="W20" i="40"/>
  <c r="U21" i="41"/>
  <c r="V21" i="41" s="1"/>
  <c r="S21" i="41"/>
  <c r="K17" i="40"/>
  <c r="L17" i="40" s="1"/>
  <c r="N17" i="40" s="1"/>
  <c r="Q17" i="40" s="1"/>
  <c r="U21" i="40"/>
  <c r="V21" i="40" s="1"/>
  <c r="S21" i="40"/>
  <c r="R21" i="40"/>
  <c r="I22" i="40"/>
  <c r="P22" i="40" s="1"/>
  <c r="D22" i="40"/>
  <c r="E23" i="40"/>
  <c r="F22" i="40"/>
  <c r="G22" i="40" s="1"/>
  <c r="S23" i="39"/>
  <c r="U23" i="39"/>
  <c r="V23" i="39" s="1"/>
  <c r="R23" i="39"/>
  <c r="W22" i="39"/>
  <c r="I24" i="39"/>
  <c r="P24" i="39" s="1"/>
  <c r="E25" i="39"/>
  <c r="D24" i="39"/>
  <c r="F24" i="39"/>
  <c r="G24" i="39" s="1"/>
  <c r="M16" i="39"/>
  <c r="M16" i="38"/>
  <c r="R22" i="38"/>
  <c r="W21" i="38"/>
  <c r="I23" i="38"/>
  <c r="P23" i="38" s="1"/>
  <c r="D23" i="38"/>
  <c r="E24" i="38"/>
  <c r="F23" i="38"/>
  <c r="G23" i="38" s="1"/>
  <c r="U22" i="38"/>
  <c r="V22" i="38" s="1"/>
  <c r="S22" i="38"/>
  <c r="I24" i="28"/>
  <c r="P24" i="28" s="1"/>
  <c r="D24" i="28"/>
  <c r="F24" i="28"/>
  <c r="G24" i="28" s="1"/>
  <c r="E25" i="28"/>
  <c r="M17" i="28"/>
  <c r="R23" i="28"/>
  <c r="S23" i="28"/>
  <c r="U23" i="28"/>
  <c r="V23" i="28" s="1"/>
  <c r="W22" i="28"/>
  <c r="I23" i="27"/>
  <c r="P23" i="27" s="1"/>
  <c r="D23" i="27"/>
  <c r="E24" i="27"/>
  <c r="F23" i="27"/>
  <c r="G23" i="27" s="1"/>
  <c r="R22" i="27"/>
  <c r="U22" i="27"/>
  <c r="V22" i="27" s="1"/>
  <c r="S22" i="27"/>
  <c r="W22" i="37"/>
  <c r="M16" i="27"/>
  <c r="W21" i="27"/>
  <c r="M16" i="37"/>
  <c r="R23" i="37"/>
  <c r="U23" i="37"/>
  <c r="V23" i="37" s="1"/>
  <c r="S23" i="37"/>
  <c r="E25" i="37"/>
  <c r="F24" i="37"/>
  <c r="G24" i="37" s="1"/>
  <c r="D24" i="37"/>
  <c r="I24" i="37"/>
  <c r="P24" i="37" s="1"/>
  <c r="R22" i="25"/>
  <c r="I23" i="25"/>
  <c r="P23" i="25" s="1"/>
  <c r="E24" i="25"/>
  <c r="F23" i="25"/>
  <c r="G23" i="25" s="1"/>
  <c r="D23" i="25"/>
  <c r="W21" i="25"/>
  <c r="S22" i="25"/>
  <c r="U22" i="25"/>
  <c r="V22" i="25" s="1"/>
  <c r="K17" i="25"/>
  <c r="L17" i="25" s="1"/>
  <c r="N17" i="25" s="1"/>
  <c r="Q17" i="25" s="1"/>
  <c r="R23" i="36"/>
  <c r="W22" i="36"/>
  <c r="W22" i="34"/>
  <c r="U23" i="36"/>
  <c r="V23" i="36" s="1"/>
  <c r="S23" i="36"/>
  <c r="K17" i="36"/>
  <c r="L17" i="36" s="1"/>
  <c r="N17" i="36" s="1"/>
  <c r="Q17" i="36" s="1"/>
  <c r="W21" i="35"/>
  <c r="E25" i="36"/>
  <c r="F24" i="36"/>
  <c r="G24" i="36" s="1"/>
  <c r="D24" i="36"/>
  <c r="I24" i="36"/>
  <c r="P24" i="36" s="1"/>
  <c r="R22" i="35"/>
  <c r="M16" i="35"/>
  <c r="E24" i="35"/>
  <c r="F23" i="35"/>
  <c r="G23" i="35" s="1"/>
  <c r="I23" i="35"/>
  <c r="P23" i="35" s="1"/>
  <c r="D23" i="35"/>
  <c r="U22" i="35"/>
  <c r="V22" i="35" s="1"/>
  <c r="S22" i="35"/>
  <c r="U23" i="34"/>
  <c r="V23" i="34" s="1"/>
  <c r="S23" i="34"/>
  <c r="R23" i="34"/>
  <c r="E25" i="34"/>
  <c r="F24" i="34"/>
  <c r="G24" i="34" s="1"/>
  <c r="D24" i="34"/>
  <c r="I24" i="34"/>
  <c r="P24" i="34" s="1"/>
  <c r="K19" i="34"/>
  <c r="L19" i="34" s="1"/>
  <c r="N19" i="34" s="1"/>
  <c r="Q19" i="34" s="1"/>
  <c r="M16" i="23"/>
  <c r="S21" i="23"/>
  <c r="U21" i="23"/>
  <c r="V21" i="23" s="1"/>
  <c r="I22" i="23"/>
  <c r="P22" i="23" s="1"/>
  <c r="E23" i="23"/>
  <c r="F22" i="23"/>
  <c r="G22" i="23" s="1"/>
  <c r="D22" i="23"/>
  <c r="R21" i="23"/>
  <c r="W20" i="26"/>
  <c r="W20" i="23"/>
  <c r="I22" i="26"/>
  <c r="P22" i="26" s="1"/>
  <c r="F22" i="26"/>
  <c r="G22" i="26" s="1"/>
  <c r="E23" i="26"/>
  <c r="D22" i="26"/>
  <c r="M17" i="26"/>
  <c r="K17" i="26"/>
  <c r="L17" i="26" s="1"/>
  <c r="N17" i="26" s="1"/>
  <c r="Q17" i="26" s="1"/>
  <c r="W21" i="29"/>
  <c r="R21" i="26"/>
  <c r="U21" i="26"/>
  <c r="V21" i="26" s="1"/>
  <c r="S21" i="26"/>
  <c r="R21" i="24"/>
  <c r="U21" i="24"/>
  <c r="V21" i="24" s="1"/>
  <c r="S21" i="24"/>
  <c r="W20" i="24"/>
  <c r="I22" i="24"/>
  <c r="P22" i="24" s="1"/>
  <c r="D22" i="24"/>
  <c r="F22" i="24"/>
  <c r="G22" i="24" s="1"/>
  <c r="E23" i="24"/>
  <c r="K17" i="24"/>
  <c r="L17" i="24" s="1"/>
  <c r="N17" i="24" s="1"/>
  <c r="Q17" i="24" s="1"/>
  <c r="W21" i="31"/>
  <c r="R23" i="32"/>
  <c r="E25" i="32"/>
  <c r="F24" i="32"/>
  <c r="G24" i="32" s="1"/>
  <c r="D24" i="32"/>
  <c r="I24" i="32"/>
  <c r="P24" i="32" s="1"/>
  <c r="M16" i="32"/>
  <c r="W22" i="32"/>
  <c r="U23" i="32"/>
  <c r="V23" i="32" s="1"/>
  <c r="S23" i="32"/>
  <c r="U22" i="31"/>
  <c r="V22" i="31" s="1"/>
  <c r="S22" i="31"/>
  <c r="K17" i="31"/>
  <c r="L17" i="31" s="1"/>
  <c r="N17" i="31" s="1"/>
  <c r="Q17" i="31" s="1"/>
  <c r="R22" i="31"/>
  <c r="W20" i="30"/>
  <c r="D23" i="31"/>
  <c r="E24" i="31"/>
  <c r="I23" i="31"/>
  <c r="P23" i="31" s="1"/>
  <c r="F23" i="31"/>
  <c r="G23" i="31" s="1"/>
  <c r="M17" i="30"/>
  <c r="I22" i="30"/>
  <c r="P22" i="30" s="1"/>
  <c r="D22" i="30"/>
  <c r="F22" i="30"/>
  <c r="G22" i="30" s="1"/>
  <c r="E23" i="30"/>
  <c r="R21" i="30"/>
  <c r="U21" i="30"/>
  <c r="V21" i="30" s="1"/>
  <c r="S21" i="30"/>
  <c r="D23" i="29"/>
  <c r="E24" i="29"/>
  <c r="I23" i="29"/>
  <c r="P23" i="29" s="1"/>
  <c r="F23" i="29"/>
  <c r="G23" i="29" s="1"/>
  <c r="U22" i="29"/>
  <c r="V22" i="29" s="1"/>
  <c r="S22" i="29"/>
  <c r="M16" i="29"/>
  <c r="R22" i="29"/>
  <c r="W22" i="45" l="1"/>
  <c r="R23" i="45"/>
  <c r="M17" i="45"/>
  <c r="E25" i="45"/>
  <c r="F24" i="45"/>
  <c r="G24" i="45" s="1"/>
  <c r="I24" i="45"/>
  <c r="P24" i="45" s="1"/>
  <c r="D24" i="45"/>
  <c r="W23" i="39"/>
  <c r="U23" i="45"/>
  <c r="V23" i="45" s="1"/>
  <c r="S23" i="45"/>
  <c r="I23" i="43"/>
  <c r="P23" i="43" s="1"/>
  <c r="D23" i="43"/>
  <c r="E24" i="43"/>
  <c r="F23" i="43"/>
  <c r="G23" i="43" s="1"/>
  <c r="U22" i="43"/>
  <c r="V22" i="43" s="1"/>
  <c r="S22" i="43"/>
  <c r="M17" i="43"/>
  <c r="R22" i="43"/>
  <c r="W21" i="43"/>
  <c r="R23" i="42"/>
  <c r="S23" i="42"/>
  <c r="U23" i="42"/>
  <c r="V23" i="42" s="1"/>
  <c r="W22" i="42"/>
  <c r="M17" i="42"/>
  <c r="K17" i="42"/>
  <c r="L17" i="42" s="1"/>
  <c r="N17" i="42" s="1"/>
  <c r="Q17" i="42" s="1"/>
  <c r="I24" i="42"/>
  <c r="P24" i="42" s="1"/>
  <c r="E25" i="42"/>
  <c r="F24" i="42"/>
  <c r="G24" i="42" s="1"/>
  <c r="D24" i="42"/>
  <c r="U22" i="41"/>
  <c r="V22" i="41" s="1"/>
  <c r="S22" i="41"/>
  <c r="I23" i="41"/>
  <c r="P23" i="41" s="1"/>
  <c r="F23" i="41"/>
  <c r="G23" i="41" s="1"/>
  <c r="D23" i="41"/>
  <c r="E24" i="41"/>
  <c r="R22" i="41"/>
  <c r="W21" i="41"/>
  <c r="K17" i="41"/>
  <c r="L17" i="41" s="1"/>
  <c r="N17" i="41" s="1"/>
  <c r="Q17" i="41" s="1"/>
  <c r="U22" i="40"/>
  <c r="V22" i="40" s="1"/>
  <c r="S22" i="40"/>
  <c r="R22" i="40"/>
  <c r="W21" i="40"/>
  <c r="I23" i="40"/>
  <c r="P23" i="40" s="1"/>
  <c r="D23" i="40"/>
  <c r="F23" i="40"/>
  <c r="G23" i="40" s="1"/>
  <c r="E24" i="40"/>
  <c r="M17" i="40"/>
  <c r="E26" i="39"/>
  <c r="F25" i="39"/>
  <c r="G25" i="39" s="1"/>
  <c r="I25" i="39"/>
  <c r="P25" i="39" s="1"/>
  <c r="D25" i="39"/>
  <c r="U24" i="39"/>
  <c r="V24" i="39" s="1"/>
  <c r="S24" i="39"/>
  <c r="K17" i="39"/>
  <c r="L17" i="39" s="1"/>
  <c r="N17" i="39" s="1"/>
  <c r="Q17" i="39" s="1"/>
  <c r="R24" i="39"/>
  <c r="I24" i="38"/>
  <c r="P24" i="38" s="1"/>
  <c r="E25" i="38"/>
  <c r="F24" i="38"/>
  <c r="G24" i="38" s="1"/>
  <c r="D24" i="38"/>
  <c r="S23" i="38"/>
  <c r="U23" i="38"/>
  <c r="V23" i="38" s="1"/>
  <c r="R23" i="38"/>
  <c r="W22" i="38"/>
  <c r="K17" i="38"/>
  <c r="L17" i="38" s="1"/>
  <c r="N17" i="38" s="1"/>
  <c r="Q17" i="38" s="1"/>
  <c r="R24" i="28"/>
  <c r="W23" i="37"/>
  <c r="K18" i="28"/>
  <c r="L18" i="28" s="1"/>
  <c r="N18" i="28" s="1"/>
  <c r="Q18" i="28" s="1"/>
  <c r="E26" i="28"/>
  <c r="F25" i="28"/>
  <c r="G25" i="28" s="1"/>
  <c r="D25" i="28"/>
  <c r="I25" i="28"/>
  <c r="P25" i="28" s="1"/>
  <c r="W23" i="28"/>
  <c r="U24" i="28"/>
  <c r="V24" i="28" s="1"/>
  <c r="S24" i="28"/>
  <c r="R23" i="27"/>
  <c r="W22" i="27"/>
  <c r="I24" i="27"/>
  <c r="P24" i="27" s="1"/>
  <c r="E25" i="27"/>
  <c r="F24" i="27"/>
  <c r="G24" i="27" s="1"/>
  <c r="D24" i="27"/>
  <c r="M17" i="27"/>
  <c r="K17" i="27"/>
  <c r="L17" i="27" s="1"/>
  <c r="N17" i="27" s="1"/>
  <c r="Q17" i="27" s="1"/>
  <c r="S23" i="27"/>
  <c r="U23" i="27"/>
  <c r="V23" i="27" s="1"/>
  <c r="R24" i="37"/>
  <c r="E26" i="37"/>
  <c r="F25" i="37"/>
  <c r="G25" i="37" s="1"/>
  <c r="I25" i="37"/>
  <c r="P25" i="37" s="1"/>
  <c r="D25" i="37"/>
  <c r="S24" i="37"/>
  <c r="U24" i="37"/>
  <c r="V24" i="37" s="1"/>
  <c r="K17" i="37"/>
  <c r="L17" i="37" s="1"/>
  <c r="N17" i="37" s="1"/>
  <c r="Q17" i="37" s="1"/>
  <c r="W23" i="36"/>
  <c r="R23" i="25"/>
  <c r="F24" i="25"/>
  <c r="G24" i="25" s="1"/>
  <c r="D24" i="25"/>
  <c r="E25" i="25"/>
  <c r="I24" i="25"/>
  <c r="P24" i="25" s="1"/>
  <c r="M17" i="25"/>
  <c r="U23" i="25"/>
  <c r="V23" i="25" s="1"/>
  <c r="S23" i="25"/>
  <c r="W22" i="25"/>
  <c r="M17" i="36"/>
  <c r="R24" i="36"/>
  <c r="U24" i="36"/>
  <c r="V24" i="36" s="1"/>
  <c r="S24" i="36"/>
  <c r="W22" i="35"/>
  <c r="D25" i="36"/>
  <c r="I25" i="36"/>
  <c r="P25" i="36" s="1"/>
  <c r="E26" i="36"/>
  <c r="F25" i="36"/>
  <c r="G25" i="36" s="1"/>
  <c r="M17" i="35"/>
  <c r="K17" i="35"/>
  <c r="L17" i="35" s="1"/>
  <c r="N17" i="35" s="1"/>
  <c r="Q17" i="35" s="1"/>
  <c r="E25" i="35"/>
  <c r="F24" i="35"/>
  <c r="G24" i="35" s="1"/>
  <c r="I24" i="35"/>
  <c r="P24" i="35" s="1"/>
  <c r="D24" i="35"/>
  <c r="S23" i="35"/>
  <c r="U23" i="35"/>
  <c r="V23" i="35" s="1"/>
  <c r="R23" i="35"/>
  <c r="U24" i="34"/>
  <c r="V24" i="34" s="1"/>
  <c r="S24" i="34"/>
  <c r="W21" i="23"/>
  <c r="I25" i="34"/>
  <c r="P25" i="34" s="1"/>
  <c r="F25" i="34"/>
  <c r="G25" i="34" s="1"/>
  <c r="D25" i="34"/>
  <c r="E26" i="34"/>
  <c r="R24" i="34"/>
  <c r="M19" i="34"/>
  <c r="W23" i="34"/>
  <c r="W21" i="26"/>
  <c r="E24" i="23"/>
  <c r="D23" i="23"/>
  <c r="I23" i="23"/>
  <c r="P23" i="23" s="1"/>
  <c r="F23" i="23"/>
  <c r="G23" i="23" s="1"/>
  <c r="U22" i="23"/>
  <c r="V22" i="23" s="1"/>
  <c r="S22" i="23"/>
  <c r="R22" i="23"/>
  <c r="M17" i="23"/>
  <c r="K17" i="23"/>
  <c r="L17" i="23" s="1"/>
  <c r="N17" i="23" s="1"/>
  <c r="Q17" i="23" s="1"/>
  <c r="R22" i="26"/>
  <c r="I23" i="26"/>
  <c r="P23" i="26" s="1"/>
  <c r="E24" i="26"/>
  <c r="F23" i="26"/>
  <c r="G23" i="26" s="1"/>
  <c r="D23" i="26"/>
  <c r="K18" i="26"/>
  <c r="L18" i="26" s="1"/>
  <c r="N18" i="26" s="1"/>
  <c r="Q18" i="26" s="1"/>
  <c r="S22" i="26"/>
  <c r="U22" i="26"/>
  <c r="V22" i="26" s="1"/>
  <c r="S22" i="24"/>
  <c r="U22" i="24"/>
  <c r="V22" i="24" s="1"/>
  <c r="W21" i="24"/>
  <c r="M17" i="24"/>
  <c r="R22" i="24"/>
  <c r="I23" i="24"/>
  <c r="P23" i="24" s="1"/>
  <c r="E24" i="24"/>
  <c r="F23" i="24"/>
  <c r="G23" i="24" s="1"/>
  <c r="D23" i="24"/>
  <c r="K17" i="32"/>
  <c r="L17" i="32" s="1"/>
  <c r="N17" i="32" s="1"/>
  <c r="Q17" i="32" s="1"/>
  <c r="U24" i="32"/>
  <c r="V24" i="32" s="1"/>
  <c r="S24" i="32"/>
  <c r="W22" i="31"/>
  <c r="R24" i="32"/>
  <c r="E26" i="32"/>
  <c r="F25" i="32"/>
  <c r="G25" i="32" s="1"/>
  <c r="D25" i="32"/>
  <c r="I25" i="32"/>
  <c r="P25" i="32" s="1"/>
  <c r="W23" i="32"/>
  <c r="W22" i="29"/>
  <c r="M17" i="31"/>
  <c r="W21" i="30"/>
  <c r="U23" i="31"/>
  <c r="V23" i="31" s="1"/>
  <c r="S23" i="31"/>
  <c r="R23" i="31"/>
  <c r="E25" i="31"/>
  <c r="F24" i="31"/>
  <c r="G24" i="31" s="1"/>
  <c r="D24" i="31"/>
  <c r="I24" i="31"/>
  <c r="P24" i="31" s="1"/>
  <c r="I23" i="30"/>
  <c r="P23" i="30" s="1"/>
  <c r="E24" i="30"/>
  <c r="F23" i="30"/>
  <c r="G23" i="30" s="1"/>
  <c r="D23" i="30"/>
  <c r="U22" i="30"/>
  <c r="V22" i="30" s="1"/>
  <c r="S22" i="30"/>
  <c r="R22" i="30"/>
  <c r="M18" i="30"/>
  <c r="K18" i="30"/>
  <c r="L18" i="30" s="1"/>
  <c r="N18" i="30" s="1"/>
  <c r="Q18" i="30" s="1"/>
  <c r="K17" i="29"/>
  <c r="L17" i="29" s="1"/>
  <c r="N17" i="29" s="1"/>
  <c r="Q17" i="29" s="1"/>
  <c r="R23" i="29"/>
  <c r="S23" i="29"/>
  <c r="U23" i="29"/>
  <c r="V23" i="29" s="1"/>
  <c r="I24" i="29"/>
  <c r="P24" i="29" s="1"/>
  <c r="E25" i="29"/>
  <c r="F24" i="29"/>
  <c r="G24" i="29" s="1"/>
  <c r="D24" i="29"/>
  <c r="W23" i="42" l="1"/>
  <c r="W23" i="45"/>
  <c r="U24" i="45"/>
  <c r="V24" i="45" s="1"/>
  <c r="S24" i="45"/>
  <c r="E26" i="45"/>
  <c r="F25" i="45"/>
  <c r="G25" i="45" s="1"/>
  <c r="D25" i="45"/>
  <c r="I25" i="45"/>
  <c r="P25" i="45" s="1"/>
  <c r="K18" i="45"/>
  <c r="L18" i="45" s="1"/>
  <c r="N18" i="45" s="1"/>
  <c r="Q18" i="45" s="1"/>
  <c r="R24" i="45"/>
  <c r="K18" i="43"/>
  <c r="L18" i="43" s="1"/>
  <c r="N18" i="43" s="1"/>
  <c r="Q18" i="43" s="1"/>
  <c r="R23" i="43"/>
  <c r="W22" i="43"/>
  <c r="I24" i="43"/>
  <c r="P24" i="43" s="1"/>
  <c r="E25" i="43"/>
  <c r="F24" i="43"/>
  <c r="G24" i="43" s="1"/>
  <c r="D24" i="43"/>
  <c r="S23" i="43"/>
  <c r="U23" i="43"/>
  <c r="V23" i="43" s="1"/>
  <c r="U24" i="42"/>
  <c r="V24" i="42" s="1"/>
  <c r="S24" i="42"/>
  <c r="R24" i="42"/>
  <c r="K18" i="42"/>
  <c r="L18" i="42" s="1"/>
  <c r="N18" i="42" s="1"/>
  <c r="Q18" i="42" s="1"/>
  <c r="W22" i="40"/>
  <c r="E26" i="42"/>
  <c r="F25" i="42"/>
  <c r="G25" i="42" s="1"/>
  <c r="I25" i="42"/>
  <c r="P25" i="42" s="1"/>
  <c r="D25" i="42"/>
  <c r="I24" i="41"/>
  <c r="P24" i="41" s="1"/>
  <c r="D24" i="41"/>
  <c r="F24" i="41"/>
  <c r="G24" i="41" s="1"/>
  <c r="E25" i="41"/>
  <c r="M17" i="41"/>
  <c r="R23" i="41"/>
  <c r="S23" i="41"/>
  <c r="U23" i="41"/>
  <c r="V23" i="41" s="1"/>
  <c r="W22" i="41"/>
  <c r="S23" i="40"/>
  <c r="U23" i="40"/>
  <c r="V23" i="40" s="1"/>
  <c r="K18" i="40"/>
  <c r="L18" i="40" s="1"/>
  <c r="N18" i="40" s="1"/>
  <c r="Q18" i="40" s="1"/>
  <c r="R23" i="40"/>
  <c r="I24" i="40"/>
  <c r="P24" i="40" s="1"/>
  <c r="E25" i="40"/>
  <c r="F24" i="40"/>
  <c r="G24" i="40" s="1"/>
  <c r="D24" i="40"/>
  <c r="M17" i="39"/>
  <c r="R25" i="39"/>
  <c r="W24" i="39"/>
  <c r="U25" i="39"/>
  <c r="V25" i="39" s="1"/>
  <c r="S25" i="39"/>
  <c r="E27" i="39"/>
  <c r="F26" i="39"/>
  <c r="G26" i="39" s="1"/>
  <c r="D26" i="39"/>
  <c r="I26" i="39"/>
  <c r="P26" i="39" s="1"/>
  <c r="W23" i="27"/>
  <c r="R24" i="38"/>
  <c r="W23" i="38"/>
  <c r="M17" i="38"/>
  <c r="E26" i="38"/>
  <c r="F25" i="38"/>
  <c r="G25" i="38" s="1"/>
  <c r="I25" i="38"/>
  <c r="P25" i="38" s="1"/>
  <c r="D25" i="38"/>
  <c r="U24" i="38"/>
  <c r="V24" i="38" s="1"/>
  <c r="S24" i="38"/>
  <c r="E27" i="28"/>
  <c r="F26" i="28"/>
  <c r="G26" i="28" s="1"/>
  <c r="D26" i="28"/>
  <c r="I26" i="28"/>
  <c r="P26" i="28" s="1"/>
  <c r="M18" i="28"/>
  <c r="W24" i="28"/>
  <c r="R25" i="28"/>
  <c r="U25" i="28"/>
  <c r="V25" i="28" s="1"/>
  <c r="S25" i="28"/>
  <c r="K18" i="27"/>
  <c r="L18" i="27" s="1"/>
  <c r="N18" i="27" s="1"/>
  <c r="Q18" i="27" s="1"/>
  <c r="W23" i="35"/>
  <c r="E26" i="27"/>
  <c r="F25" i="27"/>
  <c r="G25" i="27" s="1"/>
  <c r="I25" i="27"/>
  <c r="P25" i="27" s="1"/>
  <c r="D25" i="27"/>
  <c r="U24" i="27"/>
  <c r="V24" i="27" s="1"/>
  <c r="S24" i="27"/>
  <c r="W24" i="37"/>
  <c r="R24" i="27"/>
  <c r="U25" i="37"/>
  <c r="V25" i="37" s="1"/>
  <c r="S25" i="37"/>
  <c r="D26" i="37"/>
  <c r="E27" i="37"/>
  <c r="I26" i="37"/>
  <c r="P26" i="37" s="1"/>
  <c r="F26" i="37"/>
  <c r="G26" i="37" s="1"/>
  <c r="R25" i="37"/>
  <c r="M17" i="37"/>
  <c r="S24" i="25"/>
  <c r="U24" i="25"/>
  <c r="V24" i="25" s="1"/>
  <c r="K18" i="25"/>
  <c r="L18" i="25" s="1"/>
  <c r="N18" i="25" s="1"/>
  <c r="Q18" i="25" s="1"/>
  <c r="E26" i="25"/>
  <c r="F25" i="25"/>
  <c r="G25" i="25" s="1"/>
  <c r="D25" i="25"/>
  <c r="I25" i="25"/>
  <c r="P25" i="25" s="1"/>
  <c r="R24" i="25"/>
  <c r="W23" i="25"/>
  <c r="U25" i="36"/>
  <c r="V25" i="36" s="1"/>
  <c r="S25" i="36"/>
  <c r="R25" i="36"/>
  <c r="W24" i="36"/>
  <c r="D26" i="36"/>
  <c r="I26" i="36"/>
  <c r="P26" i="36" s="1"/>
  <c r="E27" i="36"/>
  <c r="F26" i="36"/>
  <c r="G26" i="36" s="1"/>
  <c r="M18" i="36"/>
  <c r="K18" i="36"/>
  <c r="L18" i="36" s="1"/>
  <c r="N18" i="36" s="1"/>
  <c r="Q18" i="36" s="1"/>
  <c r="R24" i="35"/>
  <c r="S24" i="35"/>
  <c r="U24" i="35"/>
  <c r="V24" i="35" s="1"/>
  <c r="D25" i="35"/>
  <c r="F25" i="35"/>
  <c r="G25" i="35" s="1"/>
  <c r="E26" i="35"/>
  <c r="I25" i="35"/>
  <c r="P25" i="35" s="1"/>
  <c r="K18" i="35"/>
  <c r="L18" i="35" s="1"/>
  <c r="N18" i="35" s="1"/>
  <c r="Q18" i="35" s="1"/>
  <c r="S25" i="34"/>
  <c r="U25" i="34"/>
  <c r="V25" i="34" s="1"/>
  <c r="K20" i="34"/>
  <c r="L20" i="34" s="1"/>
  <c r="N20" i="34" s="1"/>
  <c r="Q20" i="34" s="1"/>
  <c r="R25" i="34"/>
  <c r="D26" i="34"/>
  <c r="I26" i="34"/>
  <c r="P26" i="34" s="1"/>
  <c r="E27" i="34"/>
  <c r="F26" i="34"/>
  <c r="G26" i="34" s="1"/>
  <c r="W24" i="34"/>
  <c r="R23" i="23"/>
  <c r="W22" i="23"/>
  <c r="W22" i="24"/>
  <c r="S23" i="23"/>
  <c r="U23" i="23"/>
  <c r="V23" i="23" s="1"/>
  <c r="W22" i="26"/>
  <c r="M18" i="23"/>
  <c r="K18" i="23"/>
  <c r="L18" i="23" s="1"/>
  <c r="N18" i="23" s="1"/>
  <c r="Q18" i="23" s="1"/>
  <c r="I24" i="23"/>
  <c r="P24" i="23" s="1"/>
  <c r="E25" i="23"/>
  <c r="F24" i="23"/>
  <c r="G24" i="23" s="1"/>
  <c r="D24" i="23"/>
  <c r="M18" i="26"/>
  <c r="E25" i="26"/>
  <c r="F24" i="26"/>
  <c r="G24" i="26" s="1"/>
  <c r="I24" i="26"/>
  <c r="P24" i="26" s="1"/>
  <c r="D24" i="26"/>
  <c r="U23" i="26"/>
  <c r="V23" i="26" s="1"/>
  <c r="S23" i="26"/>
  <c r="R23" i="26"/>
  <c r="E25" i="24"/>
  <c r="F24" i="24"/>
  <c r="G24" i="24" s="1"/>
  <c r="I24" i="24"/>
  <c r="P24" i="24" s="1"/>
  <c r="D24" i="24"/>
  <c r="S23" i="24"/>
  <c r="U23" i="24"/>
  <c r="V23" i="24" s="1"/>
  <c r="K18" i="24"/>
  <c r="L18" i="24" s="1"/>
  <c r="N18" i="24" s="1"/>
  <c r="Q18" i="24" s="1"/>
  <c r="R23" i="24"/>
  <c r="D26" i="32"/>
  <c r="E27" i="32"/>
  <c r="I26" i="32"/>
  <c r="P26" i="32" s="1"/>
  <c r="F26" i="32"/>
  <c r="G26" i="32" s="1"/>
  <c r="R25" i="32"/>
  <c r="U25" i="32"/>
  <c r="V25" i="32" s="1"/>
  <c r="S25" i="32"/>
  <c r="W24" i="32"/>
  <c r="M17" i="32"/>
  <c r="I25" i="31"/>
  <c r="P25" i="31" s="1"/>
  <c r="F25" i="31"/>
  <c r="G25" i="31" s="1"/>
  <c r="D25" i="31"/>
  <c r="E26" i="31"/>
  <c r="U24" i="31"/>
  <c r="V24" i="31" s="1"/>
  <c r="S24" i="31"/>
  <c r="R24" i="31"/>
  <c r="W23" i="31"/>
  <c r="K18" i="31"/>
  <c r="L18" i="31" s="1"/>
  <c r="N18" i="31" s="1"/>
  <c r="Q18" i="31" s="1"/>
  <c r="R23" i="30"/>
  <c r="W22" i="30"/>
  <c r="I24" i="30"/>
  <c r="P24" i="30" s="1"/>
  <c r="E25" i="30"/>
  <c r="F24" i="30"/>
  <c r="G24" i="30" s="1"/>
  <c r="D24" i="30"/>
  <c r="M19" i="30"/>
  <c r="K19" i="30"/>
  <c r="L19" i="30" s="1"/>
  <c r="N19" i="30" s="1"/>
  <c r="Q19" i="30" s="1"/>
  <c r="S23" i="30"/>
  <c r="U23" i="30"/>
  <c r="V23" i="30" s="1"/>
  <c r="R24" i="29"/>
  <c r="D25" i="29"/>
  <c r="E26" i="29"/>
  <c r="I25" i="29"/>
  <c r="P25" i="29" s="1"/>
  <c r="F25" i="29"/>
  <c r="G25" i="29" s="1"/>
  <c r="U24" i="29"/>
  <c r="V24" i="29" s="1"/>
  <c r="S24" i="29"/>
  <c r="W23" i="29"/>
  <c r="M17" i="29"/>
  <c r="W24" i="45" l="1"/>
  <c r="M18" i="45"/>
  <c r="S25" i="45"/>
  <c r="U25" i="45"/>
  <c r="V25" i="45" s="1"/>
  <c r="D26" i="45"/>
  <c r="I26" i="45"/>
  <c r="P26" i="45" s="1"/>
  <c r="E27" i="45"/>
  <c r="F26" i="45"/>
  <c r="G26" i="45" s="1"/>
  <c r="R25" i="45"/>
  <c r="E26" i="43"/>
  <c r="F25" i="43"/>
  <c r="G25" i="43" s="1"/>
  <c r="I25" i="43"/>
  <c r="P25" i="43" s="1"/>
  <c r="D25" i="43"/>
  <c r="W23" i="43"/>
  <c r="U24" i="43"/>
  <c r="V24" i="43" s="1"/>
  <c r="S24" i="43"/>
  <c r="R24" i="43"/>
  <c r="M18" i="43"/>
  <c r="E27" i="42"/>
  <c r="F26" i="42"/>
  <c r="G26" i="42" s="1"/>
  <c r="D26" i="42"/>
  <c r="I26" i="42"/>
  <c r="P26" i="42" s="1"/>
  <c r="M18" i="42"/>
  <c r="S25" i="42"/>
  <c r="U25" i="42"/>
  <c r="V25" i="42" s="1"/>
  <c r="R25" i="42"/>
  <c r="W24" i="42"/>
  <c r="R24" i="41"/>
  <c r="K18" i="41"/>
  <c r="L18" i="41" s="1"/>
  <c r="N18" i="41" s="1"/>
  <c r="Q18" i="41" s="1"/>
  <c r="E26" i="41"/>
  <c r="F25" i="41"/>
  <c r="G25" i="41" s="1"/>
  <c r="D25" i="41"/>
  <c r="I25" i="41"/>
  <c r="P25" i="41" s="1"/>
  <c r="W23" i="41"/>
  <c r="U24" i="41"/>
  <c r="V24" i="41" s="1"/>
  <c r="S24" i="41"/>
  <c r="E26" i="40"/>
  <c r="F25" i="40"/>
  <c r="G25" i="40" s="1"/>
  <c r="I25" i="40"/>
  <c r="P25" i="40" s="1"/>
  <c r="D25" i="40"/>
  <c r="U24" i="40"/>
  <c r="V24" i="40" s="1"/>
  <c r="S24" i="40"/>
  <c r="M18" i="40"/>
  <c r="W23" i="40"/>
  <c r="R24" i="40"/>
  <c r="D27" i="39"/>
  <c r="I27" i="39"/>
  <c r="P27" i="39" s="1"/>
  <c r="F27" i="39"/>
  <c r="G27" i="39" s="1"/>
  <c r="E28" i="39"/>
  <c r="R26" i="39"/>
  <c r="S26" i="39"/>
  <c r="U26" i="39"/>
  <c r="V26" i="39" s="1"/>
  <c r="W25" i="39"/>
  <c r="K18" i="39"/>
  <c r="L18" i="39" s="1"/>
  <c r="N18" i="39" s="1"/>
  <c r="Q18" i="39" s="1"/>
  <c r="M18" i="38"/>
  <c r="K18" i="38"/>
  <c r="L18" i="38" s="1"/>
  <c r="N18" i="38" s="1"/>
  <c r="Q18" i="38" s="1"/>
  <c r="U25" i="38"/>
  <c r="V25" i="38" s="1"/>
  <c r="S25" i="38"/>
  <c r="E27" i="38"/>
  <c r="F26" i="38"/>
  <c r="G26" i="38" s="1"/>
  <c r="D26" i="38"/>
  <c r="I26" i="38"/>
  <c r="P26" i="38" s="1"/>
  <c r="W24" i="38"/>
  <c r="R25" i="38"/>
  <c r="W24" i="25"/>
  <c r="K19" i="28"/>
  <c r="L19" i="28" s="1"/>
  <c r="N19" i="28" s="1"/>
  <c r="Q19" i="28" s="1"/>
  <c r="R26" i="28"/>
  <c r="S26" i="28"/>
  <c r="U26" i="28"/>
  <c r="V26" i="28" s="1"/>
  <c r="W24" i="27"/>
  <c r="W25" i="28"/>
  <c r="D27" i="28"/>
  <c r="I27" i="28"/>
  <c r="P27" i="28" s="1"/>
  <c r="F27" i="28"/>
  <c r="G27" i="28" s="1"/>
  <c r="E28" i="28"/>
  <c r="S25" i="27"/>
  <c r="U25" i="27"/>
  <c r="V25" i="27" s="1"/>
  <c r="W25" i="37"/>
  <c r="E27" i="27"/>
  <c r="F26" i="27"/>
  <c r="G26" i="27" s="1"/>
  <c r="D26" i="27"/>
  <c r="I26" i="27"/>
  <c r="P26" i="27" s="1"/>
  <c r="W25" i="34"/>
  <c r="R25" i="27"/>
  <c r="M18" i="27"/>
  <c r="D27" i="37"/>
  <c r="E28" i="37"/>
  <c r="F27" i="37"/>
  <c r="G27" i="37" s="1"/>
  <c r="I27" i="37"/>
  <c r="P27" i="37" s="1"/>
  <c r="R26" i="37"/>
  <c r="U26" i="37"/>
  <c r="V26" i="37" s="1"/>
  <c r="S26" i="37"/>
  <c r="K18" i="37"/>
  <c r="L18" i="37" s="1"/>
  <c r="N18" i="37" s="1"/>
  <c r="Q18" i="37" s="1"/>
  <c r="U25" i="25"/>
  <c r="V25" i="25" s="1"/>
  <c r="S25" i="25"/>
  <c r="D26" i="25"/>
  <c r="E27" i="25"/>
  <c r="I26" i="25"/>
  <c r="P26" i="25" s="1"/>
  <c r="F26" i="25"/>
  <c r="G26" i="25" s="1"/>
  <c r="M18" i="25"/>
  <c r="R25" i="25"/>
  <c r="U26" i="36"/>
  <c r="V26" i="36" s="1"/>
  <c r="S26" i="36"/>
  <c r="W24" i="35"/>
  <c r="K19" i="36"/>
  <c r="L19" i="36" s="1"/>
  <c r="N19" i="36" s="1"/>
  <c r="Q19" i="36" s="1"/>
  <c r="R26" i="36"/>
  <c r="I27" i="36"/>
  <c r="P27" i="36" s="1"/>
  <c r="E28" i="36"/>
  <c r="F27" i="36"/>
  <c r="G27" i="36" s="1"/>
  <c r="D27" i="36"/>
  <c r="W23" i="23"/>
  <c r="W25" i="36"/>
  <c r="U25" i="35"/>
  <c r="V25" i="35" s="1"/>
  <c r="S25" i="35"/>
  <c r="D26" i="35"/>
  <c r="E27" i="35"/>
  <c r="F26" i="35"/>
  <c r="G26" i="35" s="1"/>
  <c r="I26" i="35"/>
  <c r="P26" i="35" s="1"/>
  <c r="R25" i="35"/>
  <c r="M18" i="35"/>
  <c r="M20" i="34"/>
  <c r="U26" i="34"/>
  <c r="V26" i="34" s="1"/>
  <c r="S26" i="34"/>
  <c r="F27" i="34"/>
  <c r="G27" i="34" s="1"/>
  <c r="D27" i="34"/>
  <c r="E28" i="34"/>
  <c r="I27" i="34"/>
  <c r="P27" i="34" s="1"/>
  <c r="R26" i="34"/>
  <c r="F25" i="23"/>
  <c r="G25" i="23" s="1"/>
  <c r="E26" i="23"/>
  <c r="I25" i="23"/>
  <c r="P25" i="23" s="1"/>
  <c r="D25" i="23"/>
  <c r="K19" i="23"/>
  <c r="L19" i="23" s="1"/>
  <c r="N19" i="23" s="1"/>
  <c r="Q19" i="23" s="1"/>
  <c r="R24" i="23"/>
  <c r="U24" i="23"/>
  <c r="V24" i="23" s="1"/>
  <c r="S24" i="23"/>
  <c r="R24" i="26"/>
  <c r="W23" i="26"/>
  <c r="S24" i="26"/>
  <c r="U24" i="26"/>
  <c r="V24" i="26" s="1"/>
  <c r="E26" i="26"/>
  <c r="F25" i="26"/>
  <c r="G25" i="26" s="1"/>
  <c r="D25" i="26"/>
  <c r="I25" i="26"/>
  <c r="P25" i="26" s="1"/>
  <c r="M19" i="26"/>
  <c r="K19" i="26"/>
  <c r="L19" i="26" s="1"/>
  <c r="N19" i="26" s="1"/>
  <c r="Q19" i="26" s="1"/>
  <c r="R24" i="24"/>
  <c r="M18" i="24"/>
  <c r="W23" i="30"/>
  <c r="W23" i="24"/>
  <c r="U24" i="24"/>
  <c r="V24" i="24" s="1"/>
  <c r="S24" i="24"/>
  <c r="E26" i="24"/>
  <c r="F25" i="24"/>
  <c r="G25" i="24" s="1"/>
  <c r="D25" i="24"/>
  <c r="I25" i="24"/>
  <c r="P25" i="24" s="1"/>
  <c r="R26" i="32"/>
  <c r="W24" i="31"/>
  <c r="W25" i="32"/>
  <c r="S26" i="32"/>
  <c r="U26" i="32"/>
  <c r="V26" i="32" s="1"/>
  <c r="K18" i="32"/>
  <c r="L18" i="32" s="1"/>
  <c r="N18" i="32" s="1"/>
  <c r="Q18" i="32" s="1"/>
  <c r="D27" i="32"/>
  <c r="I27" i="32"/>
  <c r="P27" i="32" s="1"/>
  <c r="F27" i="32"/>
  <c r="G27" i="32" s="1"/>
  <c r="E28" i="32"/>
  <c r="R25" i="31"/>
  <c r="D26" i="31"/>
  <c r="E27" i="31"/>
  <c r="F26" i="31"/>
  <c r="G26" i="31" s="1"/>
  <c r="I26" i="31"/>
  <c r="P26" i="31" s="1"/>
  <c r="M18" i="31"/>
  <c r="U25" i="31"/>
  <c r="V25" i="31" s="1"/>
  <c r="S25" i="31"/>
  <c r="M20" i="30"/>
  <c r="K20" i="30"/>
  <c r="L20" i="30" s="1"/>
  <c r="N20" i="30" s="1"/>
  <c r="Q20" i="30" s="1"/>
  <c r="U24" i="30"/>
  <c r="V24" i="30" s="1"/>
  <c r="S24" i="30"/>
  <c r="E26" i="30"/>
  <c r="F25" i="30"/>
  <c r="G25" i="30" s="1"/>
  <c r="D25" i="30"/>
  <c r="I25" i="30"/>
  <c r="P25" i="30" s="1"/>
  <c r="R24" i="30"/>
  <c r="R25" i="29"/>
  <c r="W24" i="29"/>
  <c r="U25" i="29"/>
  <c r="V25" i="29" s="1"/>
  <c r="S25" i="29"/>
  <c r="K18" i="29"/>
  <c r="L18" i="29" s="1"/>
  <c r="N18" i="29" s="1"/>
  <c r="Q18" i="29" s="1"/>
  <c r="E27" i="29"/>
  <c r="F26" i="29"/>
  <c r="G26" i="29" s="1"/>
  <c r="D26" i="29"/>
  <c r="I26" i="29"/>
  <c r="P26" i="29" s="1"/>
  <c r="W25" i="27" l="1"/>
  <c r="W26" i="28"/>
  <c r="D27" i="45"/>
  <c r="I27" i="45"/>
  <c r="P27" i="45" s="1"/>
  <c r="F27" i="45"/>
  <c r="G27" i="45" s="1"/>
  <c r="E28" i="45"/>
  <c r="W25" i="45"/>
  <c r="R26" i="45"/>
  <c r="U26" i="45"/>
  <c r="V26" i="45" s="1"/>
  <c r="S26" i="45"/>
  <c r="W24" i="40"/>
  <c r="K19" i="45"/>
  <c r="L19" i="45" s="1"/>
  <c r="N19" i="45" s="1"/>
  <c r="Q19" i="45" s="1"/>
  <c r="R25" i="43"/>
  <c r="W24" i="43"/>
  <c r="S25" i="43"/>
  <c r="U25" i="43"/>
  <c r="V25" i="43" s="1"/>
  <c r="K19" i="43"/>
  <c r="L19" i="43" s="1"/>
  <c r="N19" i="43" s="1"/>
  <c r="Q19" i="43" s="1"/>
  <c r="W25" i="42"/>
  <c r="E27" i="43"/>
  <c r="F26" i="43"/>
  <c r="G26" i="43" s="1"/>
  <c r="D26" i="43"/>
  <c r="I26" i="43"/>
  <c r="P26" i="43" s="1"/>
  <c r="R26" i="42"/>
  <c r="K19" i="42"/>
  <c r="L19" i="42" s="1"/>
  <c r="N19" i="42" s="1"/>
  <c r="Q19" i="42" s="1"/>
  <c r="U26" i="42"/>
  <c r="V26" i="42" s="1"/>
  <c r="S26" i="42"/>
  <c r="D27" i="42"/>
  <c r="E28" i="42"/>
  <c r="I27" i="42"/>
  <c r="P27" i="42" s="1"/>
  <c r="F27" i="42"/>
  <c r="G27" i="42" s="1"/>
  <c r="R25" i="41"/>
  <c r="M18" i="41"/>
  <c r="S25" i="41"/>
  <c r="U25" i="41"/>
  <c r="V25" i="41" s="1"/>
  <c r="W24" i="41"/>
  <c r="E27" i="41"/>
  <c r="F26" i="41"/>
  <c r="G26" i="41" s="1"/>
  <c r="D26" i="41"/>
  <c r="I26" i="41"/>
  <c r="P26" i="41" s="1"/>
  <c r="M19" i="40"/>
  <c r="K19" i="40"/>
  <c r="L19" i="40" s="1"/>
  <c r="N19" i="40" s="1"/>
  <c r="Q19" i="40" s="1"/>
  <c r="R25" i="40"/>
  <c r="S25" i="40"/>
  <c r="U25" i="40"/>
  <c r="V25" i="40" s="1"/>
  <c r="W26" i="39"/>
  <c r="E27" i="40"/>
  <c r="F26" i="40"/>
  <c r="G26" i="40" s="1"/>
  <c r="D26" i="40"/>
  <c r="I26" i="40"/>
  <c r="P26" i="40" s="1"/>
  <c r="R27" i="39"/>
  <c r="D28" i="39"/>
  <c r="F28" i="39"/>
  <c r="G28" i="39" s="1"/>
  <c r="E29" i="39"/>
  <c r="I28" i="39"/>
  <c r="P28" i="39" s="1"/>
  <c r="M18" i="39"/>
  <c r="U27" i="39"/>
  <c r="V27" i="39" s="1"/>
  <c r="S27" i="39"/>
  <c r="R26" i="38"/>
  <c r="K19" i="38"/>
  <c r="L19" i="38" s="1"/>
  <c r="N19" i="38" s="1"/>
  <c r="Q19" i="38" s="1"/>
  <c r="S26" i="38"/>
  <c r="U26" i="38"/>
  <c r="V26" i="38" s="1"/>
  <c r="D27" i="38"/>
  <c r="I27" i="38"/>
  <c r="P27" i="38" s="1"/>
  <c r="E28" i="38"/>
  <c r="F27" i="38"/>
  <c r="G27" i="38" s="1"/>
  <c r="W25" i="38"/>
  <c r="R27" i="28"/>
  <c r="D28" i="28"/>
  <c r="I28" i="28"/>
  <c r="P28" i="28" s="1"/>
  <c r="E29" i="28"/>
  <c r="F28" i="28"/>
  <c r="G28" i="28" s="1"/>
  <c r="M19" i="28"/>
  <c r="U27" i="28"/>
  <c r="V27" i="28" s="1"/>
  <c r="S27" i="28"/>
  <c r="U26" i="27"/>
  <c r="V26" i="27" s="1"/>
  <c r="S26" i="27"/>
  <c r="D27" i="27"/>
  <c r="F27" i="27"/>
  <c r="G27" i="27" s="1"/>
  <c r="I27" i="27"/>
  <c r="P27" i="27" s="1"/>
  <c r="E28" i="27"/>
  <c r="K19" i="27"/>
  <c r="L19" i="27" s="1"/>
  <c r="N19" i="27" s="1"/>
  <c r="Q19" i="27" s="1"/>
  <c r="R26" i="27"/>
  <c r="U27" i="37"/>
  <c r="V27" i="37" s="1"/>
  <c r="S27" i="37"/>
  <c r="R27" i="37"/>
  <c r="F28" i="37"/>
  <c r="G28" i="37" s="1"/>
  <c r="E29" i="37"/>
  <c r="D28" i="37"/>
  <c r="I28" i="37"/>
  <c r="P28" i="37" s="1"/>
  <c r="W26" i="37"/>
  <c r="M18" i="37"/>
  <c r="W25" i="35"/>
  <c r="S26" i="25"/>
  <c r="U26" i="25"/>
  <c r="V26" i="25" s="1"/>
  <c r="M19" i="25"/>
  <c r="K19" i="25"/>
  <c r="L19" i="25" s="1"/>
  <c r="N19" i="25" s="1"/>
  <c r="Q19" i="25" s="1"/>
  <c r="R26" i="25"/>
  <c r="D27" i="25"/>
  <c r="I27" i="25"/>
  <c r="P27" i="25" s="1"/>
  <c r="F27" i="25"/>
  <c r="G27" i="25" s="1"/>
  <c r="E28" i="25"/>
  <c r="W25" i="25"/>
  <c r="U27" i="36"/>
  <c r="V27" i="36" s="1"/>
  <c r="S27" i="36"/>
  <c r="W24" i="23"/>
  <c r="M19" i="36"/>
  <c r="R27" i="36"/>
  <c r="I28" i="36"/>
  <c r="P28" i="36" s="1"/>
  <c r="E29" i="36"/>
  <c r="F28" i="36"/>
  <c r="G28" i="36" s="1"/>
  <c r="D28" i="36"/>
  <c r="W26" i="36"/>
  <c r="S26" i="35"/>
  <c r="U26" i="35"/>
  <c r="V26" i="35" s="1"/>
  <c r="W26" i="34"/>
  <c r="D27" i="35"/>
  <c r="F27" i="35"/>
  <c r="G27" i="35" s="1"/>
  <c r="E28" i="35"/>
  <c r="I27" i="35"/>
  <c r="P27" i="35" s="1"/>
  <c r="R26" i="35"/>
  <c r="K19" i="35"/>
  <c r="L19" i="35" s="1"/>
  <c r="N19" i="35" s="1"/>
  <c r="Q19" i="35" s="1"/>
  <c r="E29" i="34"/>
  <c r="F28" i="34"/>
  <c r="G28" i="34" s="1"/>
  <c r="I28" i="34"/>
  <c r="P28" i="34" s="1"/>
  <c r="D28" i="34"/>
  <c r="W24" i="26"/>
  <c r="R27" i="34"/>
  <c r="S27" i="34"/>
  <c r="U27" i="34"/>
  <c r="V27" i="34" s="1"/>
  <c r="M21" i="34"/>
  <c r="K21" i="34"/>
  <c r="L21" i="34" s="1"/>
  <c r="N21" i="34" s="1"/>
  <c r="Q21" i="34" s="1"/>
  <c r="M19" i="23"/>
  <c r="U25" i="23"/>
  <c r="V25" i="23" s="1"/>
  <c r="S25" i="23"/>
  <c r="R25" i="23"/>
  <c r="E27" i="23"/>
  <c r="F26" i="23"/>
  <c r="G26" i="23" s="1"/>
  <c r="D26" i="23"/>
  <c r="I26" i="23"/>
  <c r="P26" i="23" s="1"/>
  <c r="D26" i="26"/>
  <c r="F26" i="26"/>
  <c r="G26" i="26" s="1"/>
  <c r="I26" i="26"/>
  <c r="P26" i="26" s="1"/>
  <c r="E27" i="26"/>
  <c r="R25" i="26"/>
  <c r="K20" i="26"/>
  <c r="L20" i="26" s="1"/>
  <c r="N20" i="26" s="1"/>
  <c r="Q20" i="26" s="1"/>
  <c r="U25" i="26"/>
  <c r="V25" i="26" s="1"/>
  <c r="S25" i="26"/>
  <c r="D26" i="24"/>
  <c r="I26" i="24"/>
  <c r="P26" i="24" s="1"/>
  <c r="F26" i="24"/>
  <c r="G26" i="24" s="1"/>
  <c r="E27" i="24"/>
  <c r="R25" i="24"/>
  <c r="W24" i="24"/>
  <c r="M19" i="24"/>
  <c r="K19" i="24"/>
  <c r="L19" i="24" s="1"/>
  <c r="N19" i="24" s="1"/>
  <c r="Q19" i="24" s="1"/>
  <c r="S25" i="24"/>
  <c r="U25" i="24"/>
  <c r="V25" i="24" s="1"/>
  <c r="M18" i="32"/>
  <c r="W26" i="32"/>
  <c r="W25" i="31"/>
  <c r="U27" i="32"/>
  <c r="V27" i="32" s="1"/>
  <c r="S27" i="32"/>
  <c r="R27" i="32"/>
  <c r="E29" i="32"/>
  <c r="D28" i="32"/>
  <c r="I28" i="32"/>
  <c r="P28" i="32" s="1"/>
  <c r="F28" i="32"/>
  <c r="G28" i="32" s="1"/>
  <c r="M19" i="31"/>
  <c r="K19" i="31"/>
  <c r="L19" i="31" s="1"/>
  <c r="N19" i="31" s="1"/>
  <c r="Q19" i="31" s="1"/>
  <c r="S26" i="31"/>
  <c r="U26" i="31"/>
  <c r="V26" i="31" s="1"/>
  <c r="I27" i="31"/>
  <c r="P27" i="31" s="1"/>
  <c r="F27" i="31"/>
  <c r="G27" i="31" s="1"/>
  <c r="D27" i="31"/>
  <c r="E28" i="31"/>
  <c r="R26" i="31"/>
  <c r="U25" i="30"/>
  <c r="V25" i="30" s="1"/>
  <c r="S25" i="30"/>
  <c r="R25" i="30"/>
  <c r="W24" i="30"/>
  <c r="E27" i="30"/>
  <c r="F26" i="30"/>
  <c r="G26" i="30" s="1"/>
  <c r="D26" i="30"/>
  <c r="I26" i="30"/>
  <c r="P26" i="30" s="1"/>
  <c r="K21" i="30"/>
  <c r="L21" i="30" s="1"/>
  <c r="N21" i="30" s="1"/>
  <c r="Q21" i="30" s="1"/>
  <c r="R26" i="29"/>
  <c r="I27" i="29"/>
  <c r="P27" i="29" s="1"/>
  <c r="E28" i="29"/>
  <c r="F27" i="29"/>
  <c r="G27" i="29" s="1"/>
  <c r="D27" i="29"/>
  <c r="M18" i="29"/>
  <c r="W25" i="29"/>
  <c r="S26" i="29"/>
  <c r="U26" i="29"/>
  <c r="V26" i="29" s="1"/>
  <c r="W25" i="43" l="1"/>
  <c r="W26" i="45"/>
  <c r="E29" i="45"/>
  <c r="F28" i="45"/>
  <c r="G28" i="45" s="1"/>
  <c r="D28" i="45"/>
  <c r="I28" i="45"/>
  <c r="P28" i="45" s="1"/>
  <c r="M19" i="45"/>
  <c r="W25" i="41"/>
  <c r="U27" i="45"/>
  <c r="V27" i="45" s="1"/>
  <c r="S27" i="45"/>
  <c r="R27" i="45"/>
  <c r="M19" i="43"/>
  <c r="S26" i="43"/>
  <c r="U26" i="43"/>
  <c r="V26" i="43" s="1"/>
  <c r="R26" i="43"/>
  <c r="W25" i="40"/>
  <c r="D27" i="43"/>
  <c r="E28" i="43"/>
  <c r="F27" i="43"/>
  <c r="G27" i="43" s="1"/>
  <c r="I27" i="43"/>
  <c r="P27" i="43" s="1"/>
  <c r="D28" i="42"/>
  <c r="E29" i="42"/>
  <c r="F28" i="42"/>
  <c r="G28" i="42" s="1"/>
  <c r="I28" i="42"/>
  <c r="P28" i="42" s="1"/>
  <c r="R27" i="42"/>
  <c r="M19" i="42"/>
  <c r="W26" i="42"/>
  <c r="U27" i="42"/>
  <c r="V27" i="42" s="1"/>
  <c r="S27" i="42"/>
  <c r="D27" i="41"/>
  <c r="E28" i="41"/>
  <c r="I27" i="41"/>
  <c r="P27" i="41" s="1"/>
  <c r="F27" i="41"/>
  <c r="G27" i="41" s="1"/>
  <c r="R26" i="41"/>
  <c r="W27" i="39"/>
  <c r="M19" i="41"/>
  <c r="K19" i="41"/>
  <c r="L19" i="41" s="1"/>
  <c r="N19" i="41" s="1"/>
  <c r="Q19" i="41" s="1"/>
  <c r="U26" i="41"/>
  <c r="V26" i="41" s="1"/>
  <c r="S26" i="41"/>
  <c r="D27" i="40"/>
  <c r="E28" i="40"/>
  <c r="F27" i="40"/>
  <c r="G27" i="40" s="1"/>
  <c r="I27" i="40"/>
  <c r="P27" i="40" s="1"/>
  <c r="S26" i="40"/>
  <c r="U26" i="40"/>
  <c r="V26" i="40" s="1"/>
  <c r="R26" i="40"/>
  <c r="K20" i="40"/>
  <c r="L20" i="40" s="1"/>
  <c r="N20" i="40" s="1"/>
  <c r="Q20" i="40" s="1"/>
  <c r="K19" i="39"/>
  <c r="L19" i="39" s="1"/>
  <c r="N19" i="39" s="1"/>
  <c r="Q19" i="39" s="1"/>
  <c r="E30" i="39"/>
  <c r="F29" i="39"/>
  <c r="G29" i="39" s="1"/>
  <c r="I29" i="39"/>
  <c r="P29" i="39" s="1"/>
  <c r="D29" i="39"/>
  <c r="U28" i="39"/>
  <c r="V28" i="39" s="1"/>
  <c r="S28" i="39"/>
  <c r="R28" i="39"/>
  <c r="S27" i="38"/>
  <c r="U27" i="38"/>
  <c r="V27" i="38" s="1"/>
  <c r="W26" i="25"/>
  <c r="W26" i="38"/>
  <c r="R27" i="38"/>
  <c r="M19" i="38"/>
  <c r="W27" i="28"/>
  <c r="D28" i="38"/>
  <c r="E29" i="38"/>
  <c r="F28" i="38"/>
  <c r="G28" i="38" s="1"/>
  <c r="I28" i="38"/>
  <c r="P28" i="38" s="1"/>
  <c r="K20" i="28"/>
  <c r="L20" i="28" s="1"/>
  <c r="N20" i="28" s="1"/>
  <c r="Q20" i="28" s="1"/>
  <c r="E30" i="28"/>
  <c r="F29" i="28"/>
  <c r="G29" i="28" s="1"/>
  <c r="I29" i="28"/>
  <c r="P29" i="28" s="1"/>
  <c r="D29" i="28"/>
  <c r="U28" i="28"/>
  <c r="V28" i="28" s="1"/>
  <c r="S28" i="28"/>
  <c r="R28" i="28"/>
  <c r="D28" i="27"/>
  <c r="E29" i="27"/>
  <c r="F28" i="27"/>
  <c r="G28" i="27" s="1"/>
  <c r="I28" i="27"/>
  <c r="P28" i="27" s="1"/>
  <c r="S27" i="27"/>
  <c r="U27" i="27"/>
  <c r="V27" i="27" s="1"/>
  <c r="M19" i="27"/>
  <c r="W27" i="37"/>
  <c r="R27" i="27"/>
  <c r="W26" i="27"/>
  <c r="U28" i="37"/>
  <c r="V28" i="37" s="1"/>
  <c r="S28" i="37"/>
  <c r="D29" i="37"/>
  <c r="E30" i="37"/>
  <c r="I29" i="37"/>
  <c r="P29" i="37" s="1"/>
  <c r="F29" i="37"/>
  <c r="G29" i="37" s="1"/>
  <c r="K19" i="37"/>
  <c r="L19" i="37" s="1"/>
  <c r="N19" i="37" s="1"/>
  <c r="Q19" i="37" s="1"/>
  <c r="R28" i="37"/>
  <c r="E29" i="25"/>
  <c r="I28" i="25"/>
  <c r="P28" i="25" s="1"/>
  <c r="F28" i="25"/>
  <c r="G28" i="25" s="1"/>
  <c r="D28" i="25"/>
  <c r="R27" i="25"/>
  <c r="K20" i="25"/>
  <c r="L20" i="25" s="1"/>
  <c r="N20" i="25" s="1"/>
  <c r="Q20" i="25" s="1"/>
  <c r="U27" i="25"/>
  <c r="V27" i="25" s="1"/>
  <c r="S27" i="25"/>
  <c r="U28" i="36"/>
  <c r="V28" i="36" s="1"/>
  <c r="S28" i="36"/>
  <c r="I29" i="36"/>
  <c r="P29" i="36" s="1"/>
  <c r="E30" i="36"/>
  <c r="F29" i="36"/>
  <c r="G29" i="36" s="1"/>
  <c r="D29" i="36"/>
  <c r="K20" i="36"/>
  <c r="L20" i="36" s="1"/>
  <c r="N20" i="36" s="1"/>
  <c r="Q20" i="36" s="1"/>
  <c r="R28" i="36"/>
  <c r="W27" i="36"/>
  <c r="D28" i="35"/>
  <c r="E29" i="35"/>
  <c r="F28" i="35"/>
  <c r="G28" i="35" s="1"/>
  <c r="I28" i="35"/>
  <c r="P28" i="35" s="1"/>
  <c r="U27" i="35"/>
  <c r="V27" i="35" s="1"/>
  <c r="S27" i="35"/>
  <c r="M19" i="35"/>
  <c r="W26" i="35"/>
  <c r="R27" i="35"/>
  <c r="W25" i="23"/>
  <c r="U28" i="34"/>
  <c r="V28" i="34" s="1"/>
  <c r="S28" i="34"/>
  <c r="R28" i="34"/>
  <c r="K22" i="34"/>
  <c r="L22" i="34" s="1"/>
  <c r="N22" i="34" s="1"/>
  <c r="Q22" i="34" s="1"/>
  <c r="W27" i="34"/>
  <c r="D29" i="34"/>
  <c r="I29" i="34"/>
  <c r="P29" i="34" s="1"/>
  <c r="E30" i="34"/>
  <c r="F27" i="23"/>
  <c r="G27" i="23" s="1"/>
  <c r="D27" i="23"/>
  <c r="I27" i="23"/>
  <c r="P27" i="23" s="1"/>
  <c r="E28" i="23"/>
  <c r="W25" i="24"/>
  <c r="R26" i="23"/>
  <c r="U26" i="23"/>
  <c r="V26" i="23" s="1"/>
  <c r="S26" i="23"/>
  <c r="M20" i="23"/>
  <c r="K20" i="23"/>
  <c r="L20" i="23" s="1"/>
  <c r="N20" i="23" s="1"/>
  <c r="Q20" i="23" s="1"/>
  <c r="M20" i="26"/>
  <c r="D27" i="26"/>
  <c r="E28" i="26"/>
  <c r="F27" i="26"/>
  <c r="G27" i="26" s="1"/>
  <c r="I27" i="26"/>
  <c r="P27" i="26" s="1"/>
  <c r="U26" i="26"/>
  <c r="V26" i="26" s="1"/>
  <c r="S26" i="26"/>
  <c r="R26" i="26"/>
  <c r="W25" i="26"/>
  <c r="K20" i="24"/>
  <c r="L20" i="24" s="1"/>
  <c r="N20" i="24" s="1"/>
  <c r="Q20" i="24" s="1"/>
  <c r="D27" i="24"/>
  <c r="E28" i="24"/>
  <c r="I27" i="24"/>
  <c r="P27" i="24" s="1"/>
  <c r="F27" i="24"/>
  <c r="G27" i="24" s="1"/>
  <c r="R26" i="24"/>
  <c r="S26" i="24"/>
  <c r="U26" i="24"/>
  <c r="V26" i="24" s="1"/>
  <c r="W26" i="31"/>
  <c r="E30" i="32"/>
  <c r="F29" i="32"/>
  <c r="G29" i="32" s="1"/>
  <c r="I29" i="32"/>
  <c r="P29" i="32" s="1"/>
  <c r="D29" i="32"/>
  <c r="W26" i="29"/>
  <c r="R28" i="32"/>
  <c r="U28" i="32"/>
  <c r="V28" i="32" s="1"/>
  <c r="S28" i="32"/>
  <c r="W27" i="32"/>
  <c r="K19" i="32"/>
  <c r="L19" i="32" s="1"/>
  <c r="N19" i="32" s="1"/>
  <c r="Q19" i="32" s="1"/>
  <c r="E29" i="31"/>
  <c r="I28" i="31"/>
  <c r="P28" i="31" s="1"/>
  <c r="D28" i="31"/>
  <c r="F28" i="31"/>
  <c r="G28" i="31" s="1"/>
  <c r="W25" i="30"/>
  <c r="R27" i="31"/>
  <c r="U27" i="31"/>
  <c r="V27" i="31" s="1"/>
  <c r="S27" i="31"/>
  <c r="K20" i="31"/>
  <c r="L20" i="31" s="1"/>
  <c r="N20" i="31" s="1"/>
  <c r="Q20" i="31" s="1"/>
  <c r="D27" i="30"/>
  <c r="I27" i="30"/>
  <c r="P27" i="30" s="1"/>
  <c r="F27" i="30"/>
  <c r="G27" i="30" s="1"/>
  <c r="E28" i="30"/>
  <c r="M21" i="30"/>
  <c r="R26" i="30"/>
  <c r="S26" i="30"/>
  <c r="U26" i="30"/>
  <c r="V26" i="30" s="1"/>
  <c r="K19" i="29"/>
  <c r="L19" i="29" s="1"/>
  <c r="N19" i="29" s="1"/>
  <c r="Q19" i="29" s="1"/>
  <c r="D28" i="29"/>
  <c r="E29" i="29"/>
  <c r="I28" i="29"/>
  <c r="P28" i="29" s="1"/>
  <c r="F28" i="29"/>
  <c r="G28" i="29" s="1"/>
  <c r="U27" i="29"/>
  <c r="V27" i="29" s="1"/>
  <c r="S27" i="29"/>
  <c r="R27" i="29"/>
  <c r="W26" i="43" l="1"/>
  <c r="R28" i="45"/>
  <c r="W27" i="45"/>
  <c r="K20" i="45"/>
  <c r="L20" i="45" s="1"/>
  <c r="N20" i="45" s="1"/>
  <c r="Q20" i="45" s="1"/>
  <c r="U28" i="45"/>
  <c r="V28" i="45" s="1"/>
  <c r="S28" i="45"/>
  <c r="E30" i="45"/>
  <c r="I29" i="45"/>
  <c r="P29" i="45" s="1"/>
  <c r="F29" i="45"/>
  <c r="G29" i="45" s="1"/>
  <c r="D29" i="45"/>
  <c r="D28" i="43"/>
  <c r="E29" i="43"/>
  <c r="F28" i="43"/>
  <c r="G28" i="43" s="1"/>
  <c r="I28" i="43"/>
  <c r="P28" i="43" s="1"/>
  <c r="W27" i="38"/>
  <c r="U27" i="43"/>
  <c r="V27" i="43" s="1"/>
  <c r="S27" i="43"/>
  <c r="R27" i="43"/>
  <c r="K20" i="43"/>
  <c r="L20" i="43" s="1"/>
  <c r="N20" i="43" s="1"/>
  <c r="Q20" i="43" s="1"/>
  <c r="K20" i="42"/>
  <c r="L20" i="42" s="1"/>
  <c r="N20" i="42" s="1"/>
  <c r="Q20" i="42" s="1"/>
  <c r="U28" i="42"/>
  <c r="V28" i="42" s="1"/>
  <c r="S28" i="42"/>
  <c r="W26" i="41"/>
  <c r="R28" i="42"/>
  <c r="I29" i="42"/>
  <c r="P29" i="42" s="1"/>
  <c r="D29" i="42"/>
  <c r="E30" i="42"/>
  <c r="F29" i="42"/>
  <c r="G29" i="42" s="1"/>
  <c r="W27" i="42"/>
  <c r="R27" i="41"/>
  <c r="S27" i="41"/>
  <c r="U27" i="41"/>
  <c r="V27" i="41" s="1"/>
  <c r="M20" i="41"/>
  <c r="K20" i="41"/>
  <c r="L20" i="41" s="1"/>
  <c r="N20" i="41" s="1"/>
  <c r="Q20" i="41" s="1"/>
  <c r="D28" i="41"/>
  <c r="I28" i="41"/>
  <c r="P28" i="41" s="1"/>
  <c r="F28" i="41"/>
  <c r="G28" i="41" s="1"/>
  <c r="E29" i="41"/>
  <c r="W26" i="40"/>
  <c r="R27" i="40"/>
  <c r="S27" i="40"/>
  <c r="U27" i="40"/>
  <c r="V27" i="40" s="1"/>
  <c r="W27" i="27"/>
  <c r="D28" i="40"/>
  <c r="E29" i="40"/>
  <c r="F28" i="40"/>
  <c r="G28" i="40" s="1"/>
  <c r="I28" i="40"/>
  <c r="P28" i="40" s="1"/>
  <c r="M20" i="40"/>
  <c r="R29" i="39"/>
  <c r="W28" i="39"/>
  <c r="I30" i="39"/>
  <c r="P30" i="39" s="1"/>
  <c r="E31" i="39"/>
  <c r="F30" i="39"/>
  <c r="G30" i="39" s="1"/>
  <c r="D30" i="39"/>
  <c r="U29" i="39"/>
  <c r="V29" i="39" s="1"/>
  <c r="S29" i="39"/>
  <c r="M19" i="39"/>
  <c r="K20" i="38"/>
  <c r="L20" i="38" s="1"/>
  <c r="N20" i="38" s="1"/>
  <c r="Q20" i="38" s="1"/>
  <c r="E30" i="38"/>
  <c r="F29" i="38"/>
  <c r="G29" i="38" s="1"/>
  <c r="I29" i="38"/>
  <c r="P29" i="38" s="1"/>
  <c r="D29" i="38"/>
  <c r="U28" i="38"/>
  <c r="V28" i="38" s="1"/>
  <c r="S28" i="38"/>
  <c r="R28" i="38"/>
  <c r="R29" i="28"/>
  <c r="W28" i="28"/>
  <c r="I30" i="28"/>
  <c r="P30" i="28" s="1"/>
  <c r="E31" i="28"/>
  <c r="F30" i="28"/>
  <c r="G30" i="28" s="1"/>
  <c r="D30" i="28"/>
  <c r="U29" i="28"/>
  <c r="V29" i="28" s="1"/>
  <c r="S29" i="28"/>
  <c r="M20" i="28"/>
  <c r="R28" i="27"/>
  <c r="K20" i="27"/>
  <c r="L20" i="27" s="1"/>
  <c r="N20" i="27" s="1"/>
  <c r="Q20" i="27" s="1"/>
  <c r="U28" i="27"/>
  <c r="V28" i="27" s="1"/>
  <c r="S28" i="27"/>
  <c r="W27" i="25"/>
  <c r="I29" i="27"/>
  <c r="P29" i="27" s="1"/>
  <c r="D29" i="27"/>
  <c r="E30" i="27"/>
  <c r="F29" i="27"/>
  <c r="G29" i="27" s="1"/>
  <c r="W28" i="37"/>
  <c r="W27" i="35"/>
  <c r="M19" i="37"/>
  <c r="U29" i="37"/>
  <c r="V29" i="37" s="1"/>
  <c r="S29" i="37"/>
  <c r="I30" i="37"/>
  <c r="P30" i="37" s="1"/>
  <c r="F30" i="37"/>
  <c r="G30" i="37" s="1"/>
  <c r="D30" i="37"/>
  <c r="E31" i="37"/>
  <c r="R29" i="37"/>
  <c r="M20" i="25"/>
  <c r="R28" i="25"/>
  <c r="S28" i="25"/>
  <c r="U28" i="25"/>
  <c r="V28" i="25" s="1"/>
  <c r="I29" i="25"/>
  <c r="P29" i="25" s="1"/>
  <c r="F29" i="25"/>
  <c r="G29" i="25" s="1"/>
  <c r="D29" i="25"/>
  <c r="E30" i="25"/>
  <c r="M20" i="36"/>
  <c r="I30" i="36"/>
  <c r="P30" i="36" s="1"/>
  <c r="E31" i="36"/>
  <c r="D30" i="36"/>
  <c r="S29" i="36"/>
  <c r="U29" i="36"/>
  <c r="V29" i="36" s="1"/>
  <c r="R29" i="36"/>
  <c r="W28" i="36"/>
  <c r="M20" i="35"/>
  <c r="K20" i="35"/>
  <c r="L20" i="35" s="1"/>
  <c r="N20" i="35" s="1"/>
  <c r="Q20" i="35" s="1"/>
  <c r="W26" i="24"/>
  <c r="R28" i="35"/>
  <c r="W28" i="34"/>
  <c r="U28" i="35"/>
  <c r="V28" i="35" s="1"/>
  <c r="S28" i="35"/>
  <c r="I29" i="35"/>
  <c r="P29" i="35" s="1"/>
  <c r="E30" i="35"/>
  <c r="D29" i="35"/>
  <c r="M22" i="34"/>
  <c r="I30" i="34"/>
  <c r="P30" i="34" s="1"/>
  <c r="D30" i="34"/>
  <c r="E31" i="34"/>
  <c r="W26" i="23"/>
  <c r="R29" i="34"/>
  <c r="S29" i="34"/>
  <c r="U29" i="34"/>
  <c r="V29" i="34" s="1"/>
  <c r="D28" i="23"/>
  <c r="I28" i="23"/>
  <c r="P28" i="23" s="1"/>
  <c r="F28" i="23"/>
  <c r="G28" i="23" s="1"/>
  <c r="E29" i="23"/>
  <c r="S27" i="23"/>
  <c r="U27" i="23"/>
  <c r="V27" i="23" s="1"/>
  <c r="K21" i="23"/>
  <c r="L21" i="23" s="1"/>
  <c r="N21" i="23" s="1"/>
  <c r="Q21" i="23" s="1"/>
  <c r="R27" i="23"/>
  <c r="R27" i="26"/>
  <c r="W26" i="26"/>
  <c r="I28" i="26"/>
  <c r="P28" i="26" s="1"/>
  <c r="D28" i="26"/>
  <c r="E29" i="26"/>
  <c r="F28" i="26"/>
  <c r="G28" i="26" s="1"/>
  <c r="U27" i="26"/>
  <c r="V27" i="26" s="1"/>
  <c r="S27" i="26"/>
  <c r="M21" i="26"/>
  <c r="K21" i="26"/>
  <c r="L21" i="26" s="1"/>
  <c r="N21" i="26" s="1"/>
  <c r="Q21" i="26" s="1"/>
  <c r="E29" i="24"/>
  <c r="F28" i="24"/>
  <c r="G28" i="24" s="1"/>
  <c r="I28" i="24"/>
  <c r="P28" i="24" s="1"/>
  <c r="D28" i="24"/>
  <c r="W28" i="32"/>
  <c r="U27" i="24"/>
  <c r="V27" i="24" s="1"/>
  <c r="S27" i="24"/>
  <c r="R27" i="24"/>
  <c r="M20" i="24"/>
  <c r="W27" i="31"/>
  <c r="M19" i="32"/>
  <c r="U29" i="32"/>
  <c r="V29" i="32" s="1"/>
  <c r="S29" i="32"/>
  <c r="R29" i="32"/>
  <c r="I30" i="32"/>
  <c r="P30" i="32" s="1"/>
  <c r="D30" i="32"/>
  <c r="E31" i="32"/>
  <c r="M20" i="31"/>
  <c r="U28" i="31"/>
  <c r="V28" i="31" s="1"/>
  <c r="S28" i="31"/>
  <c r="R28" i="31"/>
  <c r="E30" i="31"/>
  <c r="F29" i="31"/>
  <c r="G29" i="31" s="1"/>
  <c r="D29" i="31"/>
  <c r="I29" i="31"/>
  <c r="P29" i="31" s="1"/>
  <c r="R27" i="30"/>
  <c r="D28" i="30"/>
  <c r="I28" i="30"/>
  <c r="P28" i="30" s="1"/>
  <c r="E29" i="30"/>
  <c r="F28" i="30"/>
  <c r="G28" i="30" s="1"/>
  <c r="K22" i="30"/>
  <c r="L22" i="30" s="1"/>
  <c r="N22" i="30" s="1"/>
  <c r="Q22" i="30" s="1"/>
  <c r="U27" i="30"/>
  <c r="V27" i="30" s="1"/>
  <c r="S27" i="30"/>
  <c r="W26" i="30"/>
  <c r="R28" i="29"/>
  <c r="W27" i="29"/>
  <c r="U28" i="29"/>
  <c r="V28" i="29" s="1"/>
  <c r="S28" i="29"/>
  <c r="E30" i="29"/>
  <c r="I29" i="29"/>
  <c r="P29" i="29" s="1"/>
  <c r="D29" i="29"/>
  <c r="M19" i="29"/>
  <c r="W28" i="45" l="1"/>
  <c r="I30" i="45"/>
  <c r="P30" i="45" s="1"/>
  <c r="D30" i="45"/>
  <c r="F30" i="45"/>
  <c r="G30" i="45" s="1"/>
  <c r="E31" i="45"/>
  <c r="R29" i="45"/>
  <c r="M20" i="45"/>
  <c r="U29" i="45"/>
  <c r="V29" i="45" s="1"/>
  <c r="S29" i="45"/>
  <c r="R28" i="43"/>
  <c r="W27" i="43"/>
  <c r="U28" i="43"/>
  <c r="V28" i="43" s="1"/>
  <c r="S28" i="43"/>
  <c r="M20" i="43"/>
  <c r="I29" i="43"/>
  <c r="P29" i="43" s="1"/>
  <c r="E30" i="43"/>
  <c r="D29" i="43"/>
  <c r="U29" i="42"/>
  <c r="V29" i="42" s="1"/>
  <c r="S29" i="42"/>
  <c r="W27" i="41"/>
  <c r="W28" i="42"/>
  <c r="R29" i="42"/>
  <c r="I30" i="42"/>
  <c r="P30" i="42" s="1"/>
  <c r="D30" i="42"/>
  <c r="E31" i="42"/>
  <c r="F30" i="42"/>
  <c r="G30" i="42" s="1"/>
  <c r="M20" i="42"/>
  <c r="S28" i="41"/>
  <c r="U28" i="41"/>
  <c r="V28" i="41" s="1"/>
  <c r="W27" i="40"/>
  <c r="R28" i="41"/>
  <c r="F29" i="41"/>
  <c r="G29" i="41" s="1"/>
  <c r="I29" i="41"/>
  <c r="P29" i="41" s="1"/>
  <c r="D29" i="41"/>
  <c r="E30" i="41"/>
  <c r="K21" i="41"/>
  <c r="L21" i="41" s="1"/>
  <c r="N21" i="41" s="1"/>
  <c r="Q21" i="41" s="1"/>
  <c r="M21" i="40"/>
  <c r="K21" i="40"/>
  <c r="L21" i="40" s="1"/>
  <c r="N21" i="40" s="1"/>
  <c r="Q21" i="40" s="1"/>
  <c r="I29" i="40"/>
  <c r="P29" i="40" s="1"/>
  <c r="D29" i="40"/>
  <c r="E30" i="40"/>
  <c r="F29" i="40"/>
  <c r="G29" i="40" s="1"/>
  <c r="R28" i="40"/>
  <c r="W29" i="39"/>
  <c r="U28" i="40"/>
  <c r="V28" i="40" s="1"/>
  <c r="S28" i="40"/>
  <c r="I31" i="39"/>
  <c r="P31" i="39" s="1"/>
  <c r="D31" i="39"/>
  <c r="E32" i="39"/>
  <c r="F31" i="39"/>
  <c r="G31" i="39" s="1"/>
  <c r="U30" i="39"/>
  <c r="V30" i="39" s="1"/>
  <c r="S30" i="39"/>
  <c r="K20" i="39"/>
  <c r="L20" i="39" s="1"/>
  <c r="N20" i="39" s="1"/>
  <c r="Q20" i="39" s="1"/>
  <c r="R30" i="39"/>
  <c r="R29" i="38"/>
  <c r="W28" i="38"/>
  <c r="U29" i="38"/>
  <c r="V29" i="38" s="1"/>
  <c r="S29" i="38"/>
  <c r="I30" i="38"/>
  <c r="P30" i="38" s="1"/>
  <c r="D30" i="38"/>
  <c r="F30" i="38"/>
  <c r="G30" i="38" s="1"/>
  <c r="E31" i="38"/>
  <c r="W29" i="28"/>
  <c r="M20" i="38"/>
  <c r="K21" i="28"/>
  <c r="L21" i="28" s="1"/>
  <c r="N21" i="28" s="1"/>
  <c r="Q21" i="28" s="1"/>
  <c r="I31" i="28"/>
  <c r="P31" i="28" s="1"/>
  <c r="D31" i="28"/>
  <c r="E32" i="28"/>
  <c r="U30" i="28"/>
  <c r="V30" i="28" s="1"/>
  <c r="S30" i="28"/>
  <c r="R30" i="28"/>
  <c r="W28" i="27"/>
  <c r="U29" i="27"/>
  <c r="V29" i="27" s="1"/>
  <c r="S29" i="27"/>
  <c r="R29" i="27"/>
  <c r="M20" i="27"/>
  <c r="I30" i="27"/>
  <c r="P30" i="27" s="1"/>
  <c r="D30" i="27"/>
  <c r="E31" i="27"/>
  <c r="F30" i="27"/>
  <c r="G30" i="27" s="1"/>
  <c r="W28" i="25"/>
  <c r="S30" i="37"/>
  <c r="U30" i="37"/>
  <c r="V30" i="37" s="1"/>
  <c r="W29" i="36"/>
  <c r="I31" i="37"/>
  <c r="P31" i="37" s="1"/>
  <c r="D31" i="37"/>
  <c r="E32" i="37"/>
  <c r="W29" i="37"/>
  <c r="R30" i="37"/>
  <c r="K20" i="37"/>
  <c r="L20" i="37" s="1"/>
  <c r="N20" i="37" s="1"/>
  <c r="Q20" i="37" s="1"/>
  <c r="U29" i="25"/>
  <c r="V29" i="25" s="1"/>
  <c r="S29" i="25"/>
  <c r="R29" i="25"/>
  <c r="F30" i="25"/>
  <c r="G30" i="25" s="1"/>
  <c r="I30" i="25"/>
  <c r="P30" i="25" s="1"/>
  <c r="D30" i="25"/>
  <c r="E31" i="25"/>
  <c r="K21" i="25"/>
  <c r="L21" i="25" s="1"/>
  <c r="N21" i="25" s="1"/>
  <c r="Q21" i="25" s="1"/>
  <c r="R30" i="36"/>
  <c r="E32" i="36"/>
  <c r="D31" i="36"/>
  <c r="I31" i="36"/>
  <c r="P31" i="36" s="1"/>
  <c r="U30" i="36"/>
  <c r="V30" i="36" s="1"/>
  <c r="S30" i="36"/>
  <c r="K21" i="36"/>
  <c r="L21" i="36" s="1"/>
  <c r="N21" i="36" s="1"/>
  <c r="Q21" i="36" s="1"/>
  <c r="R29" i="35"/>
  <c r="W28" i="35"/>
  <c r="W27" i="26"/>
  <c r="I30" i="35"/>
  <c r="P30" i="35" s="1"/>
  <c r="D30" i="35"/>
  <c r="E31" i="35"/>
  <c r="S29" i="35"/>
  <c r="U29" i="35"/>
  <c r="V29" i="35" s="1"/>
  <c r="K21" i="35"/>
  <c r="L21" i="35" s="1"/>
  <c r="N21" i="35" s="1"/>
  <c r="Q21" i="35" s="1"/>
  <c r="E32" i="34"/>
  <c r="I31" i="34"/>
  <c r="P31" i="34" s="1"/>
  <c r="D31" i="34"/>
  <c r="W29" i="34"/>
  <c r="U30" i="34"/>
  <c r="V30" i="34" s="1"/>
  <c r="S30" i="34"/>
  <c r="R30" i="34"/>
  <c r="M23" i="34"/>
  <c r="K23" i="34"/>
  <c r="L23" i="34" s="1"/>
  <c r="N23" i="34" s="1"/>
  <c r="Q23" i="34" s="1"/>
  <c r="W27" i="23"/>
  <c r="F29" i="34"/>
  <c r="G29" i="34" s="1"/>
  <c r="R28" i="23"/>
  <c r="M21" i="23"/>
  <c r="E30" i="23"/>
  <c r="I29" i="23"/>
  <c r="P29" i="23" s="1"/>
  <c r="D29" i="23"/>
  <c r="F29" i="23"/>
  <c r="G29" i="23" s="1"/>
  <c r="U28" i="23"/>
  <c r="V28" i="23" s="1"/>
  <c r="S28" i="23"/>
  <c r="I29" i="26"/>
  <c r="P29" i="26" s="1"/>
  <c r="D29" i="26"/>
  <c r="E30" i="26"/>
  <c r="F29" i="26"/>
  <c r="G29" i="26" s="1"/>
  <c r="U28" i="26"/>
  <c r="V28" i="26" s="1"/>
  <c r="S28" i="26"/>
  <c r="K22" i="26"/>
  <c r="L22" i="26" s="1"/>
  <c r="N22" i="26" s="1"/>
  <c r="Q22" i="26" s="1"/>
  <c r="R28" i="26"/>
  <c r="R28" i="24"/>
  <c r="W27" i="24"/>
  <c r="U28" i="24"/>
  <c r="V28" i="24" s="1"/>
  <c r="S28" i="24"/>
  <c r="K21" i="24"/>
  <c r="L21" i="24" s="1"/>
  <c r="N21" i="24" s="1"/>
  <c r="Q21" i="24" s="1"/>
  <c r="I29" i="24"/>
  <c r="P29" i="24" s="1"/>
  <c r="E30" i="24"/>
  <c r="F29" i="24"/>
  <c r="G29" i="24" s="1"/>
  <c r="D29" i="24"/>
  <c r="S30" i="32"/>
  <c r="U30" i="32"/>
  <c r="V30" i="32" s="1"/>
  <c r="W29" i="32"/>
  <c r="I31" i="32"/>
  <c r="P31" i="32" s="1"/>
  <c r="D31" i="32"/>
  <c r="E32" i="32"/>
  <c r="M20" i="32"/>
  <c r="K20" i="32"/>
  <c r="L20" i="32" s="1"/>
  <c r="N20" i="32" s="1"/>
  <c r="Q20" i="32" s="1"/>
  <c r="R30" i="32"/>
  <c r="W27" i="30"/>
  <c r="I30" i="31"/>
  <c r="P30" i="31" s="1"/>
  <c r="D30" i="31"/>
  <c r="E31" i="31"/>
  <c r="R29" i="31"/>
  <c r="W28" i="31"/>
  <c r="S29" i="31"/>
  <c r="U29" i="31"/>
  <c r="V29" i="31" s="1"/>
  <c r="M21" i="31"/>
  <c r="K21" i="31"/>
  <c r="L21" i="31" s="1"/>
  <c r="N21" i="31" s="1"/>
  <c r="Q21" i="31" s="1"/>
  <c r="M22" i="30"/>
  <c r="U28" i="30"/>
  <c r="V28" i="30" s="1"/>
  <c r="S28" i="30"/>
  <c r="R28" i="30"/>
  <c r="I29" i="30"/>
  <c r="P29" i="30" s="1"/>
  <c r="E30" i="30"/>
  <c r="D29" i="30"/>
  <c r="S29" i="29"/>
  <c r="U29" i="29"/>
  <c r="V29" i="29" s="1"/>
  <c r="I30" i="29"/>
  <c r="P30" i="29" s="1"/>
  <c r="E31" i="29"/>
  <c r="D30" i="29"/>
  <c r="M20" i="29"/>
  <c r="K20" i="29"/>
  <c r="L20" i="29" s="1"/>
  <c r="N20" i="29" s="1"/>
  <c r="Q20" i="29" s="1"/>
  <c r="R29" i="29"/>
  <c r="W28" i="29"/>
  <c r="W29" i="45" l="1"/>
  <c r="W28" i="41"/>
  <c r="K21" i="45"/>
  <c r="L21" i="45" s="1"/>
  <c r="N21" i="45" s="1"/>
  <c r="Q21" i="45" s="1"/>
  <c r="I31" i="45"/>
  <c r="P31" i="45" s="1"/>
  <c r="D31" i="45"/>
  <c r="E32" i="45"/>
  <c r="R30" i="45"/>
  <c r="S30" i="45"/>
  <c r="U30" i="45"/>
  <c r="V30" i="45" s="1"/>
  <c r="I30" i="43"/>
  <c r="P30" i="43" s="1"/>
  <c r="D30" i="43"/>
  <c r="E31" i="43"/>
  <c r="U29" i="43"/>
  <c r="V29" i="43" s="1"/>
  <c r="S29" i="43"/>
  <c r="W28" i="43"/>
  <c r="R29" i="43"/>
  <c r="K21" i="43"/>
  <c r="L21" i="43" s="1"/>
  <c r="N21" i="43" s="1"/>
  <c r="Q21" i="43" s="1"/>
  <c r="U30" i="42"/>
  <c r="V30" i="42" s="1"/>
  <c r="S30" i="42"/>
  <c r="K21" i="42"/>
  <c r="L21" i="42" s="1"/>
  <c r="N21" i="42" s="1"/>
  <c r="Q21" i="42" s="1"/>
  <c r="R30" i="42"/>
  <c r="I31" i="42"/>
  <c r="P31" i="42" s="1"/>
  <c r="E32" i="42"/>
  <c r="D31" i="42"/>
  <c r="W29" i="42"/>
  <c r="U29" i="41"/>
  <c r="V29" i="41" s="1"/>
  <c r="S29" i="41"/>
  <c r="M21" i="41"/>
  <c r="E31" i="41"/>
  <c r="F30" i="41"/>
  <c r="G30" i="41" s="1"/>
  <c r="I30" i="41"/>
  <c r="P30" i="41" s="1"/>
  <c r="D30" i="41"/>
  <c r="R29" i="41"/>
  <c r="I30" i="40"/>
  <c r="P30" i="40" s="1"/>
  <c r="D30" i="40"/>
  <c r="E31" i="40"/>
  <c r="F30" i="40"/>
  <c r="G30" i="40" s="1"/>
  <c r="R29" i="40"/>
  <c r="U29" i="40"/>
  <c r="V29" i="40" s="1"/>
  <c r="S29" i="40"/>
  <c r="W28" i="40"/>
  <c r="K22" i="40"/>
  <c r="L22" i="40" s="1"/>
  <c r="N22" i="40" s="1"/>
  <c r="Q22" i="40" s="1"/>
  <c r="R31" i="39"/>
  <c r="W30" i="39"/>
  <c r="I32" i="39"/>
  <c r="P32" i="39" s="1"/>
  <c r="E33" i="39"/>
  <c r="F32" i="39"/>
  <c r="G32" i="39" s="1"/>
  <c r="D32" i="39"/>
  <c r="M20" i="39"/>
  <c r="S31" i="39"/>
  <c r="U31" i="39"/>
  <c r="V31" i="39" s="1"/>
  <c r="U30" i="38"/>
  <c r="V30" i="38" s="1"/>
  <c r="S30" i="38"/>
  <c r="R30" i="38"/>
  <c r="W29" i="38"/>
  <c r="K21" i="38"/>
  <c r="L21" i="38" s="1"/>
  <c r="N21" i="38" s="1"/>
  <c r="Q21" i="38" s="1"/>
  <c r="I31" i="38"/>
  <c r="P31" i="38" s="1"/>
  <c r="D31" i="38"/>
  <c r="E32" i="38"/>
  <c r="F31" i="38"/>
  <c r="G31" i="38" s="1"/>
  <c r="R31" i="28"/>
  <c r="W30" i="28"/>
  <c r="I32" i="28"/>
  <c r="P32" i="28" s="1"/>
  <c r="E33" i="28"/>
  <c r="D32" i="28"/>
  <c r="S31" i="28"/>
  <c r="U31" i="28"/>
  <c r="V31" i="28" s="1"/>
  <c r="M21" i="28"/>
  <c r="U30" i="27"/>
  <c r="V30" i="27" s="1"/>
  <c r="S30" i="27"/>
  <c r="W29" i="27"/>
  <c r="K21" i="27"/>
  <c r="L21" i="27" s="1"/>
  <c r="N21" i="27" s="1"/>
  <c r="Q21" i="27" s="1"/>
  <c r="R30" i="27"/>
  <c r="I31" i="27"/>
  <c r="P31" i="27" s="1"/>
  <c r="E32" i="27"/>
  <c r="F31" i="27"/>
  <c r="G31" i="27" s="1"/>
  <c r="D31" i="27"/>
  <c r="E33" i="37"/>
  <c r="I32" i="37"/>
  <c r="P32" i="37" s="1"/>
  <c r="D32" i="37"/>
  <c r="U31" i="37"/>
  <c r="V31" i="37" s="1"/>
  <c r="S31" i="37"/>
  <c r="M20" i="37"/>
  <c r="W30" i="37"/>
  <c r="R31" i="37"/>
  <c r="S30" i="25"/>
  <c r="U30" i="25"/>
  <c r="V30" i="25" s="1"/>
  <c r="I31" i="25"/>
  <c r="P31" i="25" s="1"/>
  <c r="E32" i="25"/>
  <c r="F31" i="25"/>
  <c r="G31" i="25" s="1"/>
  <c r="D31" i="25"/>
  <c r="R30" i="25"/>
  <c r="W29" i="35"/>
  <c r="M21" i="25"/>
  <c r="W29" i="25"/>
  <c r="R31" i="36"/>
  <c r="F30" i="36"/>
  <c r="G30" i="36" s="1"/>
  <c r="W30" i="36"/>
  <c r="E33" i="36"/>
  <c r="D32" i="36"/>
  <c r="I32" i="36"/>
  <c r="P32" i="36" s="1"/>
  <c r="U31" i="36"/>
  <c r="V31" i="36" s="1"/>
  <c r="M21" i="36"/>
  <c r="U30" i="35"/>
  <c r="V30" i="35" s="1"/>
  <c r="E32" i="35"/>
  <c r="D31" i="35"/>
  <c r="I31" i="35"/>
  <c r="P31" i="35" s="1"/>
  <c r="M21" i="35"/>
  <c r="R30" i="35"/>
  <c r="F29" i="35"/>
  <c r="G29" i="35" s="1"/>
  <c r="W30" i="34"/>
  <c r="K24" i="34"/>
  <c r="L24" i="34" s="1"/>
  <c r="N24" i="34" s="1"/>
  <c r="Q24" i="34" s="1"/>
  <c r="U31" i="34"/>
  <c r="V31" i="34" s="1"/>
  <c r="R31" i="34"/>
  <c r="F30" i="34"/>
  <c r="G30" i="34" s="1"/>
  <c r="E33" i="34"/>
  <c r="D32" i="34"/>
  <c r="I32" i="34"/>
  <c r="P32" i="34" s="1"/>
  <c r="R29" i="23"/>
  <c r="W28" i="23"/>
  <c r="W28" i="26"/>
  <c r="S29" i="23"/>
  <c r="U29" i="23"/>
  <c r="V29" i="23" s="1"/>
  <c r="I30" i="23"/>
  <c r="P30" i="23" s="1"/>
  <c r="E31" i="23"/>
  <c r="F30" i="23"/>
  <c r="G30" i="23" s="1"/>
  <c r="D30" i="23"/>
  <c r="K22" i="23"/>
  <c r="L22" i="23" s="1"/>
  <c r="N22" i="23" s="1"/>
  <c r="Q22" i="23" s="1"/>
  <c r="M22" i="26"/>
  <c r="R29" i="26"/>
  <c r="I30" i="26"/>
  <c r="P30" i="26" s="1"/>
  <c r="E31" i="26"/>
  <c r="F30" i="26"/>
  <c r="G30" i="26" s="1"/>
  <c r="D30" i="26"/>
  <c r="U29" i="26"/>
  <c r="V29" i="26" s="1"/>
  <c r="S29" i="26"/>
  <c r="U29" i="24"/>
  <c r="V29" i="24" s="1"/>
  <c r="S29" i="24"/>
  <c r="M21" i="24"/>
  <c r="R29" i="24"/>
  <c r="W28" i="24"/>
  <c r="I30" i="24"/>
  <c r="P30" i="24" s="1"/>
  <c r="D30" i="24"/>
  <c r="E31" i="24"/>
  <c r="F30" i="24"/>
  <c r="G30" i="24" s="1"/>
  <c r="E33" i="32"/>
  <c r="I32" i="32"/>
  <c r="P32" i="32" s="1"/>
  <c r="D32" i="32"/>
  <c r="K21" i="32"/>
  <c r="L21" i="32" s="1"/>
  <c r="N21" i="32" s="1"/>
  <c r="Q21" i="32" s="1"/>
  <c r="W30" i="32"/>
  <c r="U31" i="32"/>
  <c r="V31" i="32" s="1"/>
  <c r="R31" i="32"/>
  <c r="F30" i="32"/>
  <c r="G30" i="32" s="1"/>
  <c r="R30" i="31"/>
  <c r="D31" i="31"/>
  <c r="E32" i="31"/>
  <c r="I31" i="31"/>
  <c r="P31" i="31" s="1"/>
  <c r="K22" i="31"/>
  <c r="L22" i="31" s="1"/>
  <c r="N22" i="31" s="1"/>
  <c r="Q22" i="31" s="1"/>
  <c r="W29" i="31"/>
  <c r="S30" i="31"/>
  <c r="U30" i="31"/>
  <c r="V30" i="31" s="1"/>
  <c r="I30" i="30"/>
  <c r="P30" i="30" s="1"/>
  <c r="E31" i="30"/>
  <c r="D30" i="30"/>
  <c r="W29" i="29"/>
  <c r="R29" i="30"/>
  <c r="W28" i="30"/>
  <c r="U29" i="30"/>
  <c r="V29" i="30" s="1"/>
  <c r="S29" i="30"/>
  <c r="F29" i="30" s="1"/>
  <c r="G29" i="30" s="1"/>
  <c r="K23" i="30"/>
  <c r="L23" i="30" s="1"/>
  <c r="N23" i="30" s="1"/>
  <c r="Q23" i="30" s="1"/>
  <c r="D31" i="29"/>
  <c r="E32" i="29"/>
  <c r="I31" i="29"/>
  <c r="P31" i="29" s="1"/>
  <c r="K21" i="29"/>
  <c r="L21" i="29" s="1"/>
  <c r="N21" i="29" s="1"/>
  <c r="Q21" i="29" s="1"/>
  <c r="R30" i="29"/>
  <c r="U30" i="29"/>
  <c r="V30" i="29" s="1"/>
  <c r="F29" i="29"/>
  <c r="G29" i="29" s="1"/>
  <c r="W30" i="45" l="1"/>
  <c r="S31" i="45"/>
  <c r="F31" i="45" s="1"/>
  <c r="G31" i="45" s="1"/>
  <c r="U31" i="45"/>
  <c r="V31" i="45" s="1"/>
  <c r="E33" i="45"/>
  <c r="I32" i="45"/>
  <c r="P32" i="45" s="1"/>
  <c r="D32" i="45"/>
  <c r="R31" i="45"/>
  <c r="M21" i="45"/>
  <c r="R30" i="43"/>
  <c r="W29" i="43"/>
  <c r="I31" i="43"/>
  <c r="P31" i="43" s="1"/>
  <c r="E32" i="43"/>
  <c r="D31" i="43"/>
  <c r="F29" i="43"/>
  <c r="G29" i="43" s="1"/>
  <c r="M21" i="43"/>
  <c r="U30" i="43"/>
  <c r="V30" i="43" s="1"/>
  <c r="I32" i="42"/>
  <c r="P32" i="42" s="1"/>
  <c r="E33" i="42"/>
  <c r="D32" i="42"/>
  <c r="S31" i="42"/>
  <c r="F31" i="42" s="1"/>
  <c r="G31" i="42" s="1"/>
  <c r="U31" i="42"/>
  <c r="V31" i="42" s="1"/>
  <c r="M21" i="42"/>
  <c r="R31" i="42"/>
  <c r="W30" i="42"/>
  <c r="U30" i="41"/>
  <c r="V30" i="41" s="1"/>
  <c r="S30" i="41"/>
  <c r="K22" i="41"/>
  <c r="L22" i="41" s="1"/>
  <c r="N22" i="41" s="1"/>
  <c r="Q22" i="41" s="1"/>
  <c r="I31" i="41"/>
  <c r="P31" i="41" s="1"/>
  <c r="D31" i="41"/>
  <c r="E32" i="41"/>
  <c r="F31" i="41"/>
  <c r="G31" i="41" s="1"/>
  <c r="R30" i="41"/>
  <c r="W29" i="41"/>
  <c r="U30" i="40"/>
  <c r="V30" i="40" s="1"/>
  <c r="S30" i="40"/>
  <c r="R30" i="40"/>
  <c r="W29" i="40"/>
  <c r="I31" i="40"/>
  <c r="P31" i="40" s="1"/>
  <c r="E32" i="40"/>
  <c r="F31" i="40"/>
  <c r="G31" i="40" s="1"/>
  <c r="D31" i="40"/>
  <c r="M22" i="40"/>
  <c r="S32" i="39"/>
  <c r="U32" i="39"/>
  <c r="V32" i="39" s="1"/>
  <c r="E34" i="39"/>
  <c r="D33" i="39"/>
  <c r="I33" i="39"/>
  <c r="P33" i="39" s="1"/>
  <c r="W31" i="39"/>
  <c r="M21" i="39"/>
  <c r="K21" i="39"/>
  <c r="L21" i="39" s="1"/>
  <c r="N21" i="39" s="1"/>
  <c r="Q21" i="39" s="1"/>
  <c r="R32" i="39"/>
  <c r="S31" i="38"/>
  <c r="U31" i="38"/>
  <c r="V31" i="38" s="1"/>
  <c r="W30" i="25"/>
  <c r="M21" i="38"/>
  <c r="I32" i="38"/>
  <c r="P32" i="38" s="1"/>
  <c r="E33" i="38"/>
  <c r="D32" i="38"/>
  <c r="R31" i="38"/>
  <c r="W30" i="38"/>
  <c r="R32" i="28"/>
  <c r="F31" i="28"/>
  <c r="G31" i="28" s="1"/>
  <c r="U32" i="28"/>
  <c r="V32" i="28" s="1"/>
  <c r="S32" i="28"/>
  <c r="K22" i="28"/>
  <c r="L22" i="28" s="1"/>
  <c r="N22" i="28" s="1"/>
  <c r="Q22" i="28" s="1"/>
  <c r="E34" i="28"/>
  <c r="D33" i="28"/>
  <c r="I33" i="28"/>
  <c r="P33" i="28" s="1"/>
  <c r="W31" i="28"/>
  <c r="S31" i="27"/>
  <c r="U31" i="27"/>
  <c r="V31" i="27" s="1"/>
  <c r="R31" i="27"/>
  <c r="M21" i="27"/>
  <c r="I32" i="27"/>
  <c r="P32" i="27" s="1"/>
  <c r="E33" i="27"/>
  <c r="D32" i="27"/>
  <c r="W30" i="27"/>
  <c r="W31" i="37"/>
  <c r="K21" i="37"/>
  <c r="L21" i="37" s="1"/>
  <c r="N21" i="37" s="1"/>
  <c r="Q21" i="37" s="1"/>
  <c r="U32" i="37"/>
  <c r="V32" i="37" s="1"/>
  <c r="R32" i="37"/>
  <c r="F31" i="37"/>
  <c r="G31" i="37" s="1"/>
  <c r="E34" i="37"/>
  <c r="I33" i="37"/>
  <c r="P33" i="37" s="1"/>
  <c r="D33" i="37"/>
  <c r="I32" i="25"/>
  <c r="P32" i="25" s="1"/>
  <c r="D32" i="25"/>
  <c r="F32" i="25"/>
  <c r="G32" i="25" s="1"/>
  <c r="E33" i="25"/>
  <c r="U31" i="25"/>
  <c r="V31" i="25" s="1"/>
  <c r="S31" i="25"/>
  <c r="K22" i="25"/>
  <c r="L22" i="25" s="1"/>
  <c r="N22" i="25" s="1"/>
  <c r="Q22" i="25" s="1"/>
  <c r="R31" i="25"/>
  <c r="D33" i="36"/>
  <c r="E34" i="36"/>
  <c r="I33" i="36"/>
  <c r="P33" i="36" s="1"/>
  <c r="K22" i="36"/>
  <c r="L22" i="36" s="1"/>
  <c r="N22" i="36" s="1"/>
  <c r="Q22" i="36" s="1"/>
  <c r="U32" i="36"/>
  <c r="V32" i="36" s="1"/>
  <c r="U31" i="35"/>
  <c r="V31" i="35" s="1"/>
  <c r="W29" i="23"/>
  <c r="K22" i="35"/>
  <c r="L22" i="35" s="1"/>
  <c r="N22" i="35" s="1"/>
  <c r="Q22" i="35" s="1"/>
  <c r="E33" i="35"/>
  <c r="I32" i="35"/>
  <c r="P32" i="35" s="1"/>
  <c r="D32" i="35"/>
  <c r="U32" i="34"/>
  <c r="V32" i="34" s="1"/>
  <c r="M24" i="34"/>
  <c r="E34" i="34"/>
  <c r="I33" i="34"/>
  <c r="P33" i="34" s="1"/>
  <c r="D33" i="34"/>
  <c r="U30" i="23"/>
  <c r="V30" i="23" s="1"/>
  <c r="S30" i="23"/>
  <c r="W30" i="31"/>
  <c r="R30" i="23"/>
  <c r="F31" i="23"/>
  <c r="G31" i="23" s="1"/>
  <c r="E32" i="23"/>
  <c r="I31" i="23"/>
  <c r="P31" i="23" s="1"/>
  <c r="D31" i="23"/>
  <c r="W29" i="26"/>
  <c r="M22" i="23"/>
  <c r="I31" i="26"/>
  <c r="P31" i="26" s="1"/>
  <c r="E32" i="26"/>
  <c r="F31" i="26"/>
  <c r="G31" i="26" s="1"/>
  <c r="D31" i="26"/>
  <c r="S30" i="26"/>
  <c r="U30" i="26"/>
  <c r="V30" i="26" s="1"/>
  <c r="R30" i="26"/>
  <c r="K23" i="26"/>
  <c r="L23" i="26" s="1"/>
  <c r="N23" i="26" s="1"/>
  <c r="Q23" i="26" s="1"/>
  <c r="S30" i="24"/>
  <c r="U30" i="24"/>
  <c r="V30" i="24" s="1"/>
  <c r="R30" i="24"/>
  <c r="M22" i="24"/>
  <c r="K22" i="24"/>
  <c r="L22" i="24" s="1"/>
  <c r="N22" i="24" s="1"/>
  <c r="Q22" i="24" s="1"/>
  <c r="I31" i="24"/>
  <c r="P31" i="24" s="1"/>
  <c r="E32" i="24"/>
  <c r="F31" i="24"/>
  <c r="G31" i="24" s="1"/>
  <c r="D31" i="24"/>
  <c r="W29" i="24"/>
  <c r="U32" i="32"/>
  <c r="V32" i="32" s="1"/>
  <c r="M21" i="32"/>
  <c r="E34" i="32"/>
  <c r="D33" i="32"/>
  <c r="I33" i="32"/>
  <c r="P33" i="32" s="1"/>
  <c r="U31" i="31"/>
  <c r="V31" i="31" s="1"/>
  <c r="M22" i="31"/>
  <c r="R31" i="31"/>
  <c r="F30" i="31"/>
  <c r="G30" i="31" s="1"/>
  <c r="E33" i="31"/>
  <c r="I32" i="31"/>
  <c r="P32" i="31" s="1"/>
  <c r="D32" i="31"/>
  <c r="R30" i="30"/>
  <c r="I31" i="30"/>
  <c r="P31" i="30" s="1"/>
  <c r="E32" i="30"/>
  <c r="D31" i="30"/>
  <c r="M23" i="30"/>
  <c r="W29" i="30"/>
  <c r="U30" i="30"/>
  <c r="V30" i="30" s="1"/>
  <c r="M21" i="29"/>
  <c r="I32" i="29"/>
  <c r="P32" i="29" s="1"/>
  <c r="E33" i="29"/>
  <c r="D32" i="29"/>
  <c r="U31" i="29"/>
  <c r="V31" i="29" s="1"/>
  <c r="W31" i="42" l="1"/>
  <c r="W31" i="45"/>
  <c r="W31" i="38"/>
  <c r="U32" i="45"/>
  <c r="V32" i="45" s="1"/>
  <c r="E34" i="45"/>
  <c r="I33" i="45"/>
  <c r="P33" i="45" s="1"/>
  <c r="D33" i="45"/>
  <c r="M22" i="45"/>
  <c r="K22" i="45"/>
  <c r="L22" i="45" s="1"/>
  <c r="N22" i="45" s="1"/>
  <c r="Q22" i="45" s="1"/>
  <c r="R32" i="45"/>
  <c r="I32" i="43"/>
  <c r="P32" i="43" s="1"/>
  <c r="E33" i="43"/>
  <c r="D32" i="43"/>
  <c r="U31" i="43"/>
  <c r="V31" i="43" s="1"/>
  <c r="M22" i="43"/>
  <c r="K22" i="43"/>
  <c r="L22" i="43" s="1"/>
  <c r="N22" i="43" s="1"/>
  <c r="Q22" i="43" s="1"/>
  <c r="K22" i="42"/>
  <c r="L22" i="42" s="1"/>
  <c r="N22" i="42" s="1"/>
  <c r="Q22" i="42" s="1"/>
  <c r="E34" i="42"/>
  <c r="D33" i="42"/>
  <c r="I33" i="42"/>
  <c r="P33" i="42" s="1"/>
  <c r="R32" i="42"/>
  <c r="U32" i="42"/>
  <c r="V32" i="42" s="1"/>
  <c r="I32" i="41"/>
  <c r="P32" i="41" s="1"/>
  <c r="D32" i="41"/>
  <c r="E33" i="41"/>
  <c r="M22" i="41"/>
  <c r="S31" i="41"/>
  <c r="U31" i="41"/>
  <c r="V31" i="41" s="1"/>
  <c r="W30" i="40"/>
  <c r="R31" i="41"/>
  <c r="W30" i="41"/>
  <c r="I32" i="40"/>
  <c r="P32" i="40" s="1"/>
  <c r="E33" i="40"/>
  <c r="D32" i="40"/>
  <c r="S31" i="40"/>
  <c r="U31" i="40"/>
  <c r="V31" i="40" s="1"/>
  <c r="K23" i="40"/>
  <c r="L23" i="40" s="1"/>
  <c r="N23" i="40" s="1"/>
  <c r="Q23" i="40" s="1"/>
  <c r="R31" i="40"/>
  <c r="K22" i="39"/>
  <c r="L22" i="39" s="1"/>
  <c r="N22" i="39" s="1"/>
  <c r="Q22" i="39" s="1"/>
  <c r="E35" i="39"/>
  <c r="D34" i="39"/>
  <c r="I34" i="39"/>
  <c r="P34" i="39" s="1"/>
  <c r="W32" i="39"/>
  <c r="U33" i="39"/>
  <c r="V33" i="39" s="1"/>
  <c r="S33" i="39"/>
  <c r="R33" i="39"/>
  <c r="W31" i="27"/>
  <c r="W32" i="28"/>
  <c r="E34" i="38"/>
  <c r="D33" i="38"/>
  <c r="I33" i="38"/>
  <c r="P33" i="38" s="1"/>
  <c r="M22" i="38"/>
  <c r="K22" i="38"/>
  <c r="L22" i="38" s="1"/>
  <c r="N22" i="38" s="1"/>
  <c r="Q22" i="38" s="1"/>
  <c r="U32" i="38"/>
  <c r="V32" i="38" s="1"/>
  <c r="S32" i="38"/>
  <c r="R32" i="38"/>
  <c r="M22" i="28"/>
  <c r="R33" i="28"/>
  <c r="F32" i="28"/>
  <c r="G32" i="28" s="1"/>
  <c r="E35" i="28"/>
  <c r="D34" i="28"/>
  <c r="I34" i="28"/>
  <c r="P34" i="28" s="1"/>
  <c r="U33" i="28"/>
  <c r="V33" i="28" s="1"/>
  <c r="E34" i="27"/>
  <c r="D33" i="27"/>
  <c r="I33" i="27"/>
  <c r="P33" i="27" s="1"/>
  <c r="U32" i="27"/>
  <c r="V32" i="27" s="1"/>
  <c r="S32" i="27"/>
  <c r="M22" i="27"/>
  <c r="K22" i="27"/>
  <c r="L22" i="27" s="1"/>
  <c r="N22" i="27" s="1"/>
  <c r="Q22" i="27" s="1"/>
  <c r="R32" i="27"/>
  <c r="U33" i="37"/>
  <c r="V33" i="37" s="1"/>
  <c r="W31" i="25"/>
  <c r="D34" i="37"/>
  <c r="E35" i="37"/>
  <c r="I34" i="37"/>
  <c r="P34" i="37" s="1"/>
  <c r="M21" i="37"/>
  <c r="M22" i="25"/>
  <c r="R32" i="25"/>
  <c r="E34" i="25"/>
  <c r="F33" i="25"/>
  <c r="G33" i="25" s="1"/>
  <c r="D33" i="25"/>
  <c r="I33" i="25"/>
  <c r="P33" i="25" s="1"/>
  <c r="U32" i="25"/>
  <c r="V32" i="25" s="1"/>
  <c r="S32" i="25"/>
  <c r="U33" i="36"/>
  <c r="V33" i="36" s="1"/>
  <c r="D34" i="36"/>
  <c r="I34" i="36"/>
  <c r="P34" i="36" s="1"/>
  <c r="E35" i="36"/>
  <c r="M22" i="36"/>
  <c r="U32" i="35"/>
  <c r="V32" i="35" s="1"/>
  <c r="M22" i="35"/>
  <c r="D33" i="35"/>
  <c r="I33" i="35"/>
  <c r="P33" i="35" s="1"/>
  <c r="E34" i="35"/>
  <c r="D34" i="34"/>
  <c r="I34" i="34"/>
  <c r="P34" i="34" s="1"/>
  <c r="E35" i="34"/>
  <c r="K25" i="34"/>
  <c r="L25" i="34" s="1"/>
  <c r="N25" i="34" s="1"/>
  <c r="Q25" i="34" s="1"/>
  <c r="U33" i="34"/>
  <c r="V33" i="34" s="1"/>
  <c r="W30" i="24"/>
  <c r="S31" i="23"/>
  <c r="U31" i="23"/>
  <c r="V31" i="23" s="1"/>
  <c r="M23" i="23"/>
  <c r="K23" i="23"/>
  <c r="L23" i="23" s="1"/>
  <c r="N23" i="23" s="1"/>
  <c r="Q23" i="23" s="1"/>
  <c r="R31" i="23"/>
  <c r="I32" i="23"/>
  <c r="P32" i="23" s="1"/>
  <c r="E33" i="23"/>
  <c r="F32" i="23"/>
  <c r="G32" i="23" s="1"/>
  <c r="D32" i="23"/>
  <c r="W30" i="26"/>
  <c r="W30" i="23"/>
  <c r="R31" i="26"/>
  <c r="E33" i="26"/>
  <c r="D32" i="26"/>
  <c r="I32" i="26"/>
  <c r="P32" i="26" s="1"/>
  <c r="M23" i="26"/>
  <c r="U31" i="26"/>
  <c r="V31" i="26" s="1"/>
  <c r="S31" i="26"/>
  <c r="E33" i="24"/>
  <c r="F32" i="24"/>
  <c r="G32" i="24" s="1"/>
  <c r="D32" i="24"/>
  <c r="I32" i="24"/>
  <c r="P32" i="24" s="1"/>
  <c r="U31" i="24"/>
  <c r="V31" i="24" s="1"/>
  <c r="S31" i="24"/>
  <c r="K23" i="24"/>
  <c r="L23" i="24" s="1"/>
  <c r="N23" i="24" s="1"/>
  <c r="Q23" i="24" s="1"/>
  <c r="R31" i="24"/>
  <c r="D34" i="32"/>
  <c r="I34" i="32"/>
  <c r="P34" i="32" s="1"/>
  <c r="E35" i="32"/>
  <c r="U33" i="32"/>
  <c r="V33" i="32" s="1"/>
  <c r="K22" i="32"/>
  <c r="L22" i="32" s="1"/>
  <c r="N22" i="32" s="1"/>
  <c r="Q22" i="32" s="1"/>
  <c r="E34" i="31"/>
  <c r="I33" i="31"/>
  <c r="P33" i="31" s="1"/>
  <c r="D33" i="31"/>
  <c r="K23" i="31"/>
  <c r="L23" i="31" s="1"/>
  <c r="N23" i="31" s="1"/>
  <c r="Q23" i="31" s="1"/>
  <c r="U32" i="31"/>
  <c r="V32" i="31" s="1"/>
  <c r="M24" i="30"/>
  <c r="K24" i="30"/>
  <c r="L24" i="30" s="1"/>
  <c r="N24" i="30" s="1"/>
  <c r="Q24" i="30" s="1"/>
  <c r="I32" i="30"/>
  <c r="P32" i="30" s="1"/>
  <c r="E33" i="30"/>
  <c r="D32" i="30"/>
  <c r="U31" i="30"/>
  <c r="V31" i="30" s="1"/>
  <c r="E34" i="29"/>
  <c r="I33" i="29"/>
  <c r="P33" i="29" s="1"/>
  <c r="D33" i="29"/>
  <c r="U32" i="29"/>
  <c r="V32" i="29" s="1"/>
  <c r="M22" i="29"/>
  <c r="K22" i="29"/>
  <c r="L22" i="29" s="1"/>
  <c r="N22" i="29" s="1"/>
  <c r="Q22" i="29" s="1"/>
  <c r="D34" i="45" l="1"/>
  <c r="I34" i="45"/>
  <c r="P34" i="45" s="1"/>
  <c r="E35" i="45"/>
  <c r="K23" i="45"/>
  <c r="L23" i="45" s="1"/>
  <c r="N23" i="45" s="1"/>
  <c r="Q23" i="45" s="1"/>
  <c r="W33" i="39"/>
  <c r="W31" i="40"/>
  <c r="W31" i="41"/>
  <c r="U33" i="45"/>
  <c r="V33" i="45" s="1"/>
  <c r="K23" i="43"/>
  <c r="L23" i="43" s="1"/>
  <c r="N23" i="43" s="1"/>
  <c r="Q23" i="43" s="1"/>
  <c r="E34" i="43"/>
  <c r="D33" i="43"/>
  <c r="I33" i="43"/>
  <c r="P33" i="43" s="1"/>
  <c r="U32" i="43"/>
  <c r="V32" i="43" s="1"/>
  <c r="E35" i="42"/>
  <c r="D34" i="42"/>
  <c r="I34" i="42"/>
  <c r="P34" i="42" s="1"/>
  <c r="U33" i="42"/>
  <c r="V33" i="42" s="1"/>
  <c r="M22" i="42"/>
  <c r="R32" i="41"/>
  <c r="E34" i="41"/>
  <c r="I33" i="41"/>
  <c r="P33" i="41" s="1"/>
  <c r="D33" i="41"/>
  <c r="K23" i="41"/>
  <c r="L23" i="41" s="1"/>
  <c r="N23" i="41" s="1"/>
  <c r="Q23" i="41" s="1"/>
  <c r="U32" i="41"/>
  <c r="V32" i="41" s="1"/>
  <c r="S32" i="41"/>
  <c r="M23" i="40"/>
  <c r="R32" i="40"/>
  <c r="E34" i="40"/>
  <c r="D33" i="40"/>
  <c r="I33" i="40"/>
  <c r="P33" i="40" s="1"/>
  <c r="U32" i="40"/>
  <c r="V32" i="40" s="1"/>
  <c r="S32" i="40"/>
  <c r="F32" i="40" s="1"/>
  <c r="G32" i="40" s="1"/>
  <c r="U34" i="39"/>
  <c r="V34" i="39" s="1"/>
  <c r="D35" i="39"/>
  <c r="I35" i="39"/>
  <c r="P35" i="39" s="1"/>
  <c r="E36" i="39"/>
  <c r="R34" i="39"/>
  <c r="M22" i="39"/>
  <c r="F33" i="39"/>
  <c r="G33" i="39" s="1"/>
  <c r="K23" i="38"/>
  <c r="L23" i="38" s="1"/>
  <c r="N23" i="38" s="1"/>
  <c r="Q23" i="38" s="1"/>
  <c r="U33" i="38"/>
  <c r="V33" i="38" s="1"/>
  <c r="E35" i="38"/>
  <c r="D34" i="38"/>
  <c r="I34" i="38"/>
  <c r="P34" i="38" s="1"/>
  <c r="R33" i="38"/>
  <c r="W32" i="38"/>
  <c r="F32" i="38"/>
  <c r="G32" i="38" s="1"/>
  <c r="U34" i="28"/>
  <c r="V34" i="28" s="1"/>
  <c r="W32" i="25"/>
  <c r="D35" i="28"/>
  <c r="I35" i="28"/>
  <c r="P35" i="28" s="1"/>
  <c r="E36" i="28"/>
  <c r="K23" i="28"/>
  <c r="L23" i="28" s="1"/>
  <c r="N23" i="28" s="1"/>
  <c r="Q23" i="28" s="1"/>
  <c r="K23" i="27"/>
  <c r="L23" i="27" s="1"/>
  <c r="N23" i="27" s="1"/>
  <c r="Q23" i="27" s="1"/>
  <c r="R33" i="27"/>
  <c r="W32" i="27"/>
  <c r="U33" i="27"/>
  <c r="V33" i="27" s="1"/>
  <c r="E35" i="27"/>
  <c r="D34" i="27"/>
  <c r="I34" i="27"/>
  <c r="P34" i="27" s="1"/>
  <c r="F32" i="27"/>
  <c r="G32" i="27" s="1"/>
  <c r="D35" i="37"/>
  <c r="E36" i="37"/>
  <c r="I35" i="37"/>
  <c r="P35" i="37" s="1"/>
  <c r="K22" i="37"/>
  <c r="L22" i="37" s="1"/>
  <c r="N22" i="37" s="1"/>
  <c r="Q22" i="37" s="1"/>
  <c r="U34" i="37"/>
  <c r="V34" i="37" s="1"/>
  <c r="U33" i="25"/>
  <c r="V33" i="25" s="1"/>
  <c r="S33" i="25"/>
  <c r="F34" i="25"/>
  <c r="G34" i="25" s="1"/>
  <c r="D34" i="25"/>
  <c r="E35" i="25"/>
  <c r="I34" i="25"/>
  <c r="P34" i="25" s="1"/>
  <c r="R33" i="25"/>
  <c r="K23" i="25"/>
  <c r="L23" i="25" s="1"/>
  <c r="N23" i="25" s="1"/>
  <c r="Q23" i="25" s="1"/>
  <c r="I35" i="36"/>
  <c r="P35" i="36" s="1"/>
  <c r="D35" i="36"/>
  <c r="E36" i="36"/>
  <c r="U34" i="36"/>
  <c r="V34" i="36" s="1"/>
  <c r="K23" i="36"/>
  <c r="L23" i="36" s="1"/>
  <c r="N23" i="36" s="1"/>
  <c r="Q23" i="36" s="1"/>
  <c r="D34" i="35"/>
  <c r="E35" i="35"/>
  <c r="I34" i="35"/>
  <c r="P34" i="35" s="1"/>
  <c r="U33" i="35"/>
  <c r="V33" i="35" s="1"/>
  <c r="M23" i="35"/>
  <c r="K23" i="35"/>
  <c r="L23" i="35" s="1"/>
  <c r="N23" i="35" s="1"/>
  <c r="Q23" i="35" s="1"/>
  <c r="W31" i="23"/>
  <c r="M25" i="34"/>
  <c r="I35" i="34"/>
  <c r="P35" i="34" s="1"/>
  <c r="D35" i="34"/>
  <c r="E36" i="34"/>
  <c r="U34" i="34"/>
  <c r="V34" i="34" s="1"/>
  <c r="U32" i="23"/>
  <c r="V32" i="23" s="1"/>
  <c r="S32" i="23"/>
  <c r="W31" i="26"/>
  <c r="R32" i="23"/>
  <c r="K24" i="23"/>
  <c r="L24" i="23" s="1"/>
  <c r="N24" i="23" s="1"/>
  <c r="Q24" i="23" s="1"/>
  <c r="I33" i="23"/>
  <c r="P33" i="23" s="1"/>
  <c r="F33" i="23"/>
  <c r="G33" i="23" s="1"/>
  <c r="D33" i="23"/>
  <c r="E34" i="23"/>
  <c r="K24" i="26"/>
  <c r="L24" i="26" s="1"/>
  <c r="N24" i="26" s="1"/>
  <c r="Q24" i="26" s="1"/>
  <c r="W31" i="24"/>
  <c r="S32" i="26"/>
  <c r="U32" i="26"/>
  <c r="V32" i="26" s="1"/>
  <c r="E34" i="26"/>
  <c r="D33" i="26"/>
  <c r="I33" i="26"/>
  <c r="P33" i="26" s="1"/>
  <c r="R32" i="26"/>
  <c r="M23" i="24"/>
  <c r="R32" i="24"/>
  <c r="U32" i="24"/>
  <c r="V32" i="24" s="1"/>
  <c r="S32" i="24"/>
  <c r="E34" i="24"/>
  <c r="F33" i="24"/>
  <c r="G33" i="24" s="1"/>
  <c r="D33" i="24"/>
  <c r="I33" i="24"/>
  <c r="P33" i="24" s="1"/>
  <c r="U34" i="32"/>
  <c r="V34" i="32" s="1"/>
  <c r="D35" i="32"/>
  <c r="I35" i="32"/>
  <c r="P35" i="32" s="1"/>
  <c r="E36" i="32"/>
  <c r="M22" i="32"/>
  <c r="M23" i="31"/>
  <c r="U33" i="31"/>
  <c r="V33" i="31" s="1"/>
  <c r="D34" i="31"/>
  <c r="I34" i="31"/>
  <c r="P34" i="31" s="1"/>
  <c r="E35" i="31"/>
  <c r="E34" i="30"/>
  <c r="D33" i="30"/>
  <c r="I33" i="30"/>
  <c r="P33" i="30" s="1"/>
  <c r="U32" i="30"/>
  <c r="V32" i="30" s="1"/>
  <c r="M25" i="30"/>
  <c r="K25" i="30"/>
  <c r="L25" i="30" s="1"/>
  <c r="N25" i="30" s="1"/>
  <c r="Q25" i="30" s="1"/>
  <c r="K23" i="29"/>
  <c r="L23" i="29" s="1"/>
  <c r="N23" i="29" s="1"/>
  <c r="Q23" i="29" s="1"/>
  <c r="U33" i="29"/>
  <c r="V33" i="29" s="1"/>
  <c r="E35" i="29"/>
  <c r="D34" i="29"/>
  <c r="I34" i="29"/>
  <c r="P34" i="29" s="1"/>
  <c r="M23" i="45" l="1"/>
  <c r="D35" i="45"/>
  <c r="I35" i="45"/>
  <c r="P35" i="45" s="1"/>
  <c r="E36" i="45"/>
  <c r="U34" i="45"/>
  <c r="V34" i="45" s="1"/>
  <c r="U33" i="43"/>
  <c r="V33" i="43" s="1"/>
  <c r="M23" i="43"/>
  <c r="E35" i="43"/>
  <c r="D34" i="43"/>
  <c r="I34" i="43"/>
  <c r="P34" i="43" s="1"/>
  <c r="U34" i="42"/>
  <c r="V34" i="42" s="1"/>
  <c r="D35" i="42"/>
  <c r="I35" i="42"/>
  <c r="P35" i="42" s="1"/>
  <c r="E36" i="42"/>
  <c r="M23" i="42"/>
  <c r="K23" i="42"/>
  <c r="L23" i="42" s="1"/>
  <c r="N23" i="42" s="1"/>
  <c r="Q23" i="42" s="1"/>
  <c r="M23" i="41"/>
  <c r="U33" i="41"/>
  <c r="V33" i="41" s="1"/>
  <c r="R33" i="41"/>
  <c r="F32" i="41"/>
  <c r="G32" i="41" s="1"/>
  <c r="E35" i="41"/>
  <c r="D34" i="41"/>
  <c r="I34" i="41"/>
  <c r="P34" i="41" s="1"/>
  <c r="W32" i="40"/>
  <c r="W32" i="41"/>
  <c r="U33" i="40"/>
  <c r="V33" i="40" s="1"/>
  <c r="E35" i="40"/>
  <c r="D34" i="40"/>
  <c r="I34" i="40"/>
  <c r="P34" i="40" s="1"/>
  <c r="R33" i="40"/>
  <c r="K24" i="40"/>
  <c r="L24" i="40" s="1"/>
  <c r="N24" i="40" s="1"/>
  <c r="Q24" i="40" s="1"/>
  <c r="D36" i="39"/>
  <c r="E37" i="39"/>
  <c r="I36" i="39"/>
  <c r="P36" i="39" s="1"/>
  <c r="U35" i="39"/>
  <c r="V35" i="39" s="1"/>
  <c r="K23" i="39"/>
  <c r="L23" i="39" s="1"/>
  <c r="N23" i="39" s="1"/>
  <c r="Q23" i="39" s="1"/>
  <c r="D35" i="38"/>
  <c r="I35" i="38"/>
  <c r="P35" i="38" s="1"/>
  <c r="E36" i="38"/>
  <c r="U34" i="38"/>
  <c r="V34" i="38" s="1"/>
  <c r="M23" i="38"/>
  <c r="D36" i="28"/>
  <c r="E37" i="28"/>
  <c r="I36" i="28"/>
  <c r="P36" i="28" s="1"/>
  <c r="U35" i="28"/>
  <c r="V35" i="28" s="1"/>
  <c r="M23" i="28"/>
  <c r="U34" i="27"/>
  <c r="V34" i="27" s="1"/>
  <c r="D35" i="27"/>
  <c r="I35" i="27"/>
  <c r="P35" i="27" s="1"/>
  <c r="E36" i="27"/>
  <c r="M23" i="27"/>
  <c r="M22" i="37"/>
  <c r="D36" i="37"/>
  <c r="E37" i="37"/>
  <c r="I36" i="37"/>
  <c r="P36" i="37" s="1"/>
  <c r="U35" i="37"/>
  <c r="V35" i="37" s="1"/>
  <c r="D35" i="25"/>
  <c r="E36" i="25"/>
  <c r="I35" i="25"/>
  <c r="P35" i="25" s="1"/>
  <c r="S34" i="25"/>
  <c r="U34" i="25"/>
  <c r="V34" i="25" s="1"/>
  <c r="R34" i="25"/>
  <c r="M23" i="25"/>
  <c r="W33" i="25"/>
  <c r="I36" i="36"/>
  <c r="P36" i="36" s="1"/>
  <c r="E37" i="36"/>
  <c r="D36" i="36"/>
  <c r="W32" i="26"/>
  <c r="U35" i="36"/>
  <c r="V35" i="36" s="1"/>
  <c r="M23" i="36"/>
  <c r="K24" i="35"/>
  <c r="L24" i="35" s="1"/>
  <c r="N24" i="35" s="1"/>
  <c r="Q24" i="35" s="1"/>
  <c r="U34" i="35"/>
  <c r="V34" i="35" s="1"/>
  <c r="E36" i="35"/>
  <c r="I35" i="35"/>
  <c r="P35" i="35" s="1"/>
  <c r="D35" i="35"/>
  <c r="E37" i="34"/>
  <c r="I36" i="34"/>
  <c r="P36" i="34" s="1"/>
  <c r="D36" i="34"/>
  <c r="U35" i="34"/>
  <c r="V35" i="34" s="1"/>
  <c r="M26" i="34"/>
  <c r="K26" i="34"/>
  <c r="L26" i="34" s="1"/>
  <c r="N26" i="34" s="1"/>
  <c r="Q26" i="34" s="1"/>
  <c r="M24" i="23"/>
  <c r="U33" i="23"/>
  <c r="V33" i="23" s="1"/>
  <c r="S33" i="23"/>
  <c r="E35" i="23"/>
  <c r="F34" i="23"/>
  <c r="G34" i="23" s="1"/>
  <c r="D34" i="23"/>
  <c r="I34" i="23"/>
  <c r="P34" i="23" s="1"/>
  <c r="R33" i="23"/>
  <c r="W32" i="23"/>
  <c r="D34" i="26"/>
  <c r="E35" i="26"/>
  <c r="I34" i="26"/>
  <c r="P34" i="26" s="1"/>
  <c r="R33" i="26"/>
  <c r="F32" i="26"/>
  <c r="G32" i="26" s="1"/>
  <c r="U33" i="26"/>
  <c r="V33" i="26" s="1"/>
  <c r="S33" i="26"/>
  <c r="M24" i="26"/>
  <c r="D34" i="24"/>
  <c r="I34" i="24"/>
  <c r="P34" i="24" s="1"/>
  <c r="E35" i="24"/>
  <c r="F34" i="24"/>
  <c r="G34" i="24" s="1"/>
  <c r="R33" i="24"/>
  <c r="W32" i="24"/>
  <c r="S33" i="24"/>
  <c r="U33" i="24"/>
  <c r="V33" i="24" s="1"/>
  <c r="K24" i="24"/>
  <c r="L24" i="24" s="1"/>
  <c r="N24" i="24" s="1"/>
  <c r="Q24" i="24" s="1"/>
  <c r="D36" i="32"/>
  <c r="E37" i="32"/>
  <c r="I36" i="32"/>
  <c r="P36" i="32" s="1"/>
  <c r="U35" i="32"/>
  <c r="V35" i="32" s="1"/>
  <c r="K23" i="32"/>
  <c r="L23" i="32" s="1"/>
  <c r="N23" i="32" s="1"/>
  <c r="Q23" i="32" s="1"/>
  <c r="I35" i="31"/>
  <c r="P35" i="31" s="1"/>
  <c r="E36" i="31"/>
  <c r="D35" i="31"/>
  <c r="U34" i="31"/>
  <c r="V34" i="31" s="1"/>
  <c r="M24" i="31"/>
  <c r="K24" i="31"/>
  <c r="L24" i="31" s="1"/>
  <c r="N24" i="31" s="1"/>
  <c r="Q24" i="31" s="1"/>
  <c r="M26" i="30"/>
  <c r="K26" i="30"/>
  <c r="L26" i="30" s="1"/>
  <c r="N26" i="30" s="1"/>
  <c r="Q26" i="30" s="1"/>
  <c r="E35" i="30"/>
  <c r="D34" i="30"/>
  <c r="I34" i="30"/>
  <c r="P34" i="30" s="1"/>
  <c r="U33" i="30"/>
  <c r="V33" i="30" s="1"/>
  <c r="I35" i="29"/>
  <c r="P35" i="29" s="1"/>
  <c r="D35" i="29"/>
  <c r="E36" i="29"/>
  <c r="U34" i="29"/>
  <c r="V34" i="29" s="1"/>
  <c r="M23" i="29"/>
  <c r="U35" i="45" l="1"/>
  <c r="V35" i="45" s="1"/>
  <c r="E37" i="45"/>
  <c r="I36" i="45"/>
  <c r="P36" i="45" s="1"/>
  <c r="D36" i="45"/>
  <c r="K24" i="45"/>
  <c r="L24" i="45" s="1"/>
  <c r="N24" i="45" s="1"/>
  <c r="Q24" i="45" s="1"/>
  <c r="U34" i="43"/>
  <c r="V34" i="43" s="1"/>
  <c r="K24" i="43"/>
  <c r="L24" i="43" s="1"/>
  <c r="N24" i="43" s="1"/>
  <c r="Q24" i="43" s="1"/>
  <c r="D35" i="43"/>
  <c r="I35" i="43"/>
  <c r="P35" i="43" s="1"/>
  <c r="E36" i="43"/>
  <c r="D36" i="42"/>
  <c r="E37" i="42"/>
  <c r="I36" i="42"/>
  <c r="P36" i="42" s="1"/>
  <c r="U35" i="42"/>
  <c r="V35" i="42" s="1"/>
  <c r="K24" i="42"/>
  <c r="L24" i="42" s="1"/>
  <c r="N24" i="42" s="1"/>
  <c r="Q24" i="42" s="1"/>
  <c r="D35" i="41"/>
  <c r="I35" i="41"/>
  <c r="P35" i="41" s="1"/>
  <c r="E36" i="41"/>
  <c r="U34" i="41"/>
  <c r="V34" i="41" s="1"/>
  <c r="M24" i="41"/>
  <c r="K24" i="41"/>
  <c r="L24" i="41" s="1"/>
  <c r="N24" i="41" s="1"/>
  <c r="Q24" i="41" s="1"/>
  <c r="U34" i="40"/>
  <c r="V34" i="40" s="1"/>
  <c r="D35" i="40"/>
  <c r="I35" i="40"/>
  <c r="P35" i="40" s="1"/>
  <c r="E36" i="40"/>
  <c r="M24" i="40"/>
  <c r="U36" i="39"/>
  <c r="V36" i="39" s="1"/>
  <c r="E38" i="39"/>
  <c r="D37" i="39"/>
  <c r="I37" i="39"/>
  <c r="P37" i="39" s="1"/>
  <c r="W34" i="25"/>
  <c r="M23" i="39"/>
  <c r="M24" i="38"/>
  <c r="K24" i="38"/>
  <c r="L24" i="38" s="1"/>
  <c r="N24" i="38" s="1"/>
  <c r="Q24" i="38" s="1"/>
  <c r="D36" i="38"/>
  <c r="I36" i="38"/>
  <c r="P36" i="38" s="1"/>
  <c r="E37" i="38"/>
  <c r="U35" i="38"/>
  <c r="V35" i="38" s="1"/>
  <c r="E38" i="28"/>
  <c r="D37" i="28"/>
  <c r="I37" i="28"/>
  <c r="P37" i="28" s="1"/>
  <c r="U36" i="28"/>
  <c r="V36" i="28" s="1"/>
  <c r="K24" i="28"/>
  <c r="L24" i="28" s="1"/>
  <c r="N24" i="28" s="1"/>
  <c r="Q24" i="28" s="1"/>
  <c r="D36" i="27"/>
  <c r="E37" i="27"/>
  <c r="I36" i="27"/>
  <c r="P36" i="27" s="1"/>
  <c r="U35" i="27"/>
  <c r="V35" i="27" s="1"/>
  <c r="K24" i="27"/>
  <c r="L24" i="27" s="1"/>
  <c r="N24" i="27" s="1"/>
  <c r="Q24" i="27" s="1"/>
  <c r="U36" i="37"/>
  <c r="V36" i="37" s="1"/>
  <c r="K23" i="37"/>
  <c r="L23" i="37" s="1"/>
  <c r="N23" i="37" s="1"/>
  <c r="Q23" i="37" s="1"/>
  <c r="D37" i="37"/>
  <c r="I37" i="37"/>
  <c r="P37" i="37" s="1"/>
  <c r="E38" i="37"/>
  <c r="R35" i="25"/>
  <c r="U35" i="25"/>
  <c r="V35" i="25" s="1"/>
  <c r="S35" i="25"/>
  <c r="D36" i="25"/>
  <c r="E37" i="25"/>
  <c r="I36" i="25"/>
  <c r="P36" i="25" s="1"/>
  <c r="K24" i="25"/>
  <c r="L24" i="25" s="1"/>
  <c r="N24" i="25" s="1"/>
  <c r="Q24" i="25" s="1"/>
  <c r="W33" i="23"/>
  <c r="I37" i="36"/>
  <c r="P37" i="36" s="1"/>
  <c r="E38" i="36"/>
  <c r="D37" i="36"/>
  <c r="U36" i="36"/>
  <c r="V36" i="36" s="1"/>
  <c r="M24" i="36"/>
  <c r="K24" i="36"/>
  <c r="L24" i="36" s="1"/>
  <c r="N24" i="36" s="1"/>
  <c r="Q24" i="36" s="1"/>
  <c r="U35" i="35"/>
  <c r="V35" i="35" s="1"/>
  <c r="D36" i="35"/>
  <c r="E37" i="35"/>
  <c r="I36" i="35"/>
  <c r="P36" i="35" s="1"/>
  <c r="M24" i="35"/>
  <c r="M27" i="34"/>
  <c r="K27" i="34"/>
  <c r="L27" i="34" s="1"/>
  <c r="N27" i="34" s="1"/>
  <c r="Q27" i="34" s="1"/>
  <c r="U36" i="34"/>
  <c r="V36" i="34" s="1"/>
  <c r="D37" i="34"/>
  <c r="E38" i="34"/>
  <c r="I37" i="34"/>
  <c r="P37" i="34" s="1"/>
  <c r="W33" i="26"/>
  <c r="U34" i="23"/>
  <c r="V34" i="23" s="1"/>
  <c r="S34" i="23"/>
  <c r="R34" i="23"/>
  <c r="E36" i="23"/>
  <c r="I35" i="23"/>
  <c r="P35" i="23" s="1"/>
  <c r="D35" i="23"/>
  <c r="F35" i="23"/>
  <c r="G35" i="23" s="1"/>
  <c r="K25" i="23"/>
  <c r="L25" i="23" s="1"/>
  <c r="N25" i="23" s="1"/>
  <c r="Q25" i="23" s="1"/>
  <c r="U34" i="26"/>
  <c r="V34" i="26" s="1"/>
  <c r="D35" i="26"/>
  <c r="E36" i="26"/>
  <c r="I35" i="26"/>
  <c r="P35" i="26" s="1"/>
  <c r="K25" i="26"/>
  <c r="L25" i="26" s="1"/>
  <c r="N25" i="26" s="1"/>
  <c r="Q25" i="26" s="1"/>
  <c r="R34" i="26"/>
  <c r="F33" i="26"/>
  <c r="G33" i="26" s="1"/>
  <c r="R34" i="24"/>
  <c r="M24" i="24"/>
  <c r="U34" i="24"/>
  <c r="V34" i="24" s="1"/>
  <c r="S34" i="24"/>
  <c r="D35" i="24"/>
  <c r="I35" i="24"/>
  <c r="P35" i="24" s="1"/>
  <c r="E36" i="24"/>
  <c r="W33" i="24"/>
  <c r="E38" i="32"/>
  <c r="D37" i="32"/>
  <c r="I37" i="32"/>
  <c r="P37" i="32" s="1"/>
  <c r="U36" i="32"/>
  <c r="V36" i="32" s="1"/>
  <c r="M23" i="32"/>
  <c r="K25" i="31"/>
  <c r="L25" i="31" s="1"/>
  <c r="N25" i="31" s="1"/>
  <c r="Q25" i="31" s="1"/>
  <c r="D36" i="31"/>
  <c r="E37" i="31"/>
  <c r="I36" i="31"/>
  <c r="P36" i="31" s="1"/>
  <c r="U35" i="31"/>
  <c r="V35" i="31" s="1"/>
  <c r="D35" i="30"/>
  <c r="I35" i="30"/>
  <c r="P35" i="30" s="1"/>
  <c r="E36" i="30"/>
  <c r="U34" i="30"/>
  <c r="V34" i="30" s="1"/>
  <c r="M27" i="30"/>
  <c r="K27" i="30"/>
  <c r="L27" i="30" s="1"/>
  <c r="N27" i="30" s="1"/>
  <c r="Q27" i="30" s="1"/>
  <c r="K24" i="29"/>
  <c r="L24" i="29" s="1"/>
  <c r="N24" i="29" s="1"/>
  <c r="Q24" i="29" s="1"/>
  <c r="U35" i="29"/>
  <c r="V35" i="29" s="1"/>
  <c r="D36" i="29"/>
  <c r="E37" i="29"/>
  <c r="I36" i="29"/>
  <c r="P36" i="29" s="1"/>
  <c r="D37" i="45" l="1"/>
  <c r="I37" i="45"/>
  <c r="P37" i="45" s="1"/>
  <c r="E38" i="45"/>
  <c r="U36" i="45"/>
  <c r="V36" i="45" s="1"/>
  <c r="M24" i="45"/>
  <c r="D36" i="43"/>
  <c r="E37" i="43"/>
  <c r="I36" i="43"/>
  <c r="P36" i="43" s="1"/>
  <c r="U35" i="43"/>
  <c r="V35" i="43" s="1"/>
  <c r="M24" i="43"/>
  <c r="U36" i="42"/>
  <c r="V36" i="42" s="1"/>
  <c r="I37" i="42"/>
  <c r="P37" i="42" s="1"/>
  <c r="E38" i="42"/>
  <c r="D37" i="42"/>
  <c r="M24" i="42"/>
  <c r="K25" i="41"/>
  <c r="L25" i="41" s="1"/>
  <c r="N25" i="41" s="1"/>
  <c r="Q25" i="41" s="1"/>
  <c r="U35" i="41"/>
  <c r="V35" i="41" s="1"/>
  <c r="D36" i="41"/>
  <c r="I36" i="41"/>
  <c r="P36" i="41" s="1"/>
  <c r="E37" i="41"/>
  <c r="D36" i="40"/>
  <c r="E37" i="40"/>
  <c r="I36" i="40"/>
  <c r="P36" i="40" s="1"/>
  <c r="K25" i="40"/>
  <c r="L25" i="40" s="1"/>
  <c r="N25" i="40" s="1"/>
  <c r="Q25" i="40" s="1"/>
  <c r="U35" i="40"/>
  <c r="V35" i="40" s="1"/>
  <c r="U37" i="39"/>
  <c r="V37" i="39" s="1"/>
  <c r="I38" i="39"/>
  <c r="P38" i="39" s="1"/>
  <c r="D38" i="39"/>
  <c r="E39" i="39"/>
  <c r="K24" i="39"/>
  <c r="L24" i="39" s="1"/>
  <c r="N24" i="39" s="1"/>
  <c r="Q24" i="39" s="1"/>
  <c r="E38" i="38"/>
  <c r="D37" i="38"/>
  <c r="I37" i="38"/>
  <c r="P37" i="38" s="1"/>
  <c r="U36" i="38"/>
  <c r="V36" i="38" s="1"/>
  <c r="K25" i="38"/>
  <c r="L25" i="38" s="1"/>
  <c r="N25" i="38" s="1"/>
  <c r="Q25" i="38" s="1"/>
  <c r="I38" i="28"/>
  <c r="P38" i="28" s="1"/>
  <c r="D38" i="28"/>
  <c r="E39" i="28"/>
  <c r="U37" i="28"/>
  <c r="V37" i="28" s="1"/>
  <c r="M24" i="28"/>
  <c r="U36" i="27"/>
  <c r="V36" i="27" s="1"/>
  <c r="E38" i="27"/>
  <c r="I37" i="27"/>
  <c r="P37" i="27" s="1"/>
  <c r="D37" i="27"/>
  <c r="M24" i="27"/>
  <c r="U37" i="37"/>
  <c r="V37" i="37" s="1"/>
  <c r="M23" i="37"/>
  <c r="I38" i="37"/>
  <c r="P38" i="37" s="1"/>
  <c r="E39" i="37"/>
  <c r="D38" i="37"/>
  <c r="U36" i="25"/>
  <c r="V36" i="25" s="1"/>
  <c r="R36" i="25"/>
  <c r="F35" i="25"/>
  <c r="G35" i="25" s="1"/>
  <c r="W35" i="25"/>
  <c r="I37" i="25"/>
  <c r="P37" i="25" s="1"/>
  <c r="D37" i="25"/>
  <c r="E38" i="25"/>
  <c r="M24" i="25"/>
  <c r="I38" i="36"/>
  <c r="P38" i="36" s="1"/>
  <c r="E39" i="36"/>
  <c r="D38" i="36"/>
  <c r="U37" i="36"/>
  <c r="V37" i="36" s="1"/>
  <c r="M25" i="36"/>
  <c r="K25" i="36"/>
  <c r="L25" i="36" s="1"/>
  <c r="N25" i="36" s="1"/>
  <c r="Q25" i="36" s="1"/>
  <c r="K25" i="35"/>
  <c r="L25" i="35" s="1"/>
  <c r="N25" i="35" s="1"/>
  <c r="Q25" i="35" s="1"/>
  <c r="U36" i="35"/>
  <c r="V36" i="35" s="1"/>
  <c r="I37" i="35"/>
  <c r="P37" i="35" s="1"/>
  <c r="D37" i="35"/>
  <c r="E38" i="35"/>
  <c r="U37" i="34"/>
  <c r="V37" i="34" s="1"/>
  <c r="M28" i="34"/>
  <c r="K28" i="34"/>
  <c r="L28" i="34" s="1"/>
  <c r="N28" i="34" s="1"/>
  <c r="Q28" i="34" s="1"/>
  <c r="I38" i="34"/>
  <c r="P38" i="34" s="1"/>
  <c r="D38" i="34"/>
  <c r="E39" i="34"/>
  <c r="S35" i="23"/>
  <c r="U35" i="23"/>
  <c r="V35" i="23" s="1"/>
  <c r="D36" i="23"/>
  <c r="I36" i="23"/>
  <c r="P36" i="23" s="1"/>
  <c r="F36" i="23"/>
  <c r="G36" i="23" s="1"/>
  <c r="E37" i="23"/>
  <c r="R35" i="23"/>
  <c r="M25" i="23"/>
  <c r="W34" i="23"/>
  <c r="M25" i="26"/>
  <c r="I36" i="26"/>
  <c r="P36" i="26" s="1"/>
  <c r="E37" i="26"/>
  <c r="D36" i="26"/>
  <c r="U35" i="26"/>
  <c r="V35" i="26" s="1"/>
  <c r="R35" i="24"/>
  <c r="U35" i="24"/>
  <c r="V35" i="24" s="1"/>
  <c r="S35" i="24"/>
  <c r="F35" i="24" s="1"/>
  <c r="G35" i="24" s="1"/>
  <c r="E37" i="24"/>
  <c r="D36" i="24"/>
  <c r="I36" i="24"/>
  <c r="P36" i="24" s="1"/>
  <c r="W34" i="24"/>
  <c r="K25" i="24"/>
  <c r="L25" i="24" s="1"/>
  <c r="N25" i="24" s="1"/>
  <c r="Q25" i="24" s="1"/>
  <c r="U37" i="32"/>
  <c r="V37" i="32" s="1"/>
  <c r="I38" i="32"/>
  <c r="P38" i="32" s="1"/>
  <c r="E39" i="32"/>
  <c r="D38" i="32"/>
  <c r="M24" i="32"/>
  <c r="K24" i="32"/>
  <c r="L24" i="32" s="1"/>
  <c r="N24" i="32" s="1"/>
  <c r="Q24" i="32" s="1"/>
  <c r="U36" i="31"/>
  <c r="V36" i="31" s="1"/>
  <c r="E38" i="31"/>
  <c r="I37" i="31"/>
  <c r="P37" i="31" s="1"/>
  <c r="D37" i="31"/>
  <c r="M25" i="31"/>
  <c r="M28" i="30"/>
  <c r="K28" i="30"/>
  <c r="L28" i="30" s="1"/>
  <c r="N28" i="30" s="1"/>
  <c r="Q28" i="30" s="1"/>
  <c r="D36" i="30"/>
  <c r="E37" i="30"/>
  <c r="I36" i="30"/>
  <c r="P36" i="30" s="1"/>
  <c r="U35" i="30"/>
  <c r="V35" i="30" s="1"/>
  <c r="U36" i="29"/>
  <c r="V36" i="29" s="1"/>
  <c r="E38" i="29"/>
  <c r="D37" i="29"/>
  <c r="I37" i="29"/>
  <c r="P37" i="29" s="1"/>
  <c r="M24" i="29"/>
  <c r="I38" i="45" l="1"/>
  <c r="P38" i="45" s="1"/>
  <c r="D38" i="45"/>
  <c r="E39" i="45"/>
  <c r="U37" i="45"/>
  <c r="V37" i="45" s="1"/>
  <c r="K25" i="45"/>
  <c r="L25" i="45" s="1"/>
  <c r="N25" i="45" s="1"/>
  <c r="Q25" i="45" s="1"/>
  <c r="E38" i="43"/>
  <c r="D37" i="43"/>
  <c r="I37" i="43"/>
  <c r="P37" i="43" s="1"/>
  <c r="K25" i="43"/>
  <c r="L25" i="43" s="1"/>
  <c r="N25" i="43" s="1"/>
  <c r="Q25" i="43" s="1"/>
  <c r="U36" i="43"/>
  <c r="V36" i="43" s="1"/>
  <c r="I38" i="42"/>
  <c r="P38" i="42" s="1"/>
  <c r="D38" i="42"/>
  <c r="E39" i="42"/>
  <c r="U37" i="42"/>
  <c r="V37" i="42" s="1"/>
  <c r="M25" i="42"/>
  <c r="K25" i="42"/>
  <c r="L25" i="42" s="1"/>
  <c r="N25" i="42" s="1"/>
  <c r="Q25" i="42" s="1"/>
  <c r="U36" i="41"/>
  <c r="V36" i="41" s="1"/>
  <c r="M25" i="41"/>
  <c r="D37" i="41"/>
  <c r="E38" i="41"/>
  <c r="I37" i="41"/>
  <c r="P37" i="41" s="1"/>
  <c r="U36" i="40"/>
  <c r="V36" i="40" s="1"/>
  <c r="M25" i="40"/>
  <c r="E38" i="40"/>
  <c r="D37" i="40"/>
  <c r="I37" i="40"/>
  <c r="P37" i="40" s="1"/>
  <c r="M24" i="39"/>
  <c r="U38" i="39"/>
  <c r="V38" i="39" s="1"/>
  <c r="I39" i="39"/>
  <c r="P39" i="39" s="1"/>
  <c r="D39" i="39"/>
  <c r="E40" i="39"/>
  <c r="U37" i="38"/>
  <c r="V37" i="38" s="1"/>
  <c r="M25" i="38"/>
  <c r="I38" i="38"/>
  <c r="P38" i="38" s="1"/>
  <c r="E39" i="38"/>
  <c r="D38" i="38"/>
  <c r="U38" i="28"/>
  <c r="V38" i="28" s="1"/>
  <c r="I39" i="28"/>
  <c r="P39" i="28" s="1"/>
  <c r="D39" i="28"/>
  <c r="E40" i="28"/>
  <c r="M25" i="28"/>
  <c r="K25" i="28"/>
  <c r="L25" i="28" s="1"/>
  <c r="N25" i="28" s="1"/>
  <c r="Q25" i="28" s="1"/>
  <c r="U37" i="27"/>
  <c r="V37" i="27" s="1"/>
  <c r="I38" i="27"/>
  <c r="P38" i="27" s="1"/>
  <c r="D38" i="27"/>
  <c r="E39" i="27"/>
  <c r="M25" i="27"/>
  <c r="K25" i="27"/>
  <c r="L25" i="27" s="1"/>
  <c r="N25" i="27" s="1"/>
  <c r="Q25" i="27" s="1"/>
  <c r="I39" i="37"/>
  <c r="P39" i="37" s="1"/>
  <c r="D39" i="37"/>
  <c r="E40" i="37"/>
  <c r="U38" i="37"/>
  <c r="V38" i="37" s="1"/>
  <c r="K24" i="37"/>
  <c r="L24" i="37" s="1"/>
  <c r="N24" i="37" s="1"/>
  <c r="Q24" i="37" s="1"/>
  <c r="U37" i="25"/>
  <c r="V37" i="25" s="1"/>
  <c r="K25" i="25"/>
  <c r="L25" i="25" s="1"/>
  <c r="N25" i="25" s="1"/>
  <c r="Q25" i="25" s="1"/>
  <c r="E39" i="25"/>
  <c r="I38" i="25"/>
  <c r="P38" i="25" s="1"/>
  <c r="D38" i="25"/>
  <c r="K26" i="36"/>
  <c r="L26" i="36" s="1"/>
  <c r="N26" i="36" s="1"/>
  <c r="Q26" i="36" s="1"/>
  <c r="E40" i="36"/>
  <c r="D39" i="36"/>
  <c r="I39" i="36"/>
  <c r="P39" i="36" s="1"/>
  <c r="U38" i="36"/>
  <c r="V38" i="36" s="1"/>
  <c r="I38" i="35"/>
  <c r="P38" i="35" s="1"/>
  <c r="E39" i="35"/>
  <c r="D38" i="35"/>
  <c r="U37" i="35"/>
  <c r="V37" i="35" s="1"/>
  <c r="M25" i="35"/>
  <c r="U38" i="34"/>
  <c r="V38" i="34" s="1"/>
  <c r="K29" i="34"/>
  <c r="L29" i="34" s="1"/>
  <c r="N29" i="34" s="1"/>
  <c r="Q29" i="34" s="1"/>
  <c r="W35" i="23"/>
  <c r="E40" i="34"/>
  <c r="I39" i="34"/>
  <c r="P39" i="34" s="1"/>
  <c r="D39" i="34"/>
  <c r="D37" i="23"/>
  <c r="I37" i="23"/>
  <c r="P37" i="23" s="1"/>
  <c r="E38" i="23"/>
  <c r="F37" i="23"/>
  <c r="G37" i="23" s="1"/>
  <c r="U36" i="23"/>
  <c r="V36" i="23" s="1"/>
  <c r="S36" i="23"/>
  <c r="K26" i="23"/>
  <c r="L26" i="23" s="1"/>
  <c r="N26" i="23" s="1"/>
  <c r="Q26" i="23" s="1"/>
  <c r="R36" i="23"/>
  <c r="I37" i="26"/>
  <c r="P37" i="26" s="1"/>
  <c r="D37" i="26"/>
  <c r="E38" i="26"/>
  <c r="U36" i="26"/>
  <c r="V36" i="26" s="1"/>
  <c r="M26" i="26"/>
  <c r="K26" i="26"/>
  <c r="L26" i="26" s="1"/>
  <c r="N26" i="26" s="1"/>
  <c r="Q26" i="26" s="1"/>
  <c r="U36" i="24"/>
  <c r="V36" i="24" s="1"/>
  <c r="M25" i="24"/>
  <c r="I37" i="24"/>
  <c r="P37" i="24" s="1"/>
  <c r="E38" i="24"/>
  <c r="D37" i="24"/>
  <c r="R36" i="24"/>
  <c r="W35" i="24"/>
  <c r="K25" i="32"/>
  <c r="L25" i="32" s="1"/>
  <c r="N25" i="32" s="1"/>
  <c r="Q25" i="32" s="1"/>
  <c r="U38" i="32"/>
  <c r="V38" i="32" s="1"/>
  <c r="I39" i="32"/>
  <c r="P39" i="32" s="1"/>
  <c r="D39" i="32"/>
  <c r="E40" i="32"/>
  <c r="I38" i="31"/>
  <c r="P38" i="31" s="1"/>
  <c r="E39" i="31"/>
  <c r="D38" i="31"/>
  <c r="U37" i="31"/>
  <c r="V37" i="31" s="1"/>
  <c r="M26" i="31"/>
  <c r="K26" i="31"/>
  <c r="L26" i="31" s="1"/>
  <c r="N26" i="31" s="1"/>
  <c r="Q26" i="31" s="1"/>
  <c r="I37" i="30"/>
  <c r="P37" i="30" s="1"/>
  <c r="E38" i="30"/>
  <c r="D37" i="30"/>
  <c r="U36" i="30"/>
  <c r="V36" i="30" s="1"/>
  <c r="M29" i="30"/>
  <c r="K29" i="30"/>
  <c r="L29" i="30" s="1"/>
  <c r="N29" i="30" s="1"/>
  <c r="Q29" i="30" s="1"/>
  <c r="M25" i="29"/>
  <c r="K25" i="29"/>
  <c r="L25" i="29" s="1"/>
  <c r="N25" i="29" s="1"/>
  <c r="Q25" i="29" s="1"/>
  <c r="U37" i="29"/>
  <c r="V37" i="29" s="1"/>
  <c r="I38" i="29"/>
  <c r="P38" i="29" s="1"/>
  <c r="D38" i="29"/>
  <c r="E39" i="29"/>
  <c r="U38" i="45" l="1"/>
  <c r="V38" i="45" s="1"/>
  <c r="I39" i="45"/>
  <c r="P39" i="45" s="1"/>
  <c r="D39" i="45"/>
  <c r="E40" i="45"/>
  <c r="M25" i="45"/>
  <c r="M25" i="43"/>
  <c r="I38" i="43"/>
  <c r="P38" i="43" s="1"/>
  <c r="D38" i="43"/>
  <c r="E39" i="43"/>
  <c r="U37" i="43"/>
  <c r="V37" i="43" s="1"/>
  <c r="K26" i="42"/>
  <c r="L26" i="42" s="1"/>
  <c r="N26" i="42" s="1"/>
  <c r="Q26" i="42" s="1"/>
  <c r="I39" i="42"/>
  <c r="P39" i="42" s="1"/>
  <c r="E40" i="42"/>
  <c r="D39" i="42"/>
  <c r="U38" i="42"/>
  <c r="V38" i="42" s="1"/>
  <c r="U37" i="41"/>
  <c r="V37" i="41" s="1"/>
  <c r="K26" i="41"/>
  <c r="L26" i="41" s="1"/>
  <c r="N26" i="41" s="1"/>
  <c r="Q26" i="41" s="1"/>
  <c r="E39" i="41"/>
  <c r="I38" i="41"/>
  <c r="P38" i="41" s="1"/>
  <c r="D38" i="41"/>
  <c r="I38" i="40"/>
  <c r="P38" i="40" s="1"/>
  <c r="D38" i="40"/>
  <c r="E39" i="40"/>
  <c r="K26" i="40"/>
  <c r="L26" i="40" s="1"/>
  <c r="N26" i="40" s="1"/>
  <c r="Q26" i="40" s="1"/>
  <c r="U37" i="40"/>
  <c r="V37" i="40" s="1"/>
  <c r="I40" i="39"/>
  <c r="P40" i="39" s="1"/>
  <c r="E41" i="39"/>
  <c r="D40" i="39"/>
  <c r="K25" i="39"/>
  <c r="L25" i="39" s="1"/>
  <c r="N25" i="39" s="1"/>
  <c r="Q25" i="39" s="1"/>
  <c r="U39" i="39"/>
  <c r="V39" i="39" s="1"/>
  <c r="I39" i="38"/>
  <c r="P39" i="38" s="1"/>
  <c r="D39" i="38"/>
  <c r="E40" i="38"/>
  <c r="U38" i="38"/>
  <c r="V38" i="38" s="1"/>
  <c r="K26" i="38"/>
  <c r="L26" i="38" s="1"/>
  <c r="N26" i="38" s="1"/>
  <c r="Q26" i="38" s="1"/>
  <c r="I40" i="28"/>
  <c r="P40" i="28" s="1"/>
  <c r="E41" i="28"/>
  <c r="D40" i="28"/>
  <c r="U39" i="28"/>
  <c r="V39" i="28" s="1"/>
  <c r="M26" i="28"/>
  <c r="K26" i="28"/>
  <c r="L26" i="28" s="1"/>
  <c r="N26" i="28" s="1"/>
  <c r="Q26" i="28" s="1"/>
  <c r="I39" i="27"/>
  <c r="P39" i="27" s="1"/>
  <c r="D39" i="27"/>
  <c r="E40" i="27"/>
  <c r="K26" i="27"/>
  <c r="L26" i="27" s="1"/>
  <c r="N26" i="27" s="1"/>
  <c r="Q26" i="27" s="1"/>
  <c r="U38" i="27"/>
  <c r="V38" i="27" s="1"/>
  <c r="M24" i="37"/>
  <c r="E41" i="37"/>
  <c r="D40" i="37"/>
  <c r="I40" i="37"/>
  <c r="P40" i="37" s="1"/>
  <c r="U39" i="37"/>
  <c r="V39" i="37" s="1"/>
  <c r="U38" i="25"/>
  <c r="V38" i="25" s="1"/>
  <c r="I39" i="25"/>
  <c r="P39" i="25" s="1"/>
  <c r="E40" i="25"/>
  <c r="D39" i="25"/>
  <c r="M25" i="25"/>
  <c r="E41" i="36"/>
  <c r="D40" i="36"/>
  <c r="I40" i="36"/>
  <c r="P40" i="36" s="1"/>
  <c r="U39" i="36"/>
  <c r="V39" i="36" s="1"/>
  <c r="M26" i="36"/>
  <c r="K26" i="35"/>
  <c r="L26" i="35" s="1"/>
  <c r="N26" i="35" s="1"/>
  <c r="Q26" i="35" s="1"/>
  <c r="E40" i="35"/>
  <c r="I39" i="35"/>
  <c r="P39" i="35" s="1"/>
  <c r="D39" i="35"/>
  <c r="U38" i="35"/>
  <c r="V38" i="35" s="1"/>
  <c r="M29" i="34"/>
  <c r="E41" i="34"/>
  <c r="I40" i="34"/>
  <c r="P40" i="34" s="1"/>
  <c r="D40" i="34"/>
  <c r="U39" i="34"/>
  <c r="V39" i="34" s="1"/>
  <c r="R37" i="23"/>
  <c r="W36" i="23"/>
  <c r="M26" i="23"/>
  <c r="S37" i="23"/>
  <c r="U37" i="23"/>
  <c r="V37" i="23" s="1"/>
  <c r="I38" i="23"/>
  <c r="P38" i="23" s="1"/>
  <c r="E39" i="23"/>
  <c r="D38" i="23"/>
  <c r="K27" i="26"/>
  <c r="L27" i="26" s="1"/>
  <c r="N27" i="26" s="1"/>
  <c r="Q27" i="26" s="1"/>
  <c r="I38" i="26"/>
  <c r="P38" i="26" s="1"/>
  <c r="E39" i="26"/>
  <c r="D38" i="26"/>
  <c r="U37" i="26"/>
  <c r="V37" i="26" s="1"/>
  <c r="U37" i="24"/>
  <c r="V37" i="24" s="1"/>
  <c r="I38" i="24"/>
  <c r="P38" i="24" s="1"/>
  <c r="D38" i="24"/>
  <c r="E39" i="24"/>
  <c r="M26" i="24"/>
  <c r="K26" i="24"/>
  <c r="L26" i="24" s="1"/>
  <c r="N26" i="24" s="1"/>
  <c r="Q26" i="24" s="1"/>
  <c r="U39" i="32"/>
  <c r="V39" i="32" s="1"/>
  <c r="M25" i="32"/>
  <c r="E41" i="32"/>
  <c r="D40" i="32"/>
  <c r="I40" i="32"/>
  <c r="P40" i="32" s="1"/>
  <c r="M27" i="31"/>
  <c r="K27" i="31"/>
  <c r="L27" i="31" s="1"/>
  <c r="N27" i="31" s="1"/>
  <c r="Q27" i="31" s="1"/>
  <c r="D39" i="31"/>
  <c r="E40" i="31"/>
  <c r="I39" i="31"/>
  <c r="P39" i="31" s="1"/>
  <c r="U38" i="31"/>
  <c r="V38" i="31" s="1"/>
  <c r="M30" i="30"/>
  <c r="K30" i="30"/>
  <c r="L30" i="30" s="1"/>
  <c r="N30" i="30" s="1"/>
  <c r="Q30" i="30" s="1"/>
  <c r="S30" i="30" s="1"/>
  <c r="I38" i="30"/>
  <c r="P38" i="30" s="1"/>
  <c r="D38" i="30"/>
  <c r="E39" i="30"/>
  <c r="U37" i="30"/>
  <c r="V37" i="30" s="1"/>
  <c r="D39" i="29"/>
  <c r="E40" i="29"/>
  <c r="I39" i="29"/>
  <c r="P39" i="29" s="1"/>
  <c r="U38" i="29"/>
  <c r="V38" i="29" s="1"/>
  <c r="M26" i="29"/>
  <c r="K26" i="29"/>
  <c r="L26" i="29" s="1"/>
  <c r="N26" i="29" s="1"/>
  <c r="Q26" i="29" s="1"/>
  <c r="E41" i="45" l="1"/>
  <c r="D40" i="45"/>
  <c r="I40" i="45"/>
  <c r="P40" i="45" s="1"/>
  <c r="U39" i="45"/>
  <c r="V39" i="45" s="1"/>
  <c r="K26" i="45"/>
  <c r="L26" i="45" s="1"/>
  <c r="N26" i="45" s="1"/>
  <c r="Q26" i="45" s="1"/>
  <c r="I39" i="43"/>
  <c r="P39" i="43" s="1"/>
  <c r="D39" i="43"/>
  <c r="E40" i="43"/>
  <c r="U38" i="43"/>
  <c r="V38" i="43" s="1"/>
  <c r="M26" i="43"/>
  <c r="K26" i="43"/>
  <c r="L26" i="43" s="1"/>
  <c r="N26" i="43" s="1"/>
  <c r="Q26" i="43" s="1"/>
  <c r="I40" i="42"/>
  <c r="P40" i="42" s="1"/>
  <c r="E41" i="42"/>
  <c r="D40" i="42"/>
  <c r="U39" i="42"/>
  <c r="V39" i="42" s="1"/>
  <c r="M26" i="42"/>
  <c r="U38" i="41"/>
  <c r="V38" i="41" s="1"/>
  <c r="I39" i="41"/>
  <c r="P39" i="41" s="1"/>
  <c r="E40" i="41"/>
  <c r="D39" i="41"/>
  <c r="M26" i="41"/>
  <c r="M26" i="40"/>
  <c r="U38" i="40"/>
  <c r="V38" i="40" s="1"/>
  <c r="I39" i="40"/>
  <c r="P39" i="40" s="1"/>
  <c r="D39" i="40"/>
  <c r="E40" i="40"/>
  <c r="M25" i="39"/>
  <c r="E42" i="39"/>
  <c r="I41" i="39"/>
  <c r="P41" i="39" s="1"/>
  <c r="D41" i="39"/>
  <c r="U40" i="39"/>
  <c r="V40" i="39" s="1"/>
  <c r="M26" i="38"/>
  <c r="I40" i="38"/>
  <c r="P40" i="38" s="1"/>
  <c r="E41" i="38"/>
  <c r="D40" i="38"/>
  <c r="U39" i="38"/>
  <c r="V39" i="38" s="1"/>
  <c r="E42" i="28"/>
  <c r="I41" i="28"/>
  <c r="P41" i="28" s="1"/>
  <c r="D41" i="28"/>
  <c r="U40" i="28"/>
  <c r="V40" i="28" s="1"/>
  <c r="M27" i="28"/>
  <c r="K27" i="28"/>
  <c r="L27" i="28" s="1"/>
  <c r="N27" i="28" s="1"/>
  <c r="Q27" i="28" s="1"/>
  <c r="M26" i="27"/>
  <c r="I40" i="27"/>
  <c r="P40" i="27" s="1"/>
  <c r="E41" i="27"/>
  <c r="D40" i="27"/>
  <c r="U39" i="27"/>
  <c r="V39" i="27" s="1"/>
  <c r="U40" i="37"/>
  <c r="V40" i="37" s="1"/>
  <c r="E42" i="37"/>
  <c r="I41" i="37"/>
  <c r="P41" i="37" s="1"/>
  <c r="D41" i="37"/>
  <c r="M25" i="37"/>
  <c r="K25" i="37"/>
  <c r="L25" i="37" s="1"/>
  <c r="N25" i="37" s="1"/>
  <c r="Q25" i="37" s="1"/>
  <c r="K26" i="25"/>
  <c r="L26" i="25" s="1"/>
  <c r="N26" i="25" s="1"/>
  <c r="Q26" i="25" s="1"/>
  <c r="E41" i="25"/>
  <c r="I40" i="25"/>
  <c r="P40" i="25" s="1"/>
  <c r="D40" i="25"/>
  <c r="U39" i="25"/>
  <c r="V39" i="25" s="1"/>
  <c r="U40" i="36"/>
  <c r="V40" i="36" s="1"/>
  <c r="D41" i="36"/>
  <c r="I41" i="36"/>
  <c r="P41" i="36" s="1"/>
  <c r="E42" i="36"/>
  <c r="M27" i="36"/>
  <c r="K27" i="36"/>
  <c r="L27" i="36" s="1"/>
  <c r="N27" i="36" s="1"/>
  <c r="Q27" i="36" s="1"/>
  <c r="E41" i="35"/>
  <c r="I40" i="35"/>
  <c r="P40" i="35" s="1"/>
  <c r="D40" i="35"/>
  <c r="U39" i="35"/>
  <c r="V39" i="35" s="1"/>
  <c r="M26" i="35"/>
  <c r="W37" i="23"/>
  <c r="U40" i="34"/>
  <c r="V40" i="34" s="1"/>
  <c r="D41" i="34"/>
  <c r="E42" i="34"/>
  <c r="I41" i="34"/>
  <c r="P41" i="34" s="1"/>
  <c r="M30" i="34"/>
  <c r="K30" i="34"/>
  <c r="L30" i="34" s="1"/>
  <c r="N30" i="34" s="1"/>
  <c r="Q30" i="34" s="1"/>
  <c r="R38" i="23"/>
  <c r="I39" i="23"/>
  <c r="P39" i="23" s="1"/>
  <c r="D39" i="23"/>
  <c r="E40" i="23"/>
  <c r="K27" i="23"/>
  <c r="L27" i="23" s="1"/>
  <c r="N27" i="23" s="1"/>
  <c r="Q27" i="23" s="1"/>
  <c r="U38" i="23"/>
  <c r="V38" i="23" s="1"/>
  <c r="S38" i="23"/>
  <c r="F38" i="23" s="1"/>
  <c r="G38" i="23" s="1"/>
  <c r="I39" i="26"/>
  <c r="P39" i="26" s="1"/>
  <c r="E40" i="26"/>
  <c r="D39" i="26"/>
  <c r="U38" i="26"/>
  <c r="V38" i="26" s="1"/>
  <c r="M27" i="26"/>
  <c r="K27" i="24"/>
  <c r="L27" i="24" s="1"/>
  <c r="N27" i="24" s="1"/>
  <c r="Q27" i="24" s="1"/>
  <c r="I39" i="24"/>
  <c r="P39" i="24" s="1"/>
  <c r="E40" i="24"/>
  <c r="D39" i="24"/>
  <c r="U38" i="24"/>
  <c r="V38" i="24" s="1"/>
  <c r="K26" i="32"/>
  <c r="L26" i="32" s="1"/>
  <c r="N26" i="32" s="1"/>
  <c r="Q26" i="32" s="1"/>
  <c r="U40" i="32"/>
  <c r="V40" i="32" s="1"/>
  <c r="E42" i="32"/>
  <c r="I41" i="32"/>
  <c r="P41" i="32" s="1"/>
  <c r="D41" i="32"/>
  <c r="U39" i="31"/>
  <c r="V39" i="31" s="1"/>
  <c r="I40" i="31"/>
  <c r="P40" i="31" s="1"/>
  <c r="E41" i="31"/>
  <c r="D40" i="31"/>
  <c r="M28" i="31"/>
  <c r="K28" i="31"/>
  <c r="L28" i="31" s="1"/>
  <c r="N28" i="31" s="1"/>
  <c r="Q28" i="31" s="1"/>
  <c r="I39" i="30"/>
  <c r="P39" i="30" s="1"/>
  <c r="E40" i="30"/>
  <c r="D39" i="30"/>
  <c r="U38" i="30"/>
  <c r="V38" i="30" s="1"/>
  <c r="R31" i="30"/>
  <c r="F30" i="30"/>
  <c r="G30" i="30" s="1"/>
  <c r="W30" i="30"/>
  <c r="K31" i="30"/>
  <c r="L31" i="30" s="1"/>
  <c r="N31" i="30" s="1"/>
  <c r="Q31" i="30" s="1"/>
  <c r="K27" i="29"/>
  <c r="L27" i="29" s="1"/>
  <c r="N27" i="29" s="1"/>
  <c r="Q27" i="29" s="1"/>
  <c r="U39" i="29"/>
  <c r="V39" i="29" s="1"/>
  <c r="I40" i="29"/>
  <c r="P40" i="29" s="1"/>
  <c r="E41" i="29"/>
  <c r="D40" i="29"/>
  <c r="E42" i="45" l="1"/>
  <c r="I41" i="45"/>
  <c r="P41" i="45" s="1"/>
  <c r="D41" i="45"/>
  <c r="U40" i="45"/>
  <c r="V40" i="45" s="1"/>
  <c r="M26" i="45"/>
  <c r="K27" i="43"/>
  <c r="L27" i="43" s="1"/>
  <c r="N27" i="43" s="1"/>
  <c r="Q27" i="43" s="1"/>
  <c r="I40" i="43"/>
  <c r="P40" i="43" s="1"/>
  <c r="E41" i="43"/>
  <c r="D40" i="43"/>
  <c r="U39" i="43"/>
  <c r="V39" i="43" s="1"/>
  <c r="K27" i="42"/>
  <c r="L27" i="42" s="1"/>
  <c r="N27" i="42" s="1"/>
  <c r="Q27" i="42" s="1"/>
  <c r="E42" i="42"/>
  <c r="I41" i="42"/>
  <c r="P41" i="42" s="1"/>
  <c r="D41" i="42"/>
  <c r="U40" i="42"/>
  <c r="V40" i="42" s="1"/>
  <c r="K27" i="41"/>
  <c r="L27" i="41" s="1"/>
  <c r="N27" i="41" s="1"/>
  <c r="Q27" i="41" s="1"/>
  <c r="I40" i="41"/>
  <c r="P40" i="41" s="1"/>
  <c r="D40" i="41"/>
  <c r="E41" i="41"/>
  <c r="U39" i="41"/>
  <c r="V39" i="41" s="1"/>
  <c r="I40" i="40"/>
  <c r="P40" i="40" s="1"/>
  <c r="E41" i="40"/>
  <c r="D40" i="40"/>
  <c r="U39" i="40"/>
  <c r="V39" i="40" s="1"/>
  <c r="M27" i="40"/>
  <c r="K27" i="40"/>
  <c r="L27" i="40" s="1"/>
  <c r="N27" i="40" s="1"/>
  <c r="Q27" i="40" s="1"/>
  <c r="U41" i="39"/>
  <c r="V41" i="39" s="1"/>
  <c r="E43" i="39"/>
  <c r="D42" i="39"/>
  <c r="I42" i="39"/>
  <c r="P42" i="39" s="1"/>
  <c r="K26" i="39"/>
  <c r="L26" i="39" s="1"/>
  <c r="N26" i="39" s="1"/>
  <c r="Q26" i="39" s="1"/>
  <c r="E42" i="38"/>
  <c r="I41" i="38"/>
  <c r="P41" i="38" s="1"/>
  <c r="D41" i="38"/>
  <c r="U40" i="38"/>
  <c r="V40" i="38" s="1"/>
  <c r="M27" i="38"/>
  <c r="K27" i="38"/>
  <c r="L27" i="38" s="1"/>
  <c r="N27" i="38" s="1"/>
  <c r="Q27" i="38" s="1"/>
  <c r="K28" i="28"/>
  <c r="L28" i="28" s="1"/>
  <c r="N28" i="28" s="1"/>
  <c r="Q28" i="28" s="1"/>
  <c r="U41" i="28"/>
  <c r="V41" i="28" s="1"/>
  <c r="E43" i="28"/>
  <c r="D42" i="28"/>
  <c r="I42" i="28"/>
  <c r="P42" i="28" s="1"/>
  <c r="U40" i="27"/>
  <c r="V40" i="27" s="1"/>
  <c r="K27" i="27"/>
  <c r="L27" i="27" s="1"/>
  <c r="N27" i="27" s="1"/>
  <c r="Q27" i="27" s="1"/>
  <c r="E42" i="27"/>
  <c r="I41" i="27"/>
  <c r="P41" i="27" s="1"/>
  <c r="D41" i="27"/>
  <c r="U41" i="37"/>
  <c r="V41" i="37" s="1"/>
  <c r="D42" i="37"/>
  <c r="I42" i="37"/>
  <c r="P42" i="37" s="1"/>
  <c r="E43" i="37"/>
  <c r="M26" i="37"/>
  <c r="K26" i="37"/>
  <c r="L26" i="37" s="1"/>
  <c r="N26" i="37" s="1"/>
  <c r="Q26" i="37" s="1"/>
  <c r="U40" i="25"/>
  <c r="V40" i="25" s="1"/>
  <c r="E42" i="25"/>
  <c r="D41" i="25"/>
  <c r="I41" i="25"/>
  <c r="P41" i="25" s="1"/>
  <c r="M26" i="25"/>
  <c r="M28" i="36"/>
  <c r="K28" i="36"/>
  <c r="L28" i="36" s="1"/>
  <c r="N28" i="36" s="1"/>
  <c r="Q28" i="36" s="1"/>
  <c r="D42" i="36"/>
  <c r="I42" i="36"/>
  <c r="P42" i="36" s="1"/>
  <c r="E43" i="36"/>
  <c r="U41" i="36"/>
  <c r="V41" i="36" s="1"/>
  <c r="D41" i="35"/>
  <c r="E42" i="35"/>
  <c r="I41" i="35"/>
  <c r="P41" i="35" s="1"/>
  <c r="U40" i="35"/>
  <c r="V40" i="35" s="1"/>
  <c r="K27" i="35"/>
  <c r="L27" i="35" s="1"/>
  <c r="N27" i="35" s="1"/>
  <c r="Q27" i="35" s="1"/>
  <c r="U41" i="34"/>
  <c r="V41" i="34" s="1"/>
  <c r="M31" i="34"/>
  <c r="K31" i="34"/>
  <c r="L31" i="34" s="1"/>
  <c r="N31" i="34" s="1"/>
  <c r="Q31" i="34" s="1"/>
  <c r="S31" i="34" s="1"/>
  <c r="D42" i="34"/>
  <c r="I42" i="34"/>
  <c r="P42" i="34" s="1"/>
  <c r="E43" i="34"/>
  <c r="I40" i="23"/>
  <c r="P40" i="23" s="1"/>
  <c r="E41" i="23"/>
  <c r="D40" i="23"/>
  <c r="M27" i="23"/>
  <c r="R39" i="23"/>
  <c r="U39" i="23"/>
  <c r="V39" i="23" s="1"/>
  <c r="W38" i="23"/>
  <c r="E41" i="26"/>
  <c r="I40" i="26"/>
  <c r="P40" i="26" s="1"/>
  <c r="D40" i="26"/>
  <c r="U39" i="26"/>
  <c r="V39" i="26" s="1"/>
  <c r="M28" i="26"/>
  <c r="K28" i="26"/>
  <c r="L28" i="26" s="1"/>
  <c r="N28" i="26" s="1"/>
  <c r="Q28" i="26" s="1"/>
  <c r="E41" i="24"/>
  <c r="D40" i="24"/>
  <c r="I40" i="24"/>
  <c r="P40" i="24" s="1"/>
  <c r="M27" i="24"/>
  <c r="U39" i="24"/>
  <c r="V39" i="24" s="1"/>
  <c r="E43" i="32"/>
  <c r="D42" i="32"/>
  <c r="I42" i="32"/>
  <c r="P42" i="32" s="1"/>
  <c r="U41" i="32"/>
  <c r="V41" i="32" s="1"/>
  <c r="M26" i="32"/>
  <c r="K29" i="31"/>
  <c r="L29" i="31" s="1"/>
  <c r="N29" i="31" s="1"/>
  <c r="Q29" i="31" s="1"/>
  <c r="U40" i="31"/>
  <c r="V40" i="31" s="1"/>
  <c r="E42" i="31"/>
  <c r="D41" i="31"/>
  <c r="I41" i="31"/>
  <c r="P41" i="31" s="1"/>
  <c r="S31" i="30"/>
  <c r="F31" i="30" s="1"/>
  <c r="G31" i="30" s="1"/>
  <c r="M31" i="30"/>
  <c r="I40" i="30"/>
  <c r="P40" i="30" s="1"/>
  <c r="E41" i="30"/>
  <c r="D40" i="30"/>
  <c r="U39" i="30"/>
  <c r="V39" i="30" s="1"/>
  <c r="D41" i="29"/>
  <c r="E42" i="29"/>
  <c r="I41" i="29"/>
  <c r="P41" i="29" s="1"/>
  <c r="U40" i="29"/>
  <c r="V40" i="29" s="1"/>
  <c r="M27" i="29"/>
  <c r="D42" i="45" l="1"/>
  <c r="I42" i="45"/>
  <c r="P42" i="45" s="1"/>
  <c r="E43" i="45"/>
  <c r="U41" i="45"/>
  <c r="V41" i="45" s="1"/>
  <c r="K27" i="45"/>
  <c r="L27" i="45" s="1"/>
  <c r="N27" i="45" s="1"/>
  <c r="Q27" i="45" s="1"/>
  <c r="E42" i="43"/>
  <c r="I41" i="43"/>
  <c r="P41" i="43" s="1"/>
  <c r="D41" i="43"/>
  <c r="U40" i="43"/>
  <c r="V40" i="43" s="1"/>
  <c r="M27" i="43"/>
  <c r="U41" i="42"/>
  <c r="V41" i="42" s="1"/>
  <c r="E43" i="42"/>
  <c r="D42" i="42"/>
  <c r="I42" i="42"/>
  <c r="P42" i="42" s="1"/>
  <c r="M27" i="42"/>
  <c r="E42" i="41"/>
  <c r="I41" i="41"/>
  <c r="P41" i="41" s="1"/>
  <c r="D41" i="41"/>
  <c r="U40" i="41"/>
  <c r="V40" i="41" s="1"/>
  <c r="M27" i="41"/>
  <c r="E42" i="40"/>
  <c r="I41" i="40"/>
  <c r="P41" i="40" s="1"/>
  <c r="D41" i="40"/>
  <c r="K28" i="40"/>
  <c r="L28" i="40" s="1"/>
  <c r="N28" i="40" s="1"/>
  <c r="Q28" i="40" s="1"/>
  <c r="U40" i="40"/>
  <c r="V40" i="40" s="1"/>
  <c r="M26" i="39"/>
  <c r="U42" i="39"/>
  <c r="V42" i="39" s="1"/>
  <c r="D43" i="39"/>
  <c r="I43" i="39"/>
  <c r="P43" i="39" s="1"/>
  <c r="E44" i="39"/>
  <c r="K28" i="38"/>
  <c r="L28" i="38" s="1"/>
  <c r="N28" i="38" s="1"/>
  <c r="Q28" i="38" s="1"/>
  <c r="U41" i="38"/>
  <c r="V41" i="38" s="1"/>
  <c r="E43" i="38"/>
  <c r="D42" i="38"/>
  <c r="I42" i="38"/>
  <c r="P42" i="38" s="1"/>
  <c r="D43" i="28"/>
  <c r="I43" i="28"/>
  <c r="P43" i="28" s="1"/>
  <c r="E44" i="28"/>
  <c r="U42" i="28"/>
  <c r="V42" i="28" s="1"/>
  <c r="M28" i="28"/>
  <c r="U41" i="27"/>
  <c r="V41" i="27" s="1"/>
  <c r="M27" i="27"/>
  <c r="E43" i="27"/>
  <c r="D42" i="27"/>
  <c r="I42" i="27"/>
  <c r="P42" i="27" s="1"/>
  <c r="K27" i="37"/>
  <c r="L27" i="37" s="1"/>
  <c r="N27" i="37" s="1"/>
  <c r="Q27" i="37" s="1"/>
  <c r="D43" i="37"/>
  <c r="E44" i="37"/>
  <c r="I43" i="37"/>
  <c r="P43" i="37" s="1"/>
  <c r="U42" i="37"/>
  <c r="V42" i="37" s="1"/>
  <c r="U41" i="25"/>
  <c r="V41" i="25" s="1"/>
  <c r="D42" i="25"/>
  <c r="E43" i="25"/>
  <c r="I42" i="25"/>
  <c r="P42" i="25" s="1"/>
  <c r="M27" i="25"/>
  <c r="K27" i="25"/>
  <c r="L27" i="25" s="1"/>
  <c r="N27" i="25" s="1"/>
  <c r="Q27" i="25" s="1"/>
  <c r="I43" i="36"/>
  <c r="P43" i="36" s="1"/>
  <c r="E44" i="36"/>
  <c r="D43" i="36"/>
  <c r="U42" i="36"/>
  <c r="V42" i="36" s="1"/>
  <c r="M29" i="36"/>
  <c r="K29" i="36"/>
  <c r="L29" i="36" s="1"/>
  <c r="N29" i="36" s="1"/>
  <c r="Q29" i="36" s="1"/>
  <c r="U41" i="35"/>
  <c r="V41" i="35" s="1"/>
  <c r="D42" i="35"/>
  <c r="E43" i="35"/>
  <c r="I42" i="35"/>
  <c r="P42" i="35" s="1"/>
  <c r="M27" i="35"/>
  <c r="R32" i="34"/>
  <c r="F31" i="34"/>
  <c r="G31" i="34" s="1"/>
  <c r="W31" i="34"/>
  <c r="K32" i="34"/>
  <c r="L32" i="34" s="1"/>
  <c r="N32" i="34" s="1"/>
  <c r="Q32" i="34" s="1"/>
  <c r="U42" i="34"/>
  <c r="V42" i="34" s="1"/>
  <c r="D43" i="34"/>
  <c r="E44" i="34"/>
  <c r="I43" i="34"/>
  <c r="P43" i="34" s="1"/>
  <c r="K28" i="23"/>
  <c r="L28" i="23" s="1"/>
  <c r="N28" i="23" s="1"/>
  <c r="Q28" i="23" s="1"/>
  <c r="E42" i="23"/>
  <c r="D41" i="23"/>
  <c r="I41" i="23"/>
  <c r="P41" i="23" s="1"/>
  <c r="U40" i="23"/>
  <c r="V40" i="23" s="1"/>
  <c r="U40" i="26"/>
  <c r="V40" i="26" s="1"/>
  <c r="M29" i="26"/>
  <c r="K29" i="26"/>
  <c r="L29" i="26" s="1"/>
  <c r="N29" i="26" s="1"/>
  <c r="Q29" i="26" s="1"/>
  <c r="E42" i="26"/>
  <c r="D41" i="26"/>
  <c r="I41" i="26"/>
  <c r="P41" i="26" s="1"/>
  <c r="K28" i="24"/>
  <c r="L28" i="24" s="1"/>
  <c r="N28" i="24" s="1"/>
  <c r="Q28" i="24" s="1"/>
  <c r="R32" i="30"/>
  <c r="U40" i="24"/>
  <c r="V40" i="24" s="1"/>
  <c r="E42" i="24"/>
  <c r="D41" i="24"/>
  <c r="I41" i="24"/>
  <c r="P41" i="24" s="1"/>
  <c r="U42" i="32"/>
  <c r="V42" i="32" s="1"/>
  <c r="W31" i="30"/>
  <c r="D43" i="32"/>
  <c r="I43" i="32"/>
  <c r="P43" i="32" s="1"/>
  <c r="E44" i="32"/>
  <c r="K27" i="32"/>
  <c r="L27" i="32" s="1"/>
  <c r="N27" i="32" s="1"/>
  <c r="Q27" i="32" s="1"/>
  <c r="U41" i="31"/>
  <c r="V41" i="31" s="1"/>
  <c r="E43" i="31"/>
  <c r="D42" i="31"/>
  <c r="I42" i="31"/>
  <c r="P42" i="31" s="1"/>
  <c r="M29" i="31"/>
  <c r="E42" i="30"/>
  <c r="D41" i="30"/>
  <c r="I41" i="30"/>
  <c r="P41" i="30" s="1"/>
  <c r="K32" i="30"/>
  <c r="L32" i="30" s="1"/>
  <c r="N32" i="30" s="1"/>
  <c r="Q32" i="30" s="1"/>
  <c r="U40" i="30"/>
  <c r="V40" i="30" s="1"/>
  <c r="K28" i="29"/>
  <c r="L28" i="29" s="1"/>
  <c r="N28" i="29" s="1"/>
  <c r="Q28" i="29" s="1"/>
  <c r="U41" i="29"/>
  <c r="V41" i="29" s="1"/>
  <c r="E43" i="29"/>
  <c r="D42" i="29"/>
  <c r="I42" i="29"/>
  <c r="P42" i="29" s="1"/>
  <c r="U42" i="45" l="1"/>
  <c r="V42" i="45" s="1"/>
  <c r="D43" i="45"/>
  <c r="I43" i="45"/>
  <c r="P43" i="45" s="1"/>
  <c r="E44" i="45"/>
  <c r="M27" i="45"/>
  <c r="K28" i="43"/>
  <c r="L28" i="43" s="1"/>
  <c r="N28" i="43" s="1"/>
  <c r="Q28" i="43" s="1"/>
  <c r="U41" i="43"/>
  <c r="V41" i="43" s="1"/>
  <c r="E43" i="43"/>
  <c r="D42" i="43"/>
  <c r="I42" i="43"/>
  <c r="P42" i="43" s="1"/>
  <c r="U42" i="42"/>
  <c r="V42" i="42" s="1"/>
  <c r="D43" i="42"/>
  <c r="E44" i="42"/>
  <c r="I43" i="42"/>
  <c r="P43" i="42" s="1"/>
  <c r="M28" i="42"/>
  <c r="K28" i="42"/>
  <c r="L28" i="42" s="1"/>
  <c r="N28" i="42" s="1"/>
  <c r="Q28" i="42" s="1"/>
  <c r="K28" i="41"/>
  <c r="L28" i="41" s="1"/>
  <c r="N28" i="41" s="1"/>
  <c r="Q28" i="41" s="1"/>
  <c r="U41" i="41"/>
  <c r="V41" i="41" s="1"/>
  <c r="E43" i="41"/>
  <c r="I42" i="41"/>
  <c r="P42" i="41" s="1"/>
  <c r="D42" i="41"/>
  <c r="M28" i="40"/>
  <c r="E43" i="40"/>
  <c r="D42" i="40"/>
  <c r="I42" i="40"/>
  <c r="P42" i="40" s="1"/>
  <c r="U41" i="40"/>
  <c r="V41" i="40" s="1"/>
  <c r="U43" i="39"/>
  <c r="V43" i="39" s="1"/>
  <c r="M27" i="39"/>
  <c r="K27" i="39"/>
  <c r="L27" i="39" s="1"/>
  <c r="N27" i="39" s="1"/>
  <c r="Q27" i="39" s="1"/>
  <c r="D44" i="39"/>
  <c r="I44" i="39"/>
  <c r="P44" i="39" s="1"/>
  <c r="E45" i="39"/>
  <c r="D43" i="38"/>
  <c r="I43" i="38"/>
  <c r="P43" i="38" s="1"/>
  <c r="E44" i="38"/>
  <c r="M28" i="38"/>
  <c r="U42" i="38"/>
  <c r="V42" i="38" s="1"/>
  <c r="K29" i="28"/>
  <c r="L29" i="28" s="1"/>
  <c r="N29" i="28" s="1"/>
  <c r="Q29" i="28" s="1"/>
  <c r="D44" i="28"/>
  <c r="I44" i="28"/>
  <c r="P44" i="28" s="1"/>
  <c r="E45" i="28"/>
  <c r="U43" i="28"/>
  <c r="V43" i="28" s="1"/>
  <c r="D43" i="27"/>
  <c r="I43" i="27"/>
  <c r="P43" i="27" s="1"/>
  <c r="E44" i="27"/>
  <c r="K28" i="27"/>
  <c r="L28" i="27" s="1"/>
  <c r="N28" i="27" s="1"/>
  <c r="Q28" i="27" s="1"/>
  <c r="U42" i="27"/>
  <c r="V42" i="27" s="1"/>
  <c r="U43" i="37"/>
  <c r="V43" i="37" s="1"/>
  <c r="E45" i="37"/>
  <c r="I44" i="37"/>
  <c r="P44" i="37" s="1"/>
  <c r="D44" i="37"/>
  <c r="M27" i="37"/>
  <c r="K28" i="25"/>
  <c r="L28" i="25" s="1"/>
  <c r="N28" i="25" s="1"/>
  <c r="Q28" i="25" s="1"/>
  <c r="U42" i="25"/>
  <c r="V42" i="25" s="1"/>
  <c r="D43" i="25"/>
  <c r="I43" i="25"/>
  <c r="P43" i="25" s="1"/>
  <c r="E44" i="25"/>
  <c r="K30" i="36"/>
  <c r="L30" i="36" s="1"/>
  <c r="N30" i="36" s="1"/>
  <c r="Q30" i="36" s="1"/>
  <c r="S32" i="34"/>
  <c r="F32" i="34" s="1"/>
  <c r="G32" i="34" s="1"/>
  <c r="I44" i="36"/>
  <c r="P44" i="36" s="1"/>
  <c r="E45" i="36"/>
  <c r="D44" i="36"/>
  <c r="U43" i="36"/>
  <c r="V43" i="36" s="1"/>
  <c r="K28" i="35"/>
  <c r="L28" i="35" s="1"/>
  <c r="N28" i="35" s="1"/>
  <c r="Q28" i="35" s="1"/>
  <c r="U42" i="35"/>
  <c r="V42" i="35" s="1"/>
  <c r="D43" i="35"/>
  <c r="I43" i="35"/>
  <c r="P43" i="35" s="1"/>
  <c r="E44" i="35"/>
  <c r="U43" i="34"/>
  <c r="V43" i="34" s="1"/>
  <c r="E45" i="34"/>
  <c r="I44" i="34"/>
  <c r="P44" i="34" s="1"/>
  <c r="D44" i="34"/>
  <c r="M32" i="34"/>
  <c r="U41" i="23"/>
  <c r="V41" i="23" s="1"/>
  <c r="E43" i="23"/>
  <c r="D42" i="23"/>
  <c r="I42" i="23"/>
  <c r="P42" i="23" s="1"/>
  <c r="M28" i="23"/>
  <c r="D42" i="26"/>
  <c r="E43" i="26"/>
  <c r="I42" i="26"/>
  <c r="P42" i="26" s="1"/>
  <c r="U41" i="26"/>
  <c r="V41" i="26" s="1"/>
  <c r="M30" i="26"/>
  <c r="K30" i="26"/>
  <c r="L30" i="26" s="1"/>
  <c r="N30" i="26" s="1"/>
  <c r="Q30" i="26" s="1"/>
  <c r="D42" i="24"/>
  <c r="I42" i="24"/>
  <c r="P42" i="24" s="1"/>
  <c r="E43" i="24"/>
  <c r="U41" i="24"/>
  <c r="V41" i="24" s="1"/>
  <c r="M28" i="24"/>
  <c r="S32" i="30"/>
  <c r="R33" i="30" s="1"/>
  <c r="D44" i="32"/>
  <c r="I44" i="32"/>
  <c r="P44" i="32" s="1"/>
  <c r="E45" i="32"/>
  <c r="M27" i="32"/>
  <c r="U43" i="32"/>
  <c r="V43" i="32" s="1"/>
  <c r="U42" i="31"/>
  <c r="V42" i="31" s="1"/>
  <c r="I43" i="31"/>
  <c r="P43" i="31" s="1"/>
  <c r="D43" i="31"/>
  <c r="E44" i="31"/>
  <c r="K30" i="31"/>
  <c r="L30" i="31" s="1"/>
  <c r="N30" i="31" s="1"/>
  <c r="Q30" i="31" s="1"/>
  <c r="M32" i="30"/>
  <c r="U41" i="30"/>
  <c r="V41" i="30" s="1"/>
  <c r="E43" i="30"/>
  <c r="D42" i="30"/>
  <c r="I42" i="30"/>
  <c r="P42" i="30" s="1"/>
  <c r="I43" i="29"/>
  <c r="P43" i="29" s="1"/>
  <c r="D43" i="29"/>
  <c r="E44" i="29"/>
  <c r="M28" i="29"/>
  <c r="U42" i="29"/>
  <c r="V42" i="29" s="1"/>
  <c r="U43" i="45" l="1"/>
  <c r="V43" i="45" s="1"/>
  <c r="E45" i="45"/>
  <c r="I44" i="45"/>
  <c r="P44" i="45" s="1"/>
  <c r="D44" i="45"/>
  <c r="M28" i="45"/>
  <c r="K28" i="45"/>
  <c r="L28" i="45" s="1"/>
  <c r="N28" i="45" s="1"/>
  <c r="Q28" i="45" s="1"/>
  <c r="D43" i="43"/>
  <c r="I43" i="43"/>
  <c r="P43" i="43" s="1"/>
  <c r="E44" i="43"/>
  <c r="U42" i="43"/>
  <c r="V42" i="43" s="1"/>
  <c r="M28" i="43"/>
  <c r="U43" i="42"/>
  <c r="V43" i="42" s="1"/>
  <c r="D44" i="42"/>
  <c r="E45" i="42"/>
  <c r="I44" i="42"/>
  <c r="P44" i="42" s="1"/>
  <c r="K29" i="42"/>
  <c r="L29" i="42" s="1"/>
  <c r="N29" i="42" s="1"/>
  <c r="Q29" i="42" s="1"/>
  <c r="D43" i="41"/>
  <c r="E44" i="41"/>
  <c r="I43" i="41"/>
  <c r="P43" i="41" s="1"/>
  <c r="U42" i="41"/>
  <c r="V42" i="41" s="1"/>
  <c r="M28" i="41"/>
  <c r="U42" i="40"/>
  <c r="V42" i="40" s="1"/>
  <c r="D43" i="40"/>
  <c r="I43" i="40"/>
  <c r="P43" i="40" s="1"/>
  <c r="E44" i="40"/>
  <c r="K29" i="40"/>
  <c r="L29" i="40" s="1"/>
  <c r="N29" i="40" s="1"/>
  <c r="Q29" i="40" s="1"/>
  <c r="E46" i="39"/>
  <c r="I45" i="39"/>
  <c r="P45" i="39" s="1"/>
  <c r="D45" i="39"/>
  <c r="U44" i="39"/>
  <c r="V44" i="39" s="1"/>
  <c r="K28" i="39"/>
  <c r="L28" i="39" s="1"/>
  <c r="N28" i="39" s="1"/>
  <c r="Q28" i="39" s="1"/>
  <c r="K29" i="38"/>
  <c r="L29" i="38" s="1"/>
  <c r="N29" i="38" s="1"/>
  <c r="Q29" i="38" s="1"/>
  <c r="D44" i="38"/>
  <c r="E45" i="38"/>
  <c r="I44" i="38"/>
  <c r="P44" i="38" s="1"/>
  <c r="U43" i="38"/>
  <c r="V43" i="38" s="1"/>
  <c r="U44" i="28"/>
  <c r="V44" i="28" s="1"/>
  <c r="E46" i="28"/>
  <c r="I45" i="28"/>
  <c r="P45" i="28" s="1"/>
  <c r="D45" i="28"/>
  <c r="M29" i="28"/>
  <c r="M28" i="27"/>
  <c r="D44" i="27"/>
  <c r="E45" i="27"/>
  <c r="I44" i="27"/>
  <c r="P44" i="27" s="1"/>
  <c r="U43" i="27"/>
  <c r="V43" i="27" s="1"/>
  <c r="M28" i="37"/>
  <c r="K28" i="37"/>
  <c r="L28" i="37" s="1"/>
  <c r="N28" i="37" s="1"/>
  <c r="Q28" i="37" s="1"/>
  <c r="U44" i="37"/>
  <c r="V44" i="37" s="1"/>
  <c r="I45" i="37"/>
  <c r="P45" i="37" s="1"/>
  <c r="D45" i="37"/>
  <c r="E46" i="37"/>
  <c r="U43" i="25"/>
  <c r="V43" i="25" s="1"/>
  <c r="M28" i="25"/>
  <c r="E45" i="25"/>
  <c r="I44" i="25"/>
  <c r="P44" i="25" s="1"/>
  <c r="D44" i="25"/>
  <c r="U44" i="36"/>
  <c r="V44" i="36" s="1"/>
  <c r="R33" i="34"/>
  <c r="I45" i="36"/>
  <c r="P45" i="36" s="1"/>
  <c r="E46" i="36"/>
  <c r="D45" i="36"/>
  <c r="W32" i="34"/>
  <c r="M30" i="36"/>
  <c r="D44" i="35"/>
  <c r="E45" i="35"/>
  <c r="I44" i="35"/>
  <c r="P44" i="35" s="1"/>
  <c r="U43" i="35"/>
  <c r="V43" i="35" s="1"/>
  <c r="M28" i="35"/>
  <c r="K33" i="34"/>
  <c r="L33" i="34" s="1"/>
  <c r="N33" i="34" s="1"/>
  <c r="Q33" i="34" s="1"/>
  <c r="F32" i="30"/>
  <c r="G32" i="30" s="1"/>
  <c r="U44" i="34"/>
  <c r="V44" i="34" s="1"/>
  <c r="I45" i="34"/>
  <c r="P45" i="34" s="1"/>
  <c r="D45" i="34"/>
  <c r="E46" i="34"/>
  <c r="U42" i="23"/>
  <c r="V42" i="23" s="1"/>
  <c r="D43" i="23"/>
  <c r="E44" i="23"/>
  <c r="I43" i="23"/>
  <c r="P43" i="23" s="1"/>
  <c r="K29" i="23"/>
  <c r="L29" i="23" s="1"/>
  <c r="N29" i="23" s="1"/>
  <c r="Q29" i="23" s="1"/>
  <c r="W32" i="30"/>
  <c r="K31" i="26"/>
  <c r="L31" i="26" s="1"/>
  <c r="N31" i="26" s="1"/>
  <c r="Q31" i="26" s="1"/>
  <c r="U42" i="26"/>
  <c r="V42" i="26" s="1"/>
  <c r="D43" i="26"/>
  <c r="E44" i="26"/>
  <c r="I43" i="26"/>
  <c r="P43" i="26" s="1"/>
  <c r="D43" i="24"/>
  <c r="E44" i="24"/>
  <c r="I43" i="24"/>
  <c r="P43" i="24" s="1"/>
  <c r="U42" i="24"/>
  <c r="V42" i="24" s="1"/>
  <c r="K29" i="24"/>
  <c r="L29" i="24" s="1"/>
  <c r="N29" i="24" s="1"/>
  <c r="Q29" i="24" s="1"/>
  <c r="K28" i="32"/>
  <c r="L28" i="32" s="1"/>
  <c r="N28" i="32" s="1"/>
  <c r="Q28" i="32" s="1"/>
  <c r="U44" i="32"/>
  <c r="V44" i="32" s="1"/>
  <c r="E46" i="32"/>
  <c r="I45" i="32"/>
  <c r="P45" i="32" s="1"/>
  <c r="D45" i="32"/>
  <c r="M30" i="31"/>
  <c r="D44" i="31"/>
  <c r="E45" i="31"/>
  <c r="I44" i="31"/>
  <c r="P44" i="31" s="1"/>
  <c r="U43" i="31"/>
  <c r="V43" i="31" s="1"/>
  <c r="D43" i="30"/>
  <c r="I43" i="30"/>
  <c r="P43" i="30" s="1"/>
  <c r="E44" i="30"/>
  <c r="U42" i="30"/>
  <c r="V42" i="30" s="1"/>
  <c r="M33" i="30"/>
  <c r="K33" i="30"/>
  <c r="L33" i="30" s="1"/>
  <c r="N33" i="30" s="1"/>
  <c r="Q33" i="30" s="1"/>
  <c r="S33" i="30" s="1"/>
  <c r="K29" i="29"/>
  <c r="L29" i="29" s="1"/>
  <c r="N29" i="29" s="1"/>
  <c r="Q29" i="29" s="1"/>
  <c r="D44" i="29"/>
  <c r="I44" i="29"/>
  <c r="P44" i="29" s="1"/>
  <c r="E45" i="29"/>
  <c r="U43" i="29"/>
  <c r="V43" i="29" s="1"/>
  <c r="K29" i="45" l="1"/>
  <c r="L29" i="45" s="1"/>
  <c r="N29" i="45" s="1"/>
  <c r="Q29" i="45" s="1"/>
  <c r="U44" i="45"/>
  <c r="V44" i="45" s="1"/>
  <c r="I45" i="45"/>
  <c r="P45" i="45" s="1"/>
  <c r="D45" i="45"/>
  <c r="E46" i="45"/>
  <c r="K29" i="43"/>
  <c r="L29" i="43" s="1"/>
  <c r="N29" i="43" s="1"/>
  <c r="Q29" i="43" s="1"/>
  <c r="D44" i="43"/>
  <c r="E45" i="43"/>
  <c r="I44" i="43"/>
  <c r="P44" i="43" s="1"/>
  <c r="U43" i="43"/>
  <c r="V43" i="43" s="1"/>
  <c r="M29" i="42"/>
  <c r="U44" i="42"/>
  <c r="V44" i="42" s="1"/>
  <c r="I45" i="42"/>
  <c r="P45" i="42" s="1"/>
  <c r="D45" i="42"/>
  <c r="E46" i="42"/>
  <c r="U43" i="41"/>
  <c r="V43" i="41" s="1"/>
  <c r="D44" i="41"/>
  <c r="I44" i="41"/>
  <c r="P44" i="41" s="1"/>
  <c r="E45" i="41"/>
  <c r="K29" i="41"/>
  <c r="L29" i="41" s="1"/>
  <c r="N29" i="41" s="1"/>
  <c r="Q29" i="41" s="1"/>
  <c r="M29" i="40"/>
  <c r="D44" i="40"/>
  <c r="E45" i="40"/>
  <c r="I44" i="40"/>
  <c r="P44" i="40" s="1"/>
  <c r="U43" i="40"/>
  <c r="V43" i="40" s="1"/>
  <c r="M28" i="39"/>
  <c r="U45" i="39"/>
  <c r="V45" i="39" s="1"/>
  <c r="I46" i="39"/>
  <c r="P46" i="39" s="1"/>
  <c r="E47" i="39"/>
  <c r="D46" i="39"/>
  <c r="U44" i="38"/>
  <c r="V44" i="38" s="1"/>
  <c r="E46" i="38"/>
  <c r="I45" i="38"/>
  <c r="P45" i="38" s="1"/>
  <c r="D45" i="38"/>
  <c r="M29" i="38"/>
  <c r="U45" i="28"/>
  <c r="V45" i="28" s="1"/>
  <c r="I46" i="28"/>
  <c r="P46" i="28" s="1"/>
  <c r="E47" i="28"/>
  <c r="D46" i="28"/>
  <c r="M30" i="28"/>
  <c r="K30" i="28"/>
  <c r="L30" i="28" s="1"/>
  <c r="N30" i="28" s="1"/>
  <c r="Q30" i="28" s="1"/>
  <c r="U44" i="27"/>
  <c r="V44" i="27" s="1"/>
  <c r="I45" i="27"/>
  <c r="P45" i="27" s="1"/>
  <c r="D45" i="27"/>
  <c r="E46" i="27"/>
  <c r="M29" i="27"/>
  <c r="K29" i="27"/>
  <c r="L29" i="27" s="1"/>
  <c r="N29" i="27" s="1"/>
  <c r="Q29" i="27" s="1"/>
  <c r="I46" i="37"/>
  <c r="P46" i="37" s="1"/>
  <c r="E47" i="37"/>
  <c r="D46" i="37"/>
  <c r="U45" i="37"/>
  <c r="V45" i="37" s="1"/>
  <c r="M29" i="37"/>
  <c r="K29" i="37"/>
  <c r="L29" i="37" s="1"/>
  <c r="N29" i="37" s="1"/>
  <c r="Q29" i="37" s="1"/>
  <c r="U44" i="25"/>
  <c r="V44" i="25" s="1"/>
  <c r="K29" i="25"/>
  <c r="L29" i="25" s="1"/>
  <c r="N29" i="25" s="1"/>
  <c r="Q29" i="25" s="1"/>
  <c r="I45" i="25"/>
  <c r="P45" i="25" s="1"/>
  <c r="D45" i="25"/>
  <c r="E46" i="25"/>
  <c r="I46" i="36"/>
  <c r="P46" i="36" s="1"/>
  <c r="E47" i="36"/>
  <c r="D46" i="36"/>
  <c r="U45" i="36"/>
  <c r="V45" i="36" s="1"/>
  <c r="M31" i="36"/>
  <c r="K31" i="36"/>
  <c r="L31" i="36" s="1"/>
  <c r="N31" i="36" s="1"/>
  <c r="Q31" i="36" s="1"/>
  <c r="S31" i="36" s="1"/>
  <c r="S33" i="34"/>
  <c r="R34" i="34" s="1"/>
  <c r="K29" i="35"/>
  <c r="L29" i="35" s="1"/>
  <c r="N29" i="35" s="1"/>
  <c r="Q29" i="35" s="1"/>
  <c r="U44" i="35"/>
  <c r="V44" i="35" s="1"/>
  <c r="I45" i="35"/>
  <c r="P45" i="35" s="1"/>
  <c r="D45" i="35"/>
  <c r="E46" i="35"/>
  <c r="U45" i="34"/>
  <c r="V45" i="34" s="1"/>
  <c r="I46" i="34"/>
  <c r="P46" i="34" s="1"/>
  <c r="D46" i="34"/>
  <c r="E47" i="34"/>
  <c r="M33" i="34"/>
  <c r="M29" i="23"/>
  <c r="U43" i="23"/>
  <c r="V43" i="23" s="1"/>
  <c r="D44" i="23"/>
  <c r="I44" i="23"/>
  <c r="P44" i="23" s="1"/>
  <c r="E45" i="23"/>
  <c r="I44" i="26"/>
  <c r="P44" i="26" s="1"/>
  <c r="D44" i="26"/>
  <c r="E45" i="26"/>
  <c r="U43" i="26"/>
  <c r="V43" i="26" s="1"/>
  <c r="M31" i="26"/>
  <c r="U43" i="24"/>
  <c r="V43" i="24" s="1"/>
  <c r="M29" i="24"/>
  <c r="E45" i="24"/>
  <c r="I44" i="24"/>
  <c r="P44" i="24" s="1"/>
  <c r="D44" i="24"/>
  <c r="I46" i="32"/>
  <c r="P46" i="32" s="1"/>
  <c r="E47" i="32"/>
  <c r="D46" i="32"/>
  <c r="U45" i="32"/>
  <c r="V45" i="32" s="1"/>
  <c r="M28" i="32"/>
  <c r="E46" i="31"/>
  <c r="I45" i="31"/>
  <c r="P45" i="31" s="1"/>
  <c r="D45" i="31"/>
  <c r="U44" i="31"/>
  <c r="V44" i="31" s="1"/>
  <c r="K31" i="31"/>
  <c r="L31" i="31" s="1"/>
  <c r="N31" i="31" s="1"/>
  <c r="Q31" i="31" s="1"/>
  <c r="S31" i="31" s="1"/>
  <c r="U43" i="30"/>
  <c r="V43" i="30" s="1"/>
  <c r="D44" i="30"/>
  <c r="I44" i="30"/>
  <c r="P44" i="30" s="1"/>
  <c r="E45" i="30"/>
  <c r="R34" i="30"/>
  <c r="F33" i="30"/>
  <c r="G33" i="30" s="1"/>
  <c r="W33" i="30"/>
  <c r="K34" i="30"/>
  <c r="L34" i="30" s="1"/>
  <c r="N34" i="30" s="1"/>
  <c r="Q34" i="30" s="1"/>
  <c r="E46" i="29"/>
  <c r="I45" i="29"/>
  <c r="P45" i="29" s="1"/>
  <c r="D45" i="29"/>
  <c r="U44" i="29"/>
  <c r="V44" i="29" s="1"/>
  <c r="M29" i="29"/>
  <c r="I46" i="45" l="1"/>
  <c r="P46" i="45" s="1"/>
  <c r="D46" i="45"/>
  <c r="E47" i="45"/>
  <c r="U45" i="45"/>
  <c r="V45" i="45" s="1"/>
  <c r="M29" i="45"/>
  <c r="U44" i="43"/>
  <c r="V44" i="43" s="1"/>
  <c r="I45" i="43"/>
  <c r="P45" i="43" s="1"/>
  <c r="E46" i="43"/>
  <c r="D45" i="43"/>
  <c r="M29" i="43"/>
  <c r="I46" i="42"/>
  <c r="P46" i="42" s="1"/>
  <c r="D46" i="42"/>
  <c r="E47" i="42"/>
  <c r="U45" i="42"/>
  <c r="V45" i="42" s="1"/>
  <c r="M30" i="42"/>
  <c r="K30" i="42"/>
  <c r="L30" i="42" s="1"/>
  <c r="N30" i="42" s="1"/>
  <c r="Q30" i="42" s="1"/>
  <c r="E46" i="41"/>
  <c r="I45" i="41"/>
  <c r="P45" i="41" s="1"/>
  <c r="D45" i="41"/>
  <c r="U44" i="41"/>
  <c r="V44" i="41" s="1"/>
  <c r="M29" i="41"/>
  <c r="I45" i="40"/>
  <c r="P45" i="40" s="1"/>
  <c r="E46" i="40"/>
  <c r="D45" i="40"/>
  <c r="U44" i="40"/>
  <c r="V44" i="40" s="1"/>
  <c r="M30" i="40"/>
  <c r="K30" i="40"/>
  <c r="L30" i="40" s="1"/>
  <c r="N30" i="40" s="1"/>
  <c r="Q30" i="40" s="1"/>
  <c r="U46" i="39"/>
  <c r="V46" i="39" s="1"/>
  <c r="I47" i="39"/>
  <c r="P47" i="39" s="1"/>
  <c r="D47" i="39"/>
  <c r="E48" i="39"/>
  <c r="M29" i="39"/>
  <c r="K29" i="39"/>
  <c r="L29" i="39" s="1"/>
  <c r="N29" i="39" s="1"/>
  <c r="Q29" i="39" s="1"/>
  <c r="K30" i="38"/>
  <c r="L30" i="38" s="1"/>
  <c r="N30" i="38" s="1"/>
  <c r="Q30" i="38" s="1"/>
  <c r="U45" i="38"/>
  <c r="V45" i="38" s="1"/>
  <c r="I46" i="38"/>
  <c r="P46" i="38" s="1"/>
  <c r="D46" i="38"/>
  <c r="E47" i="38"/>
  <c r="K31" i="28"/>
  <c r="L31" i="28" s="1"/>
  <c r="N31" i="28" s="1"/>
  <c r="Q31" i="28" s="1"/>
  <c r="I47" i="28"/>
  <c r="P47" i="28" s="1"/>
  <c r="D47" i="28"/>
  <c r="E48" i="28"/>
  <c r="U46" i="28"/>
  <c r="V46" i="28" s="1"/>
  <c r="I46" i="27"/>
  <c r="P46" i="27" s="1"/>
  <c r="D46" i="27"/>
  <c r="E47" i="27"/>
  <c r="M30" i="27"/>
  <c r="K30" i="27"/>
  <c r="L30" i="27" s="1"/>
  <c r="N30" i="27" s="1"/>
  <c r="Q30" i="27" s="1"/>
  <c r="U45" i="27"/>
  <c r="V45" i="27" s="1"/>
  <c r="K30" i="37"/>
  <c r="L30" i="37" s="1"/>
  <c r="N30" i="37" s="1"/>
  <c r="Q30" i="37" s="1"/>
  <c r="I47" i="37"/>
  <c r="P47" i="37" s="1"/>
  <c r="E48" i="37"/>
  <c r="D47" i="37"/>
  <c r="U46" i="37"/>
  <c r="V46" i="37" s="1"/>
  <c r="I46" i="25"/>
  <c r="P46" i="25" s="1"/>
  <c r="D46" i="25"/>
  <c r="E47" i="25"/>
  <c r="W33" i="34"/>
  <c r="F33" i="34"/>
  <c r="G33" i="34" s="1"/>
  <c r="M29" i="25"/>
  <c r="U45" i="25"/>
  <c r="V45" i="25" s="1"/>
  <c r="K32" i="36"/>
  <c r="L32" i="36" s="1"/>
  <c r="N32" i="36" s="1"/>
  <c r="E48" i="36"/>
  <c r="D47" i="36"/>
  <c r="I47" i="36"/>
  <c r="P47" i="36" s="1"/>
  <c r="U46" i="36"/>
  <c r="V46" i="36" s="1"/>
  <c r="R32" i="36"/>
  <c r="Q32" i="36"/>
  <c r="F31" i="36"/>
  <c r="G31" i="36" s="1"/>
  <c r="W31" i="36"/>
  <c r="U45" i="35"/>
  <c r="V45" i="35" s="1"/>
  <c r="M29" i="35"/>
  <c r="I46" i="35"/>
  <c r="P46" i="35" s="1"/>
  <c r="D46" i="35"/>
  <c r="E47" i="35"/>
  <c r="E48" i="34"/>
  <c r="I47" i="34"/>
  <c r="P47" i="34" s="1"/>
  <c r="D47" i="34"/>
  <c r="K34" i="34"/>
  <c r="L34" i="34" s="1"/>
  <c r="N34" i="34" s="1"/>
  <c r="Q34" i="34" s="1"/>
  <c r="S34" i="34" s="1"/>
  <c r="U46" i="34"/>
  <c r="V46" i="34" s="1"/>
  <c r="I45" i="23"/>
  <c r="P45" i="23" s="1"/>
  <c r="D45" i="23"/>
  <c r="E46" i="23"/>
  <c r="U44" i="23"/>
  <c r="V44" i="23" s="1"/>
  <c r="K30" i="23"/>
  <c r="L30" i="23" s="1"/>
  <c r="N30" i="23" s="1"/>
  <c r="Q30" i="23" s="1"/>
  <c r="K32" i="26"/>
  <c r="L32" i="26" s="1"/>
  <c r="N32" i="26" s="1"/>
  <c r="Q32" i="26" s="1"/>
  <c r="I45" i="26"/>
  <c r="P45" i="26" s="1"/>
  <c r="D45" i="26"/>
  <c r="E46" i="26"/>
  <c r="U44" i="26"/>
  <c r="V44" i="26" s="1"/>
  <c r="U44" i="24"/>
  <c r="V44" i="24" s="1"/>
  <c r="S34" i="30"/>
  <c r="F34" i="30" s="1"/>
  <c r="G34" i="30" s="1"/>
  <c r="K30" i="24"/>
  <c r="L30" i="24" s="1"/>
  <c r="N30" i="24" s="1"/>
  <c r="Q30" i="24" s="1"/>
  <c r="I45" i="24"/>
  <c r="P45" i="24" s="1"/>
  <c r="E46" i="24"/>
  <c r="D45" i="24"/>
  <c r="K29" i="32"/>
  <c r="L29" i="32" s="1"/>
  <c r="N29" i="32" s="1"/>
  <c r="Q29" i="32" s="1"/>
  <c r="I47" i="32"/>
  <c r="P47" i="32" s="1"/>
  <c r="D47" i="32"/>
  <c r="E48" i="32"/>
  <c r="U46" i="32"/>
  <c r="V46" i="32" s="1"/>
  <c r="U45" i="31"/>
  <c r="V45" i="31" s="1"/>
  <c r="R32" i="31"/>
  <c r="F31" i="31"/>
  <c r="G31" i="31" s="1"/>
  <c r="W31" i="31"/>
  <c r="M31" i="31"/>
  <c r="I46" i="31"/>
  <c r="P46" i="31" s="1"/>
  <c r="D46" i="31"/>
  <c r="E47" i="31"/>
  <c r="M34" i="30"/>
  <c r="I45" i="30"/>
  <c r="P45" i="30" s="1"/>
  <c r="E46" i="30"/>
  <c r="D45" i="30"/>
  <c r="U44" i="30"/>
  <c r="V44" i="30" s="1"/>
  <c r="K30" i="29"/>
  <c r="L30" i="29" s="1"/>
  <c r="N30" i="29" s="1"/>
  <c r="Q30" i="29" s="1"/>
  <c r="S30" i="29" s="1"/>
  <c r="U45" i="29"/>
  <c r="V45" i="29" s="1"/>
  <c r="I46" i="29"/>
  <c r="P46" i="29" s="1"/>
  <c r="D46" i="29"/>
  <c r="E47" i="29"/>
  <c r="K30" i="45" l="1"/>
  <c r="L30" i="45" s="1"/>
  <c r="N30" i="45" s="1"/>
  <c r="Q30" i="45" s="1"/>
  <c r="I47" i="45"/>
  <c r="P47" i="45" s="1"/>
  <c r="E48" i="45"/>
  <c r="D47" i="45"/>
  <c r="U46" i="45"/>
  <c r="V46" i="45" s="1"/>
  <c r="I46" i="43"/>
  <c r="P46" i="43" s="1"/>
  <c r="D46" i="43"/>
  <c r="E47" i="43"/>
  <c r="M30" i="43"/>
  <c r="K30" i="43"/>
  <c r="L30" i="43" s="1"/>
  <c r="N30" i="43" s="1"/>
  <c r="Q30" i="43" s="1"/>
  <c r="S30" i="43" s="1"/>
  <c r="U45" i="43"/>
  <c r="V45" i="43" s="1"/>
  <c r="I47" i="42"/>
  <c r="P47" i="42" s="1"/>
  <c r="E48" i="42"/>
  <c r="D47" i="42"/>
  <c r="U46" i="42"/>
  <c r="V46" i="42" s="1"/>
  <c r="M31" i="42"/>
  <c r="K31" i="42"/>
  <c r="L31" i="42" s="1"/>
  <c r="N31" i="42" s="1"/>
  <c r="Q31" i="42" s="1"/>
  <c r="U45" i="41"/>
  <c r="V45" i="41" s="1"/>
  <c r="E47" i="41"/>
  <c r="D46" i="41"/>
  <c r="I46" i="41"/>
  <c r="P46" i="41" s="1"/>
  <c r="M30" i="41"/>
  <c r="K30" i="41"/>
  <c r="L30" i="41" s="1"/>
  <c r="N30" i="41" s="1"/>
  <c r="Q30" i="41" s="1"/>
  <c r="I46" i="40"/>
  <c r="P46" i="40" s="1"/>
  <c r="D46" i="40"/>
  <c r="E47" i="40"/>
  <c r="U45" i="40"/>
  <c r="V45" i="40" s="1"/>
  <c r="M31" i="40"/>
  <c r="K31" i="40"/>
  <c r="L31" i="40" s="1"/>
  <c r="N31" i="40" s="1"/>
  <c r="Q31" i="40" s="1"/>
  <c r="K30" i="39"/>
  <c r="L30" i="39" s="1"/>
  <c r="N30" i="39" s="1"/>
  <c r="Q30" i="39" s="1"/>
  <c r="U47" i="39"/>
  <c r="V47" i="39" s="1"/>
  <c r="I48" i="39"/>
  <c r="P48" i="39" s="1"/>
  <c r="E49" i="39"/>
  <c r="D48" i="39"/>
  <c r="I47" i="38"/>
  <c r="P47" i="38" s="1"/>
  <c r="D47" i="38"/>
  <c r="E48" i="38"/>
  <c r="U46" i="38"/>
  <c r="V46" i="38" s="1"/>
  <c r="M30" i="38"/>
  <c r="I48" i="28"/>
  <c r="P48" i="28" s="1"/>
  <c r="E49" i="28"/>
  <c r="D48" i="28"/>
  <c r="U47" i="28"/>
  <c r="V47" i="28" s="1"/>
  <c r="S32" i="36"/>
  <c r="W32" i="36" s="1"/>
  <c r="M31" i="28"/>
  <c r="I47" i="27"/>
  <c r="P47" i="27" s="1"/>
  <c r="E48" i="27"/>
  <c r="D47" i="27"/>
  <c r="K31" i="27"/>
  <c r="L31" i="27" s="1"/>
  <c r="N31" i="27" s="1"/>
  <c r="Q31" i="27" s="1"/>
  <c r="U46" i="27"/>
  <c r="V46" i="27" s="1"/>
  <c r="E49" i="37"/>
  <c r="D48" i="37"/>
  <c r="I48" i="37"/>
  <c r="P48" i="37" s="1"/>
  <c r="U47" i="37"/>
  <c r="V47" i="37" s="1"/>
  <c r="M30" i="37"/>
  <c r="K30" i="25"/>
  <c r="L30" i="25" s="1"/>
  <c r="N30" i="25" s="1"/>
  <c r="Q30" i="25" s="1"/>
  <c r="I47" i="25"/>
  <c r="P47" i="25" s="1"/>
  <c r="E48" i="25"/>
  <c r="D47" i="25"/>
  <c r="U46" i="25"/>
  <c r="V46" i="25" s="1"/>
  <c r="U47" i="36"/>
  <c r="V47" i="36" s="1"/>
  <c r="E49" i="36"/>
  <c r="D48" i="36"/>
  <c r="I48" i="36"/>
  <c r="P48" i="36" s="1"/>
  <c r="M32" i="36"/>
  <c r="E48" i="35"/>
  <c r="I47" i="35"/>
  <c r="P47" i="35" s="1"/>
  <c r="D47" i="35"/>
  <c r="U46" i="35"/>
  <c r="V46" i="35" s="1"/>
  <c r="K30" i="35"/>
  <c r="L30" i="35" s="1"/>
  <c r="N30" i="35" s="1"/>
  <c r="Q30" i="35" s="1"/>
  <c r="S30" i="35" s="1"/>
  <c r="M34" i="34"/>
  <c r="R35" i="34"/>
  <c r="F34" i="34"/>
  <c r="G34" i="34" s="1"/>
  <c r="W34" i="34"/>
  <c r="U47" i="34"/>
  <c r="V47" i="34" s="1"/>
  <c r="E49" i="34"/>
  <c r="I48" i="34"/>
  <c r="P48" i="34" s="1"/>
  <c r="D48" i="34"/>
  <c r="M30" i="23"/>
  <c r="I46" i="23"/>
  <c r="P46" i="23" s="1"/>
  <c r="E47" i="23"/>
  <c r="D46" i="23"/>
  <c r="R35" i="30"/>
  <c r="U45" i="23"/>
  <c r="V45" i="23" s="1"/>
  <c r="U45" i="26"/>
  <c r="V45" i="26" s="1"/>
  <c r="I46" i="26"/>
  <c r="P46" i="26" s="1"/>
  <c r="E47" i="26"/>
  <c r="D46" i="26"/>
  <c r="M32" i="26"/>
  <c r="I46" i="24"/>
  <c r="P46" i="24" s="1"/>
  <c r="D46" i="24"/>
  <c r="E47" i="24"/>
  <c r="M30" i="24"/>
  <c r="W34" i="30"/>
  <c r="U45" i="24"/>
  <c r="V45" i="24" s="1"/>
  <c r="I48" i="32"/>
  <c r="P48" i="32" s="1"/>
  <c r="E49" i="32"/>
  <c r="D48" i="32"/>
  <c r="U47" i="32"/>
  <c r="V47" i="32" s="1"/>
  <c r="M29" i="32"/>
  <c r="D47" i="31"/>
  <c r="E48" i="31"/>
  <c r="I47" i="31"/>
  <c r="P47" i="31" s="1"/>
  <c r="U46" i="31"/>
  <c r="V46" i="31" s="1"/>
  <c r="K32" i="31"/>
  <c r="L32" i="31" s="1"/>
  <c r="N32" i="31" s="1"/>
  <c r="Q32" i="31" s="1"/>
  <c r="S32" i="31" s="1"/>
  <c r="K35" i="30"/>
  <c r="L35" i="30" s="1"/>
  <c r="N35" i="30" s="1"/>
  <c r="Q35" i="30" s="1"/>
  <c r="I46" i="30"/>
  <c r="P46" i="30" s="1"/>
  <c r="E47" i="30"/>
  <c r="D46" i="30"/>
  <c r="U45" i="30"/>
  <c r="V45" i="30" s="1"/>
  <c r="U46" i="29"/>
  <c r="V46" i="29" s="1"/>
  <c r="D47" i="29"/>
  <c r="E48" i="29"/>
  <c r="I47" i="29"/>
  <c r="P47" i="29" s="1"/>
  <c r="R31" i="29"/>
  <c r="F30" i="29"/>
  <c r="G30" i="29" s="1"/>
  <c r="W30" i="29"/>
  <c r="M30" i="29"/>
  <c r="I48" i="45" l="1"/>
  <c r="P48" i="45" s="1"/>
  <c r="E49" i="45"/>
  <c r="D48" i="45"/>
  <c r="U47" i="45"/>
  <c r="V47" i="45" s="1"/>
  <c r="M30" i="45"/>
  <c r="R31" i="43"/>
  <c r="Q31" i="43"/>
  <c r="F30" i="43"/>
  <c r="G30" i="43" s="1"/>
  <c r="W30" i="43"/>
  <c r="M31" i="43"/>
  <c r="K31" i="43"/>
  <c r="L31" i="43" s="1"/>
  <c r="N31" i="43" s="1"/>
  <c r="I47" i="43"/>
  <c r="P47" i="43" s="1"/>
  <c r="E48" i="43"/>
  <c r="D47" i="43"/>
  <c r="U46" i="43"/>
  <c r="V46" i="43" s="1"/>
  <c r="K32" i="42"/>
  <c r="L32" i="42" s="1"/>
  <c r="N32" i="42" s="1"/>
  <c r="Q32" i="42" s="1"/>
  <c r="S32" i="42" s="1"/>
  <c r="I48" i="42"/>
  <c r="P48" i="42" s="1"/>
  <c r="E49" i="42"/>
  <c r="D48" i="42"/>
  <c r="U47" i="42"/>
  <c r="V47" i="42" s="1"/>
  <c r="K31" i="41"/>
  <c r="L31" i="41" s="1"/>
  <c r="N31" i="41" s="1"/>
  <c r="Q31" i="41" s="1"/>
  <c r="U46" i="41"/>
  <c r="V46" i="41" s="1"/>
  <c r="I47" i="41"/>
  <c r="P47" i="41" s="1"/>
  <c r="D47" i="41"/>
  <c r="E48" i="41"/>
  <c r="M32" i="40"/>
  <c r="K32" i="40"/>
  <c r="L32" i="40" s="1"/>
  <c r="N32" i="40" s="1"/>
  <c r="Q32" i="40" s="1"/>
  <c r="I47" i="40"/>
  <c r="P47" i="40" s="1"/>
  <c r="E48" i="40"/>
  <c r="D47" i="40"/>
  <c r="U46" i="40"/>
  <c r="V46" i="40" s="1"/>
  <c r="E50" i="39"/>
  <c r="D49" i="39"/>
  <c r="I49" i="39"/>
  <c r="P49" i="39" s="1"/>
  <c r="R33" i="36"/>
  <c r="U48" i="39"/>
  <c r="V48" i="39" s="1"/>
  <c r="M30" i="39"/>
  <c r="U47" i="38"/>
  <c r="V47" i="38" s="1"/>
  <c r="I48" i="38"/>
  <c r="P48" i="38" s="1"/>
  <c r="E49" i="38"/>
  <c r="D48" i="38"/>
  <c r="F32" i="36"/>
  <c r="G32" i="36" s="1"/>
  <c r="K31" i="38"/>
  <c r="L31" i="38" s="1"/>
  <c r="N31" i="38" s="1"/>
  <c r="Q31" i="38" s="1"/>
  <c r="U48" i="28"/>
  <c r="V48" i="28" s="1"/>
  <c r="K32" i="28"/>
  <c r="L32" i="28" s="1"/>
  <c r="N32" i="28" s="1"/>
  <c r="Q32" i="28" s="1"/>
  <c r="E50" i="28"/>
  <c r="D49" i="28"/>
  <c r="I49" i="28"/>
  <c r="P49" i="28" s="1"/>
  <c r="M31" i="27"/>
  <c r="I48" i="27"/>
  <c r="P48" i="27" s="1"/>
  <c r="E49" i="27"/>
  <c r="D48" i="27"/>
  <c r="U47" i="27"/>
  <c r="V47" i="27" s="1"/>
  <c r="U48" i="37"/>
  <c r="V48" i="37" s="1"/>
  <c r="E50" i="37"/>
  <c r="D49" i="37"/>
  <c r="I49" i="37"/>
  <c r="P49" i="37" s="1"/>
  <c r="K31" i="37"/>
  <c r="L31" i="37" s="1"/>
  <c r="N31" i="37" s="1"/>
  <c r="Q31" i="37" s="1"/>
  <c r="E49" i="25"/>
  <c r="I48" i="25"/>
  <c r="P48" i="25" s="1"/>
  <c r="D48" i="25"/>
  <c r="U47" i="25"/>
  <c r="V47" i="25" s="1"/>
  <c r="M30" i="25"/>
  <c r="U48" i="36"/>
  <c r="V48" i="36" s="1"/>
  <c r="K33" i="36"/>
  <c r="L33" i="36" s="1"/>
  <c r="N33" i="36" s="1"/>
  <c r="Q33" i="36" s="1"/>
  <c r="D49" i="36"/>
  <c r="I49" i="36"/>
  <c r="P49" i="36" s="1"/>
  <c r="E50" i="36"/>
  <c r="R31" i="35"/>
  <c r="F30" i="35"/>
  <c r="G30" i="35" s="1"/>
  <c r="W30" i="35"/>
  <c r="M30" i="35"/>
  <c r="U47" i="35"/>
  <c r="V47" i="35" s="1"/>
  <c r="S35" i="30"/>
  <c r="W35" i="30" s="1"/>
  <c r="E49" i="35"/>
  <c r="I48" i="35"/>
  <c r="P48" i="35" s="1"/>
  <c r="D48" i="35"/>
  <c r="U48" i="34"/>
  <c r="V48" i="34" s="1"/>
  <c r="D49" i="34"/>
  <c r="E50" i="34"/>
  <c r="I49" i="34"/>
  <c r="P49" i="34" s="1"/>
  <c r="K35" i="34"/>
  <c r="L35" i="34" s="1"/>
  <c r="N35" i="34" s="1"/>
  <c r="Q35" i="34" s="1"/>
  <c r="S35" i="34" s="1"/>
  <c r="E48" i="23"/>
  <c r="D47" i="23"/>
  <c r="I47" i="23"/>
  <c r="P47" i="23" s="1"/>
  <c r="U46" i="23"/>
  <c r="V46" i="23" s="1"/>
  <c r="M31" i="23"/>
  <c r="K31" i="23"/>
  <c r="L31" i="23" s="1"/>
  <c r="N31" i="23" s="1"/>
  <c r="Q31" i="23" s="1"/>
  <c r="I47" i="26"/>
  <c r="P47" i="26" s="1"/>
  <c r="E48" i="26"/>
  <c r="D47" i="26"/>
  <c r="U46" i="26"/>
  <c r="V46" i="26" s="1"/>
  <c r="K33" i="26"/>
  <c r="L33" i="26" s="1"/>
  <c r="N33" i="26" s="1"/>
  <c r="Q33" i="26" s="1"/>
  <c r="K31" i="24"/>
  <c r="L31" i="24" s="1"/>
  <c r="N31" i="24" s="1"/>
  <c r="Q31" i="24" s="1"/>
  <c r="I47" i="24"/>
  <c r="P47" i="24" s="1"/>
  <c r="E48" i="24"/>
  <c r="D47" i="24"/>
  <c r="U46" i="24"/>
  <c r="V46" i="24" s="1"/>
  <c r="K30" i="32"/>
  <c r="L30" i="32" s="1"/>
  <c r="N30" i="32" s="1"/>
  <c r="Q30" i="32" s="1"/>
  <c r="E50" i="32"/>
  <c r="D49" i="32"/>
  <c r="I49" i="32"/>
  <c r="P49" i="32" s="1"/>
  <c r="U48" i="32"/>
  <c r="V48" i="32" s="1"/>
  <c r="R33" i="31"/>
  <c r="F32" i="31"/>
  <c r="G32" i="31" s="1"/>
  <c r="W32" i="31"/>
  <c r="M32" i="31"/>
  <c r="U47" i="31"/>
  <c r="V47" i="31" s="1"/>
  <c r="I48" i="31"/>
  <c r="P48" i="31" s="1"/>
  <c r="E49" i="31"/>
  <c r="D48" i="31"/>
  <c r="U46" i="30"/>
  <c r="V46" i="30" s="1"/>
  <c r="I47" i="30"/>
  <c r="P47" i="30" s="1"/>
  <c r="E48" i="30"/>
  <c r="D47" i="30"/>
  <c r="M35" i="30"/>
  <c r="K31" i="29"/>
  <c r="L31" i="29" s="1"/>
  <c r="N31" i="29" s="1"/>
  <c r="Q31" i="29" s="1"/>
  <c r="S31" i="29" s="1"/>
  <c r="I48" i="29"/>
  <c r="P48" i="29" s="1"/>
  <c r="E49" i="29"/>
  <c r="D48" i="29"/>
  <c r="U47" i="29"/>
  <c r="V47" i="29" s="1"/>
  <c r="S31" i="43" l="1"/>
  <c r="R32" i="43" s="1"/>
  <c r="K31" i="45"/>
  <c r="L31" i="45" s="1"/>
  <c r="N31" i="45" s="1"/>
  <c r="Q31" i="45" s="1"/>
  <c r="E50" i="45"/>
  <c r="D49" i="45"/>
  <c r="I49" i="45"/>
  <c r="P49" i="45" s="1"/>
  <c r="U48" i="45"/>
  <c r="V48" i="45" s="1"/>
  <c r="K32" i="43"/>
  <c r="L32" i="43" s="1"/>
  <c r="N32" i="43" s="1"/>
  <c r="I48" i="43"/>
  <c r="P48" i="43" s="1"/>
  <c r="E49" i="43"/>
  <c r="D48" i="43"/>
  <c r="U47" i="43"/>
  <c r="V47" i="43" s="1"/>
  <c r="E50" i="42"/>
  <c r="D49" i="42"/>
  <c r="I49" i="42"/>
  <c r="P49" i="42" s="1"/>
  <c r="U48" i="42"/>
  <c r="V48" i="42" s="1"/>
  <c r="R33" i="42"/>
  <c r="F32" i="42"/>
  <c r="G32" i="42" s="1"/>
  <c r="W32" i="42"/>
  <c r="M32" i="42"/>
  <c r="I48" i="41"/>
  <c r="P48" i="41" s="1"/>
  <c r="D48" i="41"/>
  <c r="E49" i="41"/>
  <c r="U47" i="41"/>
  <c r="V47" i="41" s="1"/>
  <c r="M31" i="41"/>
  <c r="I48" i="40"/>
  <c r="P48" i="40" s="1"/>
  <c r="E49" i="40"/>
  <c r="D48" i="40"/>
  <c r="S33" i="36"/>
  <c r="W33" i="36" s="1"/>
  <c r="U47" i="40"/>
  <c r="V47" i="40" s="1"/>
  <c r="M33" i="40"/>
  <c r="K33" i="40"/>
  <c r="L33" i="40" s="1"/>
  <c r="N33" i="40" s="1"/>
  <c r="Q33" i="40" s="1"/>
  <c r="S33" i="40" s="1"/>
  <c r="U49" i="39"/>
  <c r="V49" i="39" s="1"/>
  <c r="K31" i="39"/>
  <c r="L31" i="39" s="1"/>
  <c r="N31" i="39" s="1"/>
  <c r="Q31" i="39" s="1"/>
  <c r="E51" i="39"/>
  <c r="D50" i="39"/>
  <c r="I50" i="39"/>
  <c r="P50" i="39" s="1"/>
  <c r="E50" i="38"/>
  <c r="D49" i="38"/>
  <c r="I49" i="38"/>
  <c r="P49" i="38" s="1"/>
  <c r="U48" i="38"/>
  <c r="V48" i="38" s="1"/>
  <c r="M31" i="38"/>
  <c r="E51" i="28"/>
  <c r="D50" i="28"/>
  <c r="I50" i="28"/>
  <c r="P50" i="28" s="1"/>
  <c r="M32" i="28"/>
  <c r="U49" i="28"/>
  <c r="V49" i="28" s="1"/>
  <c r="F35" i="30"/>
  <c r="G35" i="30" s="1"/>
  <c r="E50" i="27"/>
  <c r="D49" i="27"/>
  <c r="I49" i="27"/>
  <c r="P49" i="27" s="1"/>
  <c r="U48" i="27"/>
  <c r="V48" i="27" s="1"/>
  <c r="K32" i="27"/>
  <c r="L32" i="27" s="1"/>
  <c r="N32" i="27" s="1"/>
  <c r="Q32" i="27" s="1"/>
  <c r="U49" i="37"/>
  <c r="V49" i="37" s="1"/>
  <c r="D50" i="37"/>
  <c r="I50" i="37"/>
  <c r="P50" i="37" s="1"/>
  <c r="E51" i="37"/>
  <c r="M31" i="37"/>
  <c r="U48" i="25"/>
  <c r="V48" i="25" s="1"/>
  <c r="E50" i="25"/>
  <c r="D49" i="25"/>
  <c r="I49" i="25"/>
  <c r="P49" i="25" s="1"/>
  <c r="K31" i="25"/>
  <c r="L31" i="25" s="1"/>
  <c r="N31" i="25" s="1"/>
  <c r="Q31" i="25" s="1"/>
  <c r="D50" i="36"/>
  <c r="I50" i="36"/>
  <c r="P50" i="36" s="1"/>
  <c r="E51" i="36"/>
  <c r="R36" i="30"/>
  <c r="U49" i="36"/>
  <c r="V49" i="36" s="1"/>
  <c r="M33" i="36"/>
  <c r="K31" i="35"/>
  <c r="L31" i="35" s="1"/>
  <c r="N31" i="35" s="1"/>
  <c r="Q31" i="35" s="1"/>
  <c r="S31" i="35" s="1"/>
  <c r="D49" i="35"/>
  <c r="I49" i="35"/>
  <c r="P49" i="35" s="1"/>
  <c r="E50" i="35"/>
  <c r="U48" i="35"/>
  <c r="V48" i="35" s="1"/>
  <c r="U49" i="34"/>
  <c r="V49" i="34" s="1"/>
  <c r="R36" i="34"/>
  <c r="F35" i="34"/>
  <c r="G35" i="34" s="1"/>
  <c r="W35" i="34"/>
  <c r="D50" i="34"/>
  <c r="I50" i="34"/>
  <c r="P50" i="34" s="1"/>
  <c r="E51" i="34"/>
  <c r="M35" i="34"/>
  <c r="U47" i="23"/>
  <c r="V47" i="23" s="1"/>
  <c r="K32" i="23"/>
  <c r="L32" i="23" s="1"/>
  <c r="N32" i="23" s="1"/>
  <c r="Q32" i="23" s="1"/>
  <c r="I48" i="23"/>
  <c r="P48" i="23" s="1"/>
  <c r="E49" i="23"/>
  <c r="D48" i="23"/>
  <c r="E49" i="26"/>
  <c r="D48" i="26"/>
  <c r="I48" i="26"/>
  <c r="P48" i="26" s="1"/>
  <c r="U47" i="26"/>
  <c r="V47" i="26" s="1"/>
  <c r="M33" i="26"/>
  <c r="E49" i="24"/>
  <c r="D48" i="24"/>
  <c r="I48" i="24"/>
  <c r="P48" i="24" s="1"/>
  <c r="U47" i="24"/>
  <c r="V47" i="24" s="1"/>
  <c r="M31" i="24"/>
  <c r="U49" i="32"/>
  <c r="V49" i="32" s="1"/>
  <c r="E51" i="32"/>
  <c r="D50" i="32"/>
  <c r="I50" i="32"/>
  <c r="P50" i="32" s="1"/>
  <c r="M30" i="32"/>
  <c r="K33" i="31"/>
  <c r="L33" i="31" s="1"/>
  <c r="N33" i="31" s="1"/>
  <c r="Q33" i="31" s="1"/>
  <c r="S33" i="31" s="1"/>
  <c r="D49" i="31"/>
  <c r="E50" i="31"/>
  <c r="I49" i="31"/>
  <c r="P49" i="31" s="1"/>
  <c r="U48" i="31"/>
  <c r="V48" i="31" s="1"/>
  <c r="I48" i="30"/>
  <c r="P48" i="30" s="1"/>
  <c r="E49" i="30"/>
  <c r="D48" i="30"/>
  <c r="K36" i="30"/>
  <c r="L36" i="30" s="1"/>
  <c r="N36" i="30" s="1"/>
  <c r="Q36" i="30" s="1"/>
  <c r="U47" i="30"/>
  <c r="V47" i="30" s="1"/>
  <c r="D49" i="29"/>
  <c r="E50" i="29"/>
  <c r="I49" i="29"/>
  <c r="P49" i="29" s="1"/>
  <c r="U48" i="29"/>
  <c r="V48" i="29" s="1"/>
  <c r="R32" i="29"/>
  <c r="F31" i="29"/>
  <c r="G31" i="29" s="1"/>
  <c r="W31" i="29"/>
  <c r="M31" i="29"/>
  <c r="R34" i="36" l="1"/>
  <c r="W31" i="43"/>
  <c r="F31" i="43"/>
  <c r="G31" i="43" s="1"/>
  <c r="Q32" i="43"/>
  <c r="S32" i="43" s="1"/>
  <c r="U49" i="45"/>
  <c r="V49" i="45" s="1"/>
  <c r="E51" i="45"/>
  <c r="D50" i="45"/>
  <c r="I50" i="45"/>
  <c r="P50" i="45" s="1"/>
  <c r="M31" i="45"/>
  <c r="M32" i="43"/>
  <c r="E50" i="43"/>
  <c r="D49" i="43"/>
  <c r="I49" i="43"/>
  <c r="P49" i="43" s="1"/>
  <c r="U48" i="43"/>
  <c r="V48" i="43" s="1"/>
  <c r="K33" i="42"/>
  <c r="L33" i="42" s="1"/>
  <c r="N33" i="42" s="1"/>
  <c r="Q33" i="42" s="1"/>
  <c r="S33" i="42" s="1"/>
  <c r="U49" i="42"/>
  <c r="V49" i="42" s="1"/>
  <c r="E51" i="42"/>
  <c r="D50" i="42"/>
  <c r="I50" i="42"/>
  <c r="P50" i="42" s="1"/>
  <c r="F33" i="36"/>
  <c r="G33" i="36" s="1"/>
  <c r="U48" i="41"/>
  <c r="V48" i="41" s="1"/>
  <c r="E50" i="41"/>
  <c r="D49" i="41"/>
  <c r="I49" i="41"/>
  <c r="P49" i="41" s="1"/>
  <c r="M32" i="41"/>
  <c r="K32" i="41"/>
  <c r="L32" i="41" s="1"/>
  <c r="N32" i="41" s="1"/>
  <c r="Q32" i="41" s="1"/>
  <c r="E50" i="40"/>
  <c r="D49" i="40"/>
  <c r="I49" i="40"/>
  <c r="P49" i="40" s="1"/>
  <c r="R34" i="40"/>
  <c r="F33" i="40"/>
  <c r="G33" i="40" s="1"/>
  <c r="W33" i="40"/>
  <c r="U48" i="40"/>
  <c r="V48" i="40" s="1"/>
  <c r="K34" i="40"/>
  <c r="L34" i="40" s="1"/>
  <c r="N34" i="40" s="1"/>
  <c r="Q34" i="40" s="1"/>
  <c r="D51" i="39"/>
  <c r="I51" i="39"/>
  <c r="P51" i="39" s="1"/>
  <c r="E52" i="39"/>
  <c r="M31" i="39"/>
  <c r="U50" i="39"/>
  <c r="V50" i="39" s="1"/>
  <c r="K32" i="38"/>
  <c r="L32" i="38" s="1"/>
  <c r="N32" i="38" s="1"/>
  <c r="Q32" i="38" s="1"/>
  <c r="E51" i="38"/>
  <c r="D50" i="38"/>
  <c r="I50" i="38"/>
  <c r="P50" i="38" s="1"/>
  <c r="U49" i="38"/>
  <c r="V49" i="38" s="1"/>
  <c r="K33" i="28"/>
  <c r="L33" i="28" s="1"/>
  <c r="N33" i="28" s="1"/>
  <c r="Q33" i="28" s="1"/>
  <c r="S33" i="28" s="1"/>
  <c r="U50" i="28"/>
  <c r="V50" i="28" s="1"/>
  <c r="D51" i="28"/>
  <c r="I51" i="28"/>
  <c r="P51" i="28" s="1"/>
  <c r="E52" i="28"/>
  <c r="U49" i="27"/>
  <c r="V49" i="27" s="1"/>
  <c r="E51" i="27"/>
  <c r="D50" i="27"/>
  <c r="I50" i="27"/>
  <c r="P50" i="27" s="1"/>
  <c r="M32" i="27"/>
  <c r="D51" i="37"/>
  <c r="E52" i="37"/>
  <c r="I51" i="37"/>
  <c r="P51" i="37" s="1"/>
  <c r="U50" i="37"/>
  <c r="V50" i="37" s="1"/>
  <c r="K32" i="37"/>
  <c r="L32" i="37" s="1"/>
  <c r="N32" i="37" s="1"/>
  <c r="Q32" i="37" s="1"/>
  <c r="S32" i="37" s="1"/>
  <c r="U49" i="25"/>
  <c r="V49" i="25" s="1"/>
  <c r="D50" i="25"/>
  <c r="E51" i="25"/>
  <c r="I50" i="25"/>
  <c r="P50" i="25" s="1"/>
  <c r="M31" i="25"/>
  <c r="K34" i="36"/>
  <c r="L34" i="36" s="1"/>
  <c r="N34" i="36" s="1"/>
  <c r="Q34" i="36" s="1"/>
  <c r="S34" i="36" s="1"/>
  <c r="S36" i="30"/>
  <c r="R37" i="30" s="1"/>
  <c r="U50" i="36"/>
  <c r="V50" i="36" s="1"/>
  <c r="I51" i="36"/>
  <c r="P51" i="36" s="1"/>
  <c r="E52" i="36"/>
  <c r="D51" i="36"/>
  <c r="D50" i="35"/>
  <c r="E51" i="35"/>
  <c r="I50" i="35"/>
  <c r="P50" i="35" s="1"/>
  <c r="R32" i="35"/>
  <c r="F31" i="35"/>
  <c r="G31" i="35" s="1"/>
  <c r="W31" i="35"/>
  <c r="U49" i="35"/>
  <c r="V49" i="35" s="1"/>
  <c r="M31" i="35"/>
  <c r="K36" i="34"/>
  <c r="L36" i="34" s="1"/>
  <c r="N36" i="34" s="1"/>
  <c r="Q36" i="34" s="1"/>
  <c r="S36" i="34" s="1"/>
  <c r="I51" i="34"/>
  <c r="P51" i="34" s="1"/>
  <c r="D51" i="34"/>
  <c r="E52" i="34"/>
  <c r="U50" i="34"/>
  <c r="V50" i="34" s="1"/>
  <c r="D49" i="23"/>
  <c r="E50" i="23"/>
  <c r="I49" i="23"/>
  <c r="P49" i="23" s="1"/>
  <c r="M32" i="23"/>
  <c r="U48" i="23"/>
  <c r="V48" i="23" s="1"/>
  <c r="K34" i="26"/>
  <c r="L34" i="26" s="1"/>
  <c r="N34" i="26" s="1"/>
  <c r="Q34" i="26" s="1"/>
  <c r="S34" i="26" s="1"/>
  <c r="U48" i="26"/>
  <c r="V48" i="26" s="1"/>
  <c r="E50" i="26"/>
  <c r="D49" i="26"/>
  <c r="I49" i="26"/>
  <c r="P49" i="26" s="1"/>
  <c r="E50" i="24"/>
  <c r="D49" i="24"/>
  <c r="I49" i="24"/>
  <c r="P49" i="24" s="1"/>
  <c r="U48" i="24"/>
  <c r="V48" i="24" s="1"/>
  <c r="M32" i="24"/>
  <c r="K32" i="24"/>
  <c r="L32" i="24" s="1"/>
  <c r="N32" i="24" s="1"/>
  <c r="Q32" i="24" s="1"/>
  <c r="K31" i="32"/>
  <c r="L31" i="32" s="1"/>
  <c r="N31" i="32" s="1"/>
  <c r="Q31" i="32" s="1"/>
  <c r="S31" i="32" s="1"/>
  <c r="U50" i="32"/>
  <c r="V50" i="32" s="1"/>
  <c r="D51" i="32"/>
  <c r="I51" i="32"/>
  <c r="P51" i="32" s="1"/>
  <c r="E52" i="32"/>
  <c r="U49" i="31"/>
  <c r="V49" i="31" s="1"/>
  <c r="E51" i="31"/>
  <c r="D50" i="31"/>
  <c r="I50" i="31"/>
  <c r="P50" i="31" s="1"/>
  <c r="R34" i="31"/>
  <c r="F33" i="31"/>
  <c r="G33" i="31" s="1"/>
  <c r="W33" i="31"/>
  <c r="M33" i="31"/>
  <c r="M36" i="30"/>
  <c r="E50" i="30"/>
  <c r="D49" i="30"/>
  <c r="I49" i="30"/>
  <c r="P49" i="30" s="1"/>
  <c r="U48" i="30"/>
  <c r="V48" i="30" s="1"/>
  <c r="K32" i="29"/>
  <c r="L32" i="29" s="1"/>
  <c r="N32" i="29" s="1"/>
  <c r="Q32" i="29" s="1"/>
  <c r="S32" i="29" s="1"/>
  <c r="U49" i="29"/>
  <c r="V49" i="29" s="1"/>
  <c r="E51" i="29"/>
  <c r="D50" i="29"/>
  <c r="I50" i="29"/>
  <c r="P50" i="29" s="1"/>
  <c r="F32" i="43" l="1"/>
  <c r="G32" i="43" s="1"/>
  <c r="W32" i="43"/>
  <c r="R33" i="43"/>
  <c r="K32" i="45"/>
  <c r="L32" i="45" s="1"/>
  <c r="N32" i="45" s="1"/>
  <c r="Q32" i="45" s="1"/>
  <c r="S32" i="45" s="1"/>
  <c r="U50" i="45"/>
  <c r="V50" i="45" s="1"/>
  <c r="D51" i="45"/>
  <c r="I51" i="45"/>
  <c r="P51" i="45" s="1"/>
  <c r="E52" i="45"/>
  <c r="K33" i="43"/>
  <c r="L33" i="43" s="1"/>
  <c r="N33" i="43" s="1"/>
  <c r="Q33" i="43" s="1"/>
  <c r="U49" i="43"/>
  <c r="V49" i="43" s="1"/>
  <c r="E51" i="43"/>
  <c r="D50" i="43"/>
  <c r="I50" i="43"/>
  <c r="P50" i="43" s="1"/>
  <c r="R34" i="42"/>
  <c r="F33" i="42"/>
  <c r="G33" i="42" s="1"/>
  <c r="W33" i="42"/>
  <c r="M33" i="42"/>
  <c r="D51" i="42"/>
  <c r="I51" i="42"/>
  <c r="P51" i="42" s="1"/>
  <c r="E52" i="42"/>
  <c r="U50" i="42"/>
  <c r="V50" i="42" s="1"/>
  <c r="K33" i="41"/>
  <c r="L33" i="41" s="1"/>
  <c r="N33" i="41" s="1"/>
  <c r="Q33" i="41" s="1"/>
  <c r="S33" i="41" s="1"/>
  <c r="U49" i="41"/>
  <c r="V49" i="41" s="1"/>
  <c r="E51" i="41"/>
  <c r="I50" i="41"/>
  <c r="P50" i="41" s="1"/>
  <c r="D50" i="41"/>
  <c r="S34" i="40"/>
  <c r="R35" i="40" s="1"/>
  <c r="M34" i="40"/>
  <c r="U49" i="40"/>
  <c r="V49" i="40" s="1"/>
  <c r="E51" i="40"/>
  <c r="D50" i="40"/>
  <c r="I50" i="40"/>
  <c r="P50" i="40" s="1"/>
  <c r="K32" i="39"/>
  <c r="L32" i="39" s="1"/>
  <c r="N32" i="39" s="1"/>
  <c r="Q32" i="39" s="1"/>
  <c r="D52" i="39"/>
  <c r="F52" i="39"/>
  <c r="G52" i="39" s="1"/>
  <c r="I52" i="39"/>
  <c r="P52" i="39" s="1"/>
  <c r="U52" i="39" s="1"/>
  <c r="V52" i="39" s="1"/>
  <c r="U51" i="39"/>
  <c r="V51" i="39" s="1"/>
  <c r="U50" i="38"/>
  <c r="V50" i="38" s="1"/>
  <c r="M32" i="38"/>
  <c r="D51" i="38"/>
  <c r="I51" i="38"/>
  <c r="P51" i="38" s="1"/>
  <c r="E52" i="38"/>
  <c r="U51" i="28"/>
  <c r="V51" i="28" s="1"/>
  <c r="M33" i="28"/>
  <c r="R34" i="28"/>
  <c r="F33" i="28"/>
  <c r="G33" i="28" s="1"/>
  <c r="W33" i="28"/>
  <c r="D52" i="28"/>
  <c r="I52" i="28"/>
  <c r="P52" i="28" s="1"/>
  <c r="U52" i="28" s="1"/>
  <c r="V52" i="28" s="1"/>
  <c r="U50" i="27"/>
  <c r="V50" i="27" s="1"/>
  <c r="K33" i="27"/>
  <c r="L33" i="27" s="1"/>
  <c r="N33" i="27" s="1"/>
  <c r="Q33" i="27" s="1"/>
  <c r="S33" i="27" s="1"/>
  <c r="D51" i="27"/>
  <c r="I51" i="27"/>
  <c r="P51" i="27" s="1"/>
  <c r="E52" i="27"/>
  <c r="R33" i="37"/>
  <c r="F32" i="37"/>
  <c r="G32" i="37" s="1"/>
  <c r="W32" i="37"/>
  <c r="M32" i="37"/>
  <c r="U51" i="37"/>
  <c r="V51" i="37" s="1"/>
  <c r="F52" i="37"/>
  <c r="G52" i="37" s="1"/>
  <c r="D52" i="37"/>
  <c r="I52" i="37"/>
  <c r="P52" i="37" s="1"/>
  <c r="U52" i="37" s="1"/>
  <c r="V52" i="37" s="1"/>
  <c r="K32" i="25"/>
  <c r="L32" i="25" s="1"/>
  <c r="N32" i="25" s="1"/>
  <c r="Q32" i="25" s="1"/>
  <c r="U50" i="25"/>
  <c r="V50" i="25" s="1"/>
  <c r="D51" i="25"/>
  <c r="E52" i="25"/>
  <c r="I51" i="25"/>
  <c r="P51" i="25" s="1"/>
  <c r="W36" i="30"/>
  <c r="U51" i="36"/>
  <c r="V51" i="36" s="1"/>
  <c r="F36" i="30"/>
  <c r="G36" i="30" s="1"/>
  <c r="R35" i="36"/>
  <c r="F34" i="36"/>
  <c r="G34" i="36" s="1"/>
  <c r="W34" i="36"/>
  <c r="I52" i="36"/>
  <c r="P52" i="36" s="1"/>
  <c r="U52" i="36" s="1"/>
  <c r="V52" i="36" s="1"/>
  <c r="D52" i="36"/>
  <c r="M34" i="36"/>
  <c r="U50" i="35"/>
  <c r="V50" i="35" s="1"/>
  <c r="E52" i="35"/>
  <c r="I51" i="35"/>
  <c r="P51" i="35" s="1"/>
  <c r="D51" i="35"/>
  <c r="M32" i="35"/>
  <c r="K32" i="35"/>
  <c r="L32" i="35" s="1"/>
  <c r="N32" i="35" s="1"/>
  <c r="Q32" i="35" s="1"/>
  <c r="S32" i="35" s="1"/>
  <c r="F52" i="34"/>
  <c r="G52" i="34" s="1"/>
  <c r="D52" i="34"/>
  <c r="I52" i="34"/>
  <c r="P52" i="34" s="1"/>
  <c r="U52" i="34" s="1"/>
  <c r="V52" i="34" s="1"/>
  <c r="U51" i="34"/>
  <c r="V51" i="34" s="1"/>
  <c r="R37" i="34"/>
  <c r="F36" i="34"/>
  <c r="G36" i="34" s="1"/>
  <c r="W36" i="34"/>
  <c r="M36" i="34"/>
  <c r="U49" i="23"/>
  <c r="V49" i="23" s="1"/>
  <c r="E51" i="23"/>
  <c r="D50" i="23"/>
  <c r="I50" i="23"/>
  <c r="P50" i="23" s="1"/>
  <c r="M33" i="23"/>
  <c r="K33" i="23"/>
  <c r="L33" i="23" s="1"/>
  <c r="N33" i="23" s="1"/>
  <c r="Q33" i="23" s="1"/>
  <c r="D50" i="26"/>
  <c r="E51" i="26"/>
  <c r="I50" i="26"/>
  <c r="P50" i="26" s="1"/>
  <c r="U49" i="26"/>
  <c r="V49" i="26" s="1"/>
  <c r="R35" i="26"/>
  <c r="F34" i="26"/>
  <c r="G34" i="26" s="1"/>
  <c r="W34" i="26"/>
  <c r="M34" i="26"/>
  <c r="D50" i="24"/>
  <c r="I50" i="24"/>
  <c r="P50" i="24" s="1"/>
  <c r="E51" i="24"/>
  <c r="U49" i="24"/>
  <c r="V49" i="24" s="1"/>
  <c r="K33" i="24"/>
  <c r="L33" i="24" s="1"/>
  <c r="N33" i="24" s="1"/>
  <c r="Q33" i="24" s="1"/>
  <c r="D52" i="32"/>
  <c r="F52" i="32"/>
  <c r="G52" i="32" s="1"/>
  <c r="I52" i="32"/>
  <c r="P52" i="32" s="1"/>
  <c r="U52" i="32" s="1"/>
  <c r="V52" i="32" s="1"/>
  <c r="U51" i="32"/>
  <c r="V51" i="32" s="1"/>
  <c r="R32" i="32"/>
  <c r="F31" i="32"/>
  <c r="G31" i="32" s="1"/>
  <c r="W31" i="32"/>
  <c r="M31" i="32"/>
  <c r="U50" i="31"/>
  <c r="V50" i="31" s="1"/>
  <c r="I51" i="31"/>
  <c r="P51" i="31" s="1"/>
  <c r="E52" i="31"/>
  <c r="D51" i="31"/>
  <c r="M34" i="31"/>
  <c r="K34" i="31"/>
  <c r="L34" i="31" s="1"/>
  <c r="N34" i="31" s="1"/>
  <c r="Q34" i="31" s="1"/>
  <c r="S34" i="31" s="1"/>
  <c r="U49" i="30"/>
  <c r="V49" i="30" s="1"/>
  <c r="E51" i="30"/>
  <c r="D50" i="30"/>
  <c r="I50" i="30"/>
  <c r="P50" i="30" s="1"/>
  <c r="M37" i="30"/>
  <c r="K37" i="30"/>
  <c r="L37" i="30" s="1"/>
  <c r="N37" i="30" s="1"/>
  <c r="Q37" i="30" s="1"/>
  <c r="S37" i="30" s="1"/>
  <c r="I51" i="29"/>
  <c r="P51" i="29" s="1"/>
  <c r="E52" i="29"/>
  <c r="D51" i="29"/>
  <c r="R33" i="29"/>
  <c r="F32" i="29"/>
  <c r="G32" i="29" s="1"/>
  <c r="W32" i="29"/>
  <c r="M32" i="29"/>
  <c r="U50" i="29"/>
  <c r="V50" i="29" s="1"/>
  <c r="S33" i="43" l="1"/>
  <c r="R34" i="43" s="1"/>
  <c r="U51" i="45"/>
  <c r="V51" i="45" s="1"/>
  <c r="R33" i="45"/>
  <c r="F32" i="45"/>
  <c r="G32" i="45" s="1"/>
  <c r="W32" i="45"/>
  <c r="D52" i="45"/>
  <c r="I52" i="45"/>
  <c r="P52" i="45" s="1"/>
  <c r="U52" i="45" s="1"/>
  <c r="V52" i="45" s="1"/>
  <c r="M32" i="45"/>
  <c r="D51" i="43"/>
  <c r="I51" i="43"/>
  <c r="P51" i="43" s="1"/>
  <c r="E52" i="43"/>
  <c r="U50" i="43"/>
  <c r="V50" i="43" s="1"/>
  <c r="M33" i="43"/>
  <c r="W34" i="40"/>
  <c r="F34" i="40"/>
  <c r="G34" i="40" s="1"/>
  <c r="K34" i="42"/>
  <c r="L34" i="42" s="1"/>
  <c r="N34" i="42" s="1"/>
  <c r="Q34" i="42" s="1"/>
  <c r="S34" i="42" s="1"/>
  <c r="U51" i="42"/>
  <c r="V51" i="42" s="1"/>
  <c r="D52" i="42"/>
  <c r="F52" i="42"/>
  <c r="G52" i="42" s="1"/>
  <c r="I52" i="42"/>
  <c r="P52" i="42" s="1"/>
  <c r="U52" i="42" s="1"/>
  <c r="V52" i="42" s="1"/>
  <c r="U50" i="41"/>
  <c r="V50" i="41" s="1"/>
  <c r="R34" i="41"/>
  <c r="F33" i="41"/>
  <c r="G33" i="41" s="1"/>
  <c r="W33" i="41"/>
  <c r="D51" i="41"/>
  <c r="E52" i="41"/>
  <c r="I51" i="41"/>
  <c r="P51" i="41" s="1"/>
  <c r="M33" i="41"/>
  <c r="U50" i="40"/>
  <c r="V50" i="40" s="1"/>
  <c r="K35" i="40"/>
  <c r="L35" i="40" s="1"/>
  <c r="N35" i="40" s="1"/>
  <c r="Q35" i="40" s="1"/>
  <c r="S35" i="40" s="1"/>
  <c r="D51" i="40"/>
  <c r="I51" i="40"/>
  <c r="P51" i="40" s="1"/>
  <c r="E52" i="40"/>
  <c r="M32" i="39"/>
  <c r="D52" i="38"/>
  <c r="I52" i="38"/>
  <c r="P52" i="38" s="1"/>
  <c r="U52" i="38" s="1"/>
  <c r="V52" i="38" s="1"/>
  <c r="F52" i="38"/>
  <c r="G52" i="38" s="1"/>
  <c r="U51" i="38"/>
  <c r="V51" i="38" s="1"/>
  <c r="K33" i="38"/>
  <c r="L33" i="38" s="1"/>
  <c r="N33" i="38" s="1"/>
  <c r="Q33" i="38" s="1"/>
  <c r="S33" i="38" s="1"/>
  <c r="F52" i="28"/>
  <c r="G52" i="28" s="1"/>
  <c r="K34" i="28"/>
  <c r="L34" i="28" s="1"/>
  <c r="N34" i="28" s="1"/>
  <c r="Q34" i="28" s="1"/>
  <c r="S34" i="28" s="1"/>
  <c r="U51" i="27"/>
  <c r="V51" i="27" s="1"/>
  <c r="M33" i="27"/>
  <c r="R34" i="27"/>
  <c r="F33" i="27"/>
  <c r="G33" i="27" s="1"/>
  <c r="W33" i="27"/>
  <c r="D52" i="27"/>
  <c r="I52" i="27"/>
  <c r="P52" i="27" s="1"/>
  <c r="U52" i="27" s="1"/>
  <c r="V52" i="27" s="1"/>
  <c r="K33" i="37"/>
  <c r="L33" i="37" s="1"/>
  <c r="N33" i="37" s="1"/>
  <c r="Q33" i="37" s="1"/>
  <c r="S33" i="37" s="1"/>
  <c r="U51" i="25"/>
  <c r="V51" i="25" s="1"/>
  <c r="D52" i="25"/>
  <c r="I52" i="25"/>
  <c r="P52" i="25" s="1"/>
  <c r="U52" i="25" s="1"/>
  <c r="V52" i="25" s="1"/>
  <c r="F52" i="25"/>
  <c r="G52" i="25" s="1"/>
  <c r="M32" i="25"/>
  <c r="K35" i="36"/>
  <c r="L35" i="36" s="1"/>
  <c r="N35" i="36" s="1"/>
  <c r="Q35" i="36" s="1"/>
  <c r="S35" i="36" s="1"/>
  <c r="F52" i="36"/>
  <c r="G52" i="36" s="1"/>
  <c r="U51" i="35"/>
  <c r="V51" i="35" s="1"/>
  <c r="D52" i="35"/>
  <c r="F52" i="35"/>
  <c r="G52" i="35" s="1"/>
  <c r="I52" i="35"/>
  <c r="P52" i="35" s="1"/>
  <c r="U52" i="35" s="1"/>
  <c r="V52" i="35" s="1"/>
  <c r="K33" i="35"/>
  <c r="L33" i="35" s="1"/>
  <c r="N33" i="35" s="1"/>
  <c r="Q33" i="35"/>
  <c r="R33" i="35"/>
  <c r="F32" i="35"/>
  <c r="G32" i="35" s="1"/>
  <c r="W32" i="35"/>
  <c r="K37" i="34"/>
  <c r="L37" i="34" s="1"/>
  <c r="N37" i="34" s="1"/>
  <c r="Q37" i="34" s="1"/>
  <c r="S37" i="34" s="1"/>
  <c r="E52" i="23"/>
  <c r="I51" i="23"/>
  <c r="P51" i="23" s="1"/>
  <c r="D51" i="23"/>
  <c r="K34" i="23"/>
  <c r="L34" i="23" s="1"/>
  <c r="N34" i="23" s="1"/>
  <c r="Q34" i="23" s="1"/>
  <c r="U50" i="23"/>
  <c r="V50" i="23" s="1"/>
  <c r="K35" i="26"/>
  <c r="L35" i="26" s="1"/>
  <c r="N35" i="26" s="1"/>
  <c r="Q35" i="26" s="1"/>
  <c r="S35" i="26" s="1"/>
  <c r="U50" i="26"/>
  <c r="V50" i="26" s="1"/>
  <c r="D51" i="26"/>
  <c r="E52" i="26"/>
  <c r="I51" i="26"/>
  <c r="P51" i="26" s="1"/>
  <c r="U50" i="24"/>
  <c r="V50" i="24" s="1"/>
  <c r="D51" i="24"/>
  <c r="I51" i="24"/>
  <c r="P51" i="24" s="1"/>
  <c r="E52" i="24"/>
  <c r="M33" i="24"/>
  <c r="K32" i="32"/>
  <c r="L32" i="32" s="1"/>
  <c r="N32" i="32" s="1"/>
  <c r="Q32" i="32" s="1"/>
  <c r="S32" i="32" s="1"/>
  <c r="K35" i="31"/>
  <c r="L35" i="31" s="1"/>
  <c r="N35" i="31" s="1"/>
  <c r="U51" i="31"/>
  <c r="V51" i="31" s="1"/>
  <c r="D52" i="31"/>
  <c r="I52" i="31"/>
  <c r="P52" i="31" s="1"/>
  <c r="U52" i="31" s="1"/>
  <c r="V52" i="31" s="1"/>
  <c r="R35" i="31"/>
  <c r="Q35" i="31"/>
  <c r="F34" i="31"/>
  <c r="G34" i="31" s="1"/>
  <c r="W34" i="31"/>
  <c r="D51" i="30"/>
  <c r="I51" i="30"/>
  <c r="P51" i="30" s="1"/>
  <c r="E52" i="30"/>
  <c r="R38" i="30"/>
  <c r="F37" i="30"/>
  <c r="G37" i="30" s="1"/>
  <c r="W37" i="30"/>
  <c r="U50" i="30"/>
  <c r="V50" i="30" s="1"/>
  <c r="M38" i="30"/>
  <c r="K38" i="30"/>
  <c r="L38" i="30" s="1"/>
  <c r="N38" i="30" s="1"/>
  <c r="Q38" i="30" s="1"/>
  <c r="D52" i="29"/>
  <c r="I52" i="29"/>
  <c r="P52" i="29" s="1"/>
  <c r="U52" i="29" s="1"/>
  <c r="V52" i="29" s="1"/>
  <c r="M33" i="29"/>
  <c r="K33" i="29"/>
  <c r="L33" i="29" s="1"/>
  <c r="N33" i="29" s="1"/>
  <c r="Q33" i="29" s="1"/>
  <c r="S33" i="29" s="1"/>
  <c r="U51" i="29"/>
  <c r="V51" i="29" s="1"/>
  <c r="W33" i="43" l="1"/>
  <c r="F33" i="43"/>
  <c r="G33" i="43" s="1"/>
  <c r="K33" i="45"/>
  <c r="L33" i="45" s="1"/>
  <c r="N33" i="45" s="1"/>
  <c r="Q33" i="45" s="1"/>
  <c r="S33" i="45" s="1"/>
  <c r="F52" i="45"/>
  <c r="G52" i="45" s="1"/>
  <c r="D52" i="43"/>
  <c r="I52" i="43"/>
  <c r="P52" i="43" s="1"/>
  <c r="U52" i="43" s="1"/>
  <c r="V52" i="43" s="1"/>
  <c r="U51" i="43"/>
  <c r="V51" i="43" s="1"/>
  <c r="K34" i="43"/>
  <c r="L34" i="43" s="1"/>
  <c r="N34" i="43" s="1"/>
  <c r="Q34" i="43" s="1"/>
  <c r="S34" i="43" s="1"/>
  <c r="R35" i="42"/>
  <c r="F34" i="42"/>
  <c r="G34" i="42" s="1"/>
  <c r="W34" i="42"/>
  <c r="M34" i="42"/>
  <c r="K34" i="41"/>
  <c r="L34" i="41" s="1"/>
  <c r="N34" i="41" s="1"/>
  <c r="Q34" i="41" s="1"/>
  <c r="S34" i="41" s="1"/>
  <c r="D52" i="41"/>
  <c r="I52" i="41"/>
  <c r="P52" i="41" s="1"/>
  <c r="U52" i="41" s="1"/>
  <c r="V52" i="41" s="1"/>
  <c r="F52" i="41"/>
  <c r="G52" i="41" s="1"/>
  <c r="U51" i="41"/>
  <c r="V51" i="41" s="1"/>
  <c r="D52" i="40"/>
  <c r="I52" i="40"/>
  <c r="P52" i="40" s="1"/>
  <c r="U52" i="40" s="1"/>
  <c r="V52" i="40" s="1"/>
  <c r="R36" i="40"/>
  <c r="F35" i="40"/>
  <c r="G35" i="40" s="1"/>
  <c r="W35" i="40"/>
  <c r="M35" i="40"/>
  <c r="U51" i="40"/>
  <c r="V51" i="40" s="1"/>
  <c r="K33" i="39"/>
  <c r="L33" i="39" s="1"/>
  <c r="N33" i="39" s="1"/>
  <c r="Q33" i="39" s="1"/>
  <c r="R34" i="38"/>
  <c r="F33" i="38"/>
  <c r="G33" i="38" s="1"/>
  <c r="W33" i="38"/>
  <c r="M33" i="38"/>
  <c r="R35" i="28"/>
  <c r="F34" i="28"/>
  <c r="G34" i="28" s="1"/>
  <c r="W34" i="28"/>
  <c r="M34" i="28"/>
  <c r="F52" i="27"/>
  <c r="G52" i="27" s="1"/>
  <c r="K34" i="27"/>
  <c r="L34" i="27" s="1"/>
  <c r="N34" i="27" s="1"/>
  <c r="Q34" i="27" s="1"/>
  <c r="S34" i="27" s="1"/>
  <c r="R34" i="37"/>
  <c r="F33" i="37"/>
  <c r="G33" i="37" s="1"/>
  <c r="W33" i="37"/>
  <c r="M33" i="37"/>
  <c r="M33" i="25"/>
  <c r="K33" i="25"/>
  <c r="L33" i="25" s="1"/>
  <c r="N33" i="25" s="1"/>
  <c r="Q33" i="25" s="1"/>
  <c r="S33" i="35"/>
  <c r="W33" i="35" s="1"/>
  <c r="R36" i="36"/>
  <c r="F35" i="36"/>
  <c r="G35" i="36" s="1"/>
  <c r="W35" i="36"/>
  <c r="M35" i="36"/>
  <c r="M33" i="35"/>
  <c r="R38" i="34"/>
  <c r="F37" i="34"/>
  <c r="G37" i="34" s="1"/>
  <c r="W37" i="34"/>
  <c r="M37" i="34"/>
  <c r="M34" i="23"/>
  <c r="S35" i="31"/>
  <c r="W35" i="31" s="1"/>
  <c r="U51" i="23"/>
  <c r="V51" i="23" s="1"/>
  <c r="D52" i="23"/>
  <c r="I52" i="23"/>
  <c r="P52" i="23" s="1"/>
  <c r="R36" i="26"/>
  <c r="F35" i="26"/>
  <c r="G35" i="26" s="1"/>
  <c r="W35" i="26"/>
  <c r="U51" i="26"/>
  <c r="V51" i="26" s="1"/>
  <c r="M35" i="26"/>
  <c r="I52" i="26"/>
  <c r="P52" i="26" s="1"/>
  <c r="U52" i="26" s="1"/>
  <c r="V52" i="26" s="1"/>
  <c r="F52" i="26"/>
  <c r="G52" i="26" s="1"/>
  <c r="D52" i="26"/>
  <c r="F52" i="24"/>
  <c r="G52" i="24" s="1"/>
  <c r="D52" i="24"/>
  <c r="I52" i="24"/>
  <c r="P52" i="24" s="1"/>
  <c r="U52" i="24" s="1"/>
  <c r="V52" i="24" s="1"/>
  <c r="U51" i="24"/>
  <c r="V51" i="24" s="1"/>
  <c r="S38" i="30"/>
  <c r="R39" i="30" s="1"/>
  <c r="M34" i="24"/>
  <c r="K34" i="24"/>
  <c r="L34" i="24" s="1"/>
  <c r="N34" i="24" s="1"/>
  <c r="Q34" i="24" s="1"/>
  <c r="R33" i="32"/>
  <c r="F32" i="32"/>
  <c r="G32" i="32" s="1"/>
  <c r="W32" i="32"/>
  <c r="M32" i="32"/>
  <c r="F52" i="31"/>
  <c r="G52" i="31" s="1"/>
  <c r="M35" i="31"/>
  <c r="K39" i="30"/>
  <c r="L39" i="30" s="1"/>
  <c r="N39" i="30" s="1"/>
  <c r="U51" i="30"/>
  <c r="V51" i="30" s="1"/>
  <c r="D52" i="30"/>
  <c r="I52" i="30"/>
  <c r="P52" i="30" s="1"/>
  <c r="U52" i="30" s="1"/>
  <c r="V52" i="30" s="1"/>
  <c r="R34" i="29"/>
  <c r="F33" i="29"/>
  <c r="G33" i="29" s="1"/>
  <c r="W33" i="29"/>
  <c r="M34" i="29"/>
  <c r="K34" i="29"/>
  <c r="L34" i="29" s="1"/>
  <c r="N34" i="29" s="1"/>
  <c r="Q34" i="29" s="1"/>
  <c r="F52" i="29"/>
  <c r="G52" i="29" s="1"/>
  <c r="R36" i="31" l="1"/>
  <c r="R34" i="45"/>
  <c r="F33" i="45"/>
  <c r="G33" i="45" s="1"/>
  <c r="W33" i="45"/>
  <c r="M33" i="45"/>
  <c r="R35" i="43"/>
  <c r="F34" i="43"/>
  <c r="G34" i="43" s="1"/>
  <c r="W34" i="43"/>
  <c r="M34" i="43"/>
  <c r="F52" i="43"/>
  <c r="G52" i="43" s="1"/>
  <c r="K35" i="42"/>
  <c r="L35" i="42" s="1"/>
  <c r="N35" i="42" s="1"/>
  <c r="Q35" i="42" s="1"/>
  <c r="S35" i="42" s="1"/>
  <c r="R35" i="41"/>
  <c r="F34" i="41"/>
  <c r="G34" i="41" s="1"/>
  <c r="W34" i="41"/>
  <c r="M34" i="41"/>
  <c r="K36" i="40"/>
  <c r="L36" i="40" s="1"/>
  <c r="N36" i="40" s="1"/>
  <c r="Q36" i="40" s="1"/>
  <c r="S36" i="40" s="1"/>
  <c r="F52" i="40"/>
  <c r="G52" i="40" s="1"/>
  <c r="M33" i="39"/>
  <c r="K34" i="38"/>
  <c r="L34" i="38" s="1"/>
  <c r="N34" i="38" s="1"/>
  <c r="Q34" i="38" s="1"/>
  <c r="S34" i="38" s="1"/>
  <c r="K35" i="28"/>
  <c r="L35" i="28" s="1"/>
  <c r="N35" i="28" s="1"/>
  <c r="Q35" i="28" s="1"/>
  <c r="S35" i="28" s="1"/>
  <c r="R35" i="27"/>
  <c r="F34" i="27"/>
  <c r="G34" i="27" s="1"/>
  <c r="W34" i="27"/>
  <c r="M34" i="27"/>
  <c r="K34" i="37"/>
  <c r="L34" i="37" s="1"/>
  <c r="N34" i="37" s="1"/>
  <c r="Q34" i="37" s="1"/>
  <c r="S34" i="37" s="1"/>
  <c r="F35" i="31"/>
  <c r="G35" i="31" s="1"/>
  <c r="F33" i="35"/>
  <c r="G33" i="35" s="1"/>
  <c r="R34" i="35"/>
  <c r="K34" i="25"/>
  <c r="L34" i="25" s="1"/>
  <c r="N34" i="25" s="1"/>
  <c r="Q34" i="25" s="1"/>
  <c r="K36" i="36"/>
  <c r="L36" i="36" s="1"/>
  <c r="N36" i="36" s="1"/>
  <c r="Q36" i="36" s="1"/>
  <c r="S36" i="36" s="1"/>
  <c r="K34" i="35"/>
  <c r="L34" i="35" s="1"/>
  <c r="N34" i="35" s="1"/>
  <c r="Q34" i="35" s="1"/>
  <c r="K38" i="34"/>
  <c r="L38" i="34" s="1"/>
  <c r="N38" i="34" s="1"/>
  <c r="Q38" i="34" s="1"/>
  <c r="S38" i="34" s="1"/>
  <c r="Q39" i="30"/>
  <c r="S39" i="30" s="1"/>
  <c r="R40" i="30" s="1"/>
  <c r="U52" i="23"/>
  <c r="V52" i="23" s="1"/>
  <c r="W38" i="30"/>
  <c r="K35" i="23"/>
  <c r="L35" i="23" s="1"/>
  <c r="N35" i="23" s="1"/>
  <c r="Q35" i="23" s="1"/>
  <c r="F38" i="30"/>
  <c r="G38" i="30" s="1"/>
  <c r="S34" i="29"/>
  <c r="F34" i="29" s="1"/>
  <c r="G34" i="29" s="1"/>
  <c r="K36" i="26"/>
  <c r="L36" i="26" s="1"/>
  <c r="N36" i="26" s="1"/>
  <c r="Q36" i="26" s="1"/>
  <c r="S36" i="26" s="1"/>
  <c r="K35" i="24"/>
  <c r="L35" i="24" s="1"/>
  <c r="N35" i="24" s="1"/>
  <c r="Q35" i="24" s="1"/>
  <c r="K33" i="32"/>
  <c r="L33" i="32" s="1"/>
  <c r="N33" i="32" s="1"/>
  <c r="Q33" i="32" s="1"/>
  <c r="S33" i="32" s="1"/>
  <c r="K36" i="31"/>
  <c r="L36" i="31" s="1"/>
  <c r="N36" i="31" s="1"/>
  <c r="Q36" i="31" s="1"/>
  <c r="M39" i="30"/>
  <c r="F52" i="30"/>
  <c r="G52" i="30" s="1"/>
  <c r="K35" i="29"/>
  <c r="L35" i="29" s="1"/>
  <c r="N35" i="29" s="1"/>
  <c r="S36" i="31" l="1"/>
  <c r="F36" i="31" s="1"/>
  <c r="G36" i="31" s="1"/>
  <c r="K34" i="45"/>
  <c r="L34" i="45" s="1"/>
  <c r="N34" i="45" s="1"/>
  <c r="Q34" i="45" s="1"/>
  <c r="S34" i="45" s="1"/>
  <c r="K35" i="43"/>
  <c r="L35" i="43" s="1"/>
  <c r="N35" i="43" s="1"/>
  <c r="Q35" i="43" s="1"/>
  <c r="S35" i="43" s="1"/>
  <c r="R36" i="42"/>
  <c r="F35" i="42"/>
  <c r="G35" i="42" s="1"/>
  <c r="W35" i="42"/>
  <c r="M35" i="42"/>
  <c r="K35" i="41"/>
  <c r="L35" i="41" s="1"/>
  <c r="N35" i="41" s="1"/>
  <c r="Q35" i="41" s="1"/>
  <c r="S35" i="41" s="1"/>
  <c r="R37" i="40"/>
  <c r="F36" i="40"/>
  <c r="G36" i="40" s="1"/>
  <c r="W36" i="40"/>
  <c r="M36" i="40"/>
  <c r="K34" i="39"/>
  <c r="L34" i="39" s="1"/>
  <c r="N34" i="39" s="1"/>
  <c r="Q34" i="39" s="1"/>
  <c r="S34" i="39" s="1"/>
  <c r="R35" i="38"/>
  <c r="F34" i="38"/>
  <c r="G34" i="38" s="1"/>
  <c r="W34" i="38"/>
  <c r="M34" i="38"/>
  <c r="R36" i="28"/>
  <c r="F35" i="28"/>
  <c r="G35" i="28" s="1"/>
  <c r="W35" i="28"/>
  <c r="M35" i="28"/>
  <c r="K35" i="27"/>
  <c r="L35" i="27" s="1"/>
  <c r="N35" i="27" s="1"/>
  <c r="Q35" i="27" s="1"/>
  <c r="S35" i="27" s="1"/>
  <c r="R35" i="37"/>
  <c r="F34" i="37"/>
  <c r="G34" i="37" s="1"/>
  <c r="W34" i="37"/>
  <c r="M34" i="37"/>
  <c r="S34" i="35"/>
  <c r="W34" i="35" s="1"/>
  <c r="M34" i="25"/>
  <c r="R37" i="36"/>
  <c r="F36" i="36"/>
  <c r="G36" i="36" s="1"/>
  <c r="W36" i="36"/>
  <c r="R35" i="29"/>
  <c r="M36" i="36"/>
  <c r="M34" i="35"/>
  <c r="Q35" i="29"/>
  <c r="W34" i="29"/>
  <c r="R39" i="34"/>
  <c r="F38" i="34"/>
  <c r="G38" i="34" s="1"/>
  <c r="W38" i="34"/>
  <c r="M38" i="34"/>
  <c r="M35" i="23"/>
  <c r="F39" i="30"/>
  <c r="G39" i="30" s="1"/>
  <c r="M36" i="26"/>
  <c r="W39" i="30"/>
  <c r="R37" i="26"/>
  <c r="F36" i="26"/>
  <c r="G36" i="26" s="1"/>
  <c r="W36" i="26"/>
  <c r="M35" i="24"/>
  <c r="R34" i="32"/>
  <c r="F33" i="32"/>
  <c r="G33" i="32" s="1"/>
  <c r="W33" i="32"/>
  <c r="M33" i="32"/>
  <c r="M36" i="31"/>
  <c r="K40" i="30"/>
  <c r="L40" i="30" s="1"/>
  <c r="N40" i="30" s="1"/>
  <c r="Q40" i="30" s="1"/>
  <c r="S40" i="30" s="1"/>
  <c r="M35" i="29"/>
  <c r="W36" i="31" l="1"/>
  <c r="R37" i="31"/>
  <c r="R35" i="45"/>
  <c r="F34" i="45"/>
  <c r="G34" i="45" s="1"/>
  <c r="W34" i="45"/>
  <c r="M34" i="45"/>
  <c r="R36" i="43"/>
  <c r="F35" i="43"/>
  <c r="G35" i="43" s="1"/>
  <c r="W35" i="43"/>
  <c r="M35" i="43"/>
  <c r="K36" i="42"/>
  <c r="L36" i="42" s="1"/>
  <c r="N36" i="42" s="1"/>
  <c r="Q36" i="42" s="1"/>
  <c r="S36" i="42" s="1"/>
  <c r="R36" i="41"/>
  <c r="F35" i="41"/>
  <c r="G35" i="41" s="1"/>
  <c r="W35" i="41"/>
  <c r="M35" i="41"/>
  <c r="M37" i="40"/>
  <c r="K37" i="40"/>
  <c r="L37" i="40" s="1"/>
  <c r="N37" i="40" s="1"/>
  <c r="Q37" i="40" s="1"/>
  <c r="S37" i="40" s="1"/>
  <c r="R35" i="39"/>
  <c r="F34" i="39"/>
  <c r="G34" i="39" s="1"/>
  <c r="W34" i="39"/>
  <c r="M34" i="39"/>
  <c r="K35" i="38"/>
  <c r="L35" i="38" s="1"/>
  <c r="N35" i="38" s="1"/>
  <c r="Q35" i="38" s="1"/>
  <c r="S35" i="38" s="1"/>
  <c r="K36" i="28"/>
  <c r="L36" i="28" s="1"/>
  <c r="N36" i="28" s="1"/>
  <c r="Q36" i="28" s="1"/>
  <c r="S36" i="28" s="1"/>
  <c r="F34" i="35"/>
  <c r="G34" i="35" s="1"/>
  <c r="R36" i="27"/>
  <c r="F35" i="27"/>
  <c r="G35" i="27" s="1"/>
  <c r="W35" i="27"/>
  <c r="M35" i="27"/>
  <c r="R35" i="35"/>
  <c r="K35" i="37"/>
  <c r="L35" i="37" s="1"/>
  <c r="N35" i="37" s="1"/>
  <c r="Q35" i="37" s="1"/>
  <c r="S35" i="37" s="1"/>
  <c r="S35" i="29"/>
  <c r="W35" i="29" s="1"/>
  <c r="K35" i="25"/>
  <c r="L35" i="25" s="1"/>
  <c r="N35" i="25" s="1"/>
  <c r="Q35" i="25" s="1"/>
  <c r="K37" i="36"/>
  <c r="L37" i="36" s="1"/>
  <c r="N37" i="36" s="1"/>
  <c r="Q37" i="36" s="1"/>
  <c r="S37" i="36" s="1"/>
  <c r="K35" i="35"/>
  <c r="L35" i="35" s="1"/>
  <c r="N35" i="35" s="1"/>
  <c r="Q35" i="35" s="1"/>
  <c r="K39" i="34"/>
  <c r="L39" i="34" s="1"/>
  <c r="N39" i="34" s="1"/>
  <c r="Q39" i="34" s="1"/>
  <c r="S39" i="34" s="1"/>
  <c r="K36" i="23"/>
  <c r="L36" i="23" s="1"/>
  <c r="N36" i="23" s="1"/>
  <c r="Q36" i="23" s="1"/>
  <c r="K37" i="26"/>
  <c r="L37" i="26" s="1"/>
  <c r="N37" i="26" s="1"/>
  <c r="Q37" i="26" s="1"/>
  <c r="S37" i="26" s="1"/>
  <c r="K36" i="24"/>
  <c r="L36" i="24" s="1"/>
  <c r="N36" i="24" s="1"/>
  <c r="Q36" i="24" s="1"/>
  <c r="S36" i="24" s="1"/>
  <c r="K34" i="32"/>
  <c r="L34" i="32" s="1"/>
  <c r="N34" i="32" s="1"/>
  <c r="Q34" i="32" s="1"/>
  <c r="S34" i="32" s="1"/>
  <c r="M37" i="31"/>
  <c r="K37" i="31"/>
  <c r="L37" i="31" s="1"/>
  <c r="N37" i="31" s="1"/>
  <c r="Q37" i="31" s="1"/>
  <c r="R41" i="30"/>
  <c r="F40" i="30"/>
  <c r="G40" i="30" s="1"/>
  <c r="W40" i="30"/>
  <c r="M40" i="30"/>
  <c r="K36" i="29"/>
  <c r="L36" i="29" s="1"/>
  <c r="N36" i="29" s="1"/>
  <c r="S37" i="31" l="1"/>
  <c r="R38" i="31" s="1"/>
  <c r="K35" i="45"/>
  <c r="L35" i="45" s="1"/>
  <c r="N35" i="45" s="1"/>
  <c r="Q35" i="45" s="1"/>
  <c r="S35" i="45" s="1"/>
  <c r="K36" i="43"/>
  <c r="L36" i="43" s="1"/>
  <c r="N36" i="43" s="1"/>
  <c r="Q36" i="43" s="1"/>
  <c r="S36" i="43" s="1"/>
  <c r="R37" i="42"/>
  <c r="F36" i="42"/>
  <c r="G36" i="42" s="1"/>
  <c r="W36" i="42"/>
  <c r="M36" i="42"/>
  <c r="K36" i="41"/>
  <c r="L36" i="41" s="1"/>
  <c r="N36" i="41" s="1"/>
  <c r="Q36" i="41" s="1"/>
  <c r="S36" i="41" s="1"/>
  <c r="Q36" i="29"/>
  <c r="K38" i="40"/>
  <c r="L38" i="40" s="1"/>
  <c r="N38" i="40" s="1"/>
  <c r="R38" i="40"/>
  <c r="Q38" i="40"/>
  <c r="F37" i="40"/>
  <c r="G37" i="40" s="1"/>
  <c r="W37" i="40"/>
  <c r="K35" i="39"/>
  <c r="L35" i="39" s="1"/>
  <c r="N35" i="39" s="1"/>
  <c r="Q35" i="39" s="1"/>
  <c r="S35" i="39" s="1"/>
  <c r="R36" i="38"/>
  <c r="F35" i="38"/>
  <c r="G35" i="38" s="1"/>
  <c r="W35" i="38"/>
  <c r="F35" i="29"/>
  <c r="G35" i="29" s="1"/>
  <c r="M35" i="38"/>
  <c r="R37" i="28"/>
  <c r="F36" i="28"/>
  <c r="G36" i="28" s="1"/>
  <c r="W36" i="28"/>
  <c r="M36" i="28"/>
  <c r="K36" i="27"/>
  <c r="L36" i="27" s="1"/>
  <c r="N36" i="27" s="1"/>
  <c r="Q36" i="27" s="1"/>
  <c r="S36" i="27" s="1"/>
  <c r="S35" i="35"/>
  <c r="W35" i="35" s="1"/>
  <c r="R36" i="29"/>
  <c r="R36" i="37"/>
  <c r="F35" i="37"/>
  <c r="G35" i="37" s="1"/>
  <c r="W35" i="37"/>
  <c r="M35" i="37"/>
  <c r="M35" i="25"/>
  <c r="R38" i="36"/>
  <c r="F37" i="36"/>
  <c r="G37" i="36" s="1"/>
  <c r="W37" i="36"/>
  <c r="M37" i="36"/>
  <c r="M35" i="35"/>
  <c r="R40" i="34"/>
  <c r="F39" i="34"/>
  <c r="G39" i="34" s="1"/>
  <c r="W39" i="34"/>
  <c r="M39" i="34"/>
  <c r="M36" i="23"/>
  <c r="R38" i="26"/>
  <c r="F37" i="26"/>
  <c r="G37" i="26" s="1"/>
  <c r="W37" i="26"/>
  <c r="M37" i="26"/>
  <c r="R37" i="24"/>
  <c r="F36" i="24"/>
  <c r="G36" i="24" s="1"/>
  <c r="W36" i="24"/>
  <c r="M36" i="24"/>
  <c r="R35" i="32"/>
  <c r="F34" i="32"/>
  <c r="G34" i="32" s="1"/>
  <c r="W34" i="32"/>
  <c r="M34" i="32"/>
  <c r="K38" i="31"/>
  <c r="L38" i="31" s="1"/>
  <c r="N38" i="31" s="1"/>
  <c r="M41" i="30"/>
  <c r="K41" i="30"/>
  <c r="L41" i="30" s="1"/>
  <c r="N41" i="30" s="1"/>
  <c r="Q41" i="30" s="1"/>
  <c r="S41" i="30" s="1"/>
  <c r="M36" i="29"/>
  <c r="W37" i="31" l="1"/>
  <c r="F37" i="31"/>
  <c r="G37" i="31" s="1"/>
  <c r="Q38" i="31"/>
  <c r="S38" i="31" s="1"/>
  <c r="R39" i="31" s="1"/>
  <c r="R36" i="45"/>
  <c r="F35" i="45"/>
  <c r="G35" i="45" s="1"/>
  <c r="W35" i="45"/>
  <c r="M35" i="45"/>
  <c r="S36" i="29"/>
  <c r="F36" i="29" s="1"/>
  <c r="G36" i="29" s="1"/>
  <c r="R37" i="43"/>
  <c r="F36" i="43"/>
  <c r="G36" i="43" s="1"/>
  <c r="W36" i="43"/>
  <c r="M36" i="43"/>
  <c r="K37" i="42"/>
  <c r="L37" i="42" s="1"/>
  <c r="N37" i="42" s="1"/>
  <c r="Q37" i="42" s="1"/>
  <c r="S37" i="42" s="1"/>
  <c r="S38" i="40"/>
  <c r="F38" i="40" s="1"/>
  <c r="G38" i="40" s="1"/>
  <c r="R37" i="41"/>
  <c r="F36" i="41"/>
  <c r="G36" i="41" s="1"/>
  <c r="W36" i="41"/>
  <c r="M36" i="41"/>
  <c r="M38" i="40"/>
  <c r="R36" i="39"/>
  <c r="F35" i="39"/>
  <c r="G35" i="39" s="1"/>
  <c r="W35" i="39"/>
  <c r="F35" i="35"/>
  <c r="G35" i="35" s="1"/>
  <c r="M35" i="39"/>
  <c r="K36" i="38"/>
  <c r="L36" i="38" s="1"/>
  <c r="N36" i="38" s="1"/>
  <c r="Q36" i="38" s="1"/>
  <c r="S36" i="38" s="1"/>
  <c r="R36" i="35"/>
  <c r="K37" i="28"/>
  <c r="L37" i="28" s="1"/>
  <c r="N37" i="28" s="1"/>
  <c r="Q37" i="28" s="1"/>
  <c r="S37" i="28" s="1"/>
  <c r="R37" i="27"/>
  <c r="F36" i="27"/>
  <c r="G36" i="27" s="1"/>
  <c r="W36" i="27"/>
  <c r="M36" i="27"/>
  <c r="K36" i="37"/>
  <c r="L36" i="37" s="1"/>
  <c r="N36" i="37" s="1"/>
  <c r="Q36" i="37" s="1"/>
  <c r="S36" i="37" s="1"/>
  <c r="K36" i="25"/>
  <c r="L36" i="25" s="1"/>
  <c r="N36" i="25" s="1"/>
  <c r="Q36" i="25" s="1"/>
  <c r="S36" i="25" s="1"/>
  <c r="K38" i="36"/>
  <c r="L38" i="36" s="1"/>
  <c r="N38" i="36" s="1"/>
  <c r="Q38" i="36" s="1"/>
  <c r="S38" i="36" s="1"/>
  <c r="M36" i="35"/>
  <c r="K36" i="35"/>
  <c r="L36" i="35" s="1"/>
  <c r="N36" i="35" s="1"/>
  <c r="Q36" i="35" s="1"/>
  <c r="K40" i="34"/>
  <c r="L40" i="34" s="1"/>
  <c r="N40" i="34" s="1"/>
  <c r="Q40" i="34" s="1"/>
  <c r="S40" i="34" s="1"/>
  <c r="K37" i="23"/>
  <c r="L37" i="23" s="1"/>
  <c r="N37" i="23" s="1"/>
  <c r="Q37" i="23" s="1"/>
  <c r="K38" i="26"/>
  <c r="L38" i="26" s="1"/>
  <c r="N38" i="26" s="1"/>
  <c r="Q38" i="26" s="1"/>
  <c r="S38" i="26" s="1"/>
  <c r="K37" i="24"/>
  <c r="L37" i="24" s="1"/>
  <c r="N37" i="24" s="1"/>
  <c r="Q37" i="24" s="1"/>
  <c r="S37" i="24" s="1"/>
  <c r="K35" i="32"/>
  <c r="L35" i="32" s="1"/>
  <c r="N35" i="32" s="1"/>
  <c r="Q35" i="32" s="1"/>
  <c r="S35" i="32" s="1"/>
  <c r="M38" i="31"/>
  <c r="R42" i="30"/>
  <c r="F41" i="30"/>
  <c r="G41" i="30" s="1"/>
  <c r="W41" i="30"/>
  <c r="K42" i="30"/>
  <c r="L42" i="30" s="1"/>
  <c r="N42" i="30" s="1"/>
  <c r="Q42" i="30" s="1"/>
  <c r="K37" i="29"/>
  <c r="L37" i="29" s="1"/>
  <c r="N37" i="29" s="1"/>
  <c r="Q37" i="29" l="1"/>
  <c r="W36" i="29"/>
  <c r="F38" i="31"/>
  <c r="G38" i="31" s="1"/>
  <c r="K36" i="45"/>
  <c r="L36" i="45" s="1"/>
  <c r="N36" i="45" s="1"/>
  <c r="Q36" i="45" s="1"/>
  <c r="S36" i="45" s="1"/>
  <c r="R39" i="40"/>
  <c r="R37" i="29"/>
  <c r="K37" i="43"/>
  <c r="L37" i="43" s="1"/>
  <c r="N37" i="43" s="1"/>
  <c r="Q37" i="43" s="1"/>
  <c r="S37" i="43" s="1"/>
  <c r="W38" i="40"/>
  <c r="R38" i="42"/>
  <c r="F37" i="42"/>
  <c r="G37" i="42" s="1"/>
  <c r="W37" i="42"/>
  <c r="M37" i="42"/>
  <c r="K37" i="41"/>
  <c r="L37" i="41" s="1"/>
  <c r="N37" i="41" s="1"/>
  <c r="Q37" i="41" s="1"/>
  <c r="S37" i="41" s="1"/>
  <c r="M39" i="40"/>
  <c r="K39" i="40"/>
  <c r="L39" i="40" s="1"/>
  <c r="N39" i="40" s="1"/>
  <c r="Q39" i="40" s="1"/>
  <c r="K36" i="39"/>
  <c r="L36" i="39" s="1"/>
  <c r="N36" i="39" s="1"/>
  <c r="Q36" i="39" s="1"/>
  <c r="S36" i="39" s="1"/>
  <c r="S36" i="35"/>
  <c r="R37" i="35" s="1"/>
  <c r="R37" i="38"/>
  <c r="F36" i="38"/>
  <c r="G36" i="38" s="1"/>
  <c r="W36" i="38"/>
  <c r="M36" i="38"/>
  <c r="R38" i="28"/>
  <c r="F37" i="28"/>
  <c r="G37" i="28" s="1"/>
  <c r="W37" i="28"/>
  <c r="M37" i="28"/>
  <c r="K37" i="27"/>
  <c r="L37" i="27" s="1"/>
  <c r="N37" i="27" s="1"/>
  <c r="Q37" i="27" s="1"/>
  <c r="S37" i="27" s="1"/>
  <c r="R37" i="37"/>
  <c r="F36" i="37"/>
  <c r="G36" i="37" s="1"/>
  <c r="W36" i="37"/>
  <c r="M36" i="37"/>
  <c r="R37" i="25"/>
  <c r="F36" i="25"/>
  <c r="G36" i="25" s="1"/>
  <c r="W36" i="25"/>
  <c r="M36" i="25"/>
  <c r="R39" i="36"/>
  <c r="F38" i="36"/>
  <c r="G38" i="36" s="1"/>
  <c r="W38" i="36"/>
  <c r="M38" i="36"/>
  <c r="K37" i="35"/>
  <c r="L37" i="35" s="1"/>
  <c r="N37" i="35" s="1"/>
  <c r="R41" i="34"/>
  <c r="F40" i="34"/>
  <c r="G40" i="34" s="1"/>
  <c r="W40" i="34"/>
  <c r="W38" i="31"/>
  <c r="M40" i="34"/>
  <c r="M37" i="23"/>
  <c r="R39" i="26"/>
  <c r="F38" i="26"/>
  <c r="G38" i="26" s="1"/>
  <c r="W38" i="26"/>
  <c r="M38" i="26"/>
  <c r="R38" i="24"/>
  <c r="F37" i="24"/>
  <c r="G37" i="24" s="1"/>
  <c r="W37" i="24"/>
  <c r="M37" i="24"/>
  <c r="R36" i="32"/>
  <c r="F35" i="32"/>
  <c r="G35" i="32" s="1"/>
  <c r="W35" i="32"/>
  <c r="M35" i="32"/>
  <c r="K39" i="31"/>
  <c r="L39" i="31" s="1"/>
  <c r="N39" i="31" s="1"/>
  <c r="Q39" i="31" s="1"/>
  <c r="S39" i="31" s="1"/>
  <c r="S42" i="30"/>
  <c r="F42" i="30" s="1"/>
  <c r="G42" i="30" s="1"/>
  <c r="M42" i="30"/>
  <c r="M37" i="29"/>
  <c r="S37" i="29" l="1"/>
  <c r="R38" i="29" s="1"/>
  <c r="S39" i="40"/>
  <c r="R40" i="40" s="1"/>
  <c r="R37" i="45"/>
  <c r="F36" i="45"/>
  <c r="G36" i="45" s="1"/>
  <c r="W36" i="45"/>
  <c r="M36" i="45"/>
  <c r="R38" i="43"/>
  <c r="F37" i="43"/>
  <c r="G37" i="43" s="1"/>
  <c r="W37" i="43"/>
  <c r="M37" i="43"/>
  <c r="K38" i="42"/>
  <c r="L38" i="42" s="1"/>
  <c r="N38" i="42" s="1"/>
  <c r="Q38" i="42" s="1"/>
  <c r="S38" i="42" s="1"/>
  <c r="W36" i="35"/>
  <c r="R38" i="41"/>
  <c r="F37" i="41"/>
  <c r="G37" i="41" s="1"/>
  <c r="W37" i="41"/>
  <c r="M37" i="41"/>
  <c r="Q37" i="35"/>
  <c r="S37" i="35" s="1"/>
  <c r="W37" i="35" s="1"/>
  <c r="F36" i="35"/>
  <c r="G36" i="35" s="1"/>
  <c r="K40" i="40"/>
  <c r="L40" i="40" s="1"/>
  <c r="N40" i="40" s="1"/>
  <c r="R37" i="39"/>
  <c r="F36" i="39"/>
  <c r="G36" i="39" s="1"/>
  <c r="W36" i="39"/>
  <c r="M36" i="39"/>
  <c r="K37" i="38"/>
  <c r="L37" i="38" s="1"/>
  <c r="N37" i="38" s="1"/>
  <c r="Q37" i="38" s="1"/>
  <c r="S37" i="38" s="1"/>
  <c r="K38" i="28"/>
  <c r="L38" i="28" s="1"/>
  <c r="N38" i="28" s="1"/>
  <c r="Q38" i="28" s="1"/>
  <c r="S38" i="28" s="1"/>
  <c r="R38" i="27"/>
  <c r="F37" i="27"/>
  <c r="G37" i="27" s="1"/>
  <c r="W37" i="27"/>
  <c r="M37" i="27"/>
  <c r="M37" i="37"/>
  <c r="K37" i="37"/>
  <c r="L37" i="37" s="1"/>
  <c r="N37" i="37" s="1"/>
  <c r="Q37" i="37" s="1"/>
  <c r="S37" i="37" s="1"/>
  <c r="K37" i="25"/>
  <c r="L37" i="25" s="1"/>
  <c r="N37" i="25" s="1"/>
  <c r="Q37" i="25" s="1"/>
  <c r="S37" i="25" s="1"/>
  <c r="K39" i="36"/>
  <c r="L39" i="36" s="1"/>
  <c r="N39" i="36" s="1"/>
  <c r="Q39" i="36" s="1"/>
  <c r="S39" i="36" s="1"/>
  <c r="M37" i="35"/>
  <c r="K41" i="34"/>
  <c r="L41" i="34" s="1"/>
  <c r="N41" i="34" s="1"/>
  <c r="Q41" i="34" s="1"/>
  <c r="S41" i="34" s="1"/>
  <c r="K38" i="23"/>
  <c r="L38" i="23" s="1"/>
  <c r="N38" i="23" s="1"/>
  <c r="Q38" i="23" s="1"/>
  <c r="R43" i="30"/>
  <c r="K39" i="26"/>
  <c r="L39" i="26" s="1"/>
  <c r="N39" i="26" s="1"/>
  <c r="Q39" i="26" s="1"/>
  <c r="S39" i="26" s="1"/>
  <c r="W42" i="30"/>
  <c r="K38" i="24"/>
  <c r="L38" i="24" s="1"/>
  <c r="N38" i="24" s="1"/>
  <c r="Q38" i="24" s="1"/>
  <c r="S38" i="24" s="1"/>
  <c r="K36" i="32"/>
  <c r="L36" i="32" s="1"/>
  <c r="N36" i="32" s="1"/>
  <c r="Q36" i="32" s="1"/>
  <c r="S36" i="32" s="1"/>
  <c r="R40" i="31"/>
  <c r="F39" i="31"/>
  <c r="G39" i="31" s="1"/>
  <c r="W39" i="31"/>
  <c r="M39" i="31"/>
  <c r="M43" i="30"/>
  <c r="K43" i="30"/>
  <c r="L43" i="30" s="1"/>
  <c r="N43" i="30" s="1"/>
  <c r="Q43" i="30" s="1"/>
  <c r="K38" i="29"/>
  <c r="L38" i="29" s="1"/>
  <c r="N38" i="29" s="1"/>
  <c r="F37" i="29" l="1"/>
  <c r="G37" i="29" s="1"/>
  <c r="W37" i="29"/>
  <c r="Q38" i="29"/>
  <c r="S38" i="29" s="1"/>
  <c r="W38" i="29" s="1"/>
  <c r="Q40" i="40"/>
  <c r="S40" i="40" s="1"/>
  <c r="R41" i="40" s="1"/>
  <c r="W39" i="40"/>
  <c r="F39" i="40"/>
  <c r="G39" i="40" s="1"/>
  <c r="K37" i="45"/>
  <c r="L37" i="45" s="1"/>
  <c r="N37" i="45" s="1"/>
  <c r="Q37" i="45" s="1"/>
  <c r="S37" i="45" s="1"/>
  <c r="R38" i="35"/>
  <c r="K38" i="43"/>
  <c r="L38" i="43" s="1"/>
  <c r="N38" i="43" s="1"/>
  <c r="Q38" i="43" s="1"/>
  <c r="S38" i="43" s="1"/>
  <c r="R39" i="42"/>
  <c r="F38" i="42"/>
  <c r="G38" i="42" s="1"/>
  <c r="W38" i="42"/>
  <c r="M38" i="42"/>
  <c r="K38" i="41"/>
  <c r="L38" i="41" s="1"/>
  <c r="N38" i="41" s="1"/>
  <c r="Q38" i="41" s="1"/>
  <c r="S38" i="41" s="1"/>
  <c r="M40" i="40"/>
  <c r="K37" i="39"/>
  <c r="L37" i="39" s="1"/>
  <c r="N37" i="39" s="1"/>
  <c r="Q37" i="39" s="1"/>
  <c r="S37" i="39" s="1"/>
  <c r="R38" i="38"/>
  <c r="F37" i="38"/>
  <c r="G37" i="38" s="1"/>
  <c r="W37" i="38"/>
  <c r="M37" i="38"/>
  <c r="S43" i="30"/>
  <c r="R44" i="30" s="1"/>
  <c r="R39" i="28"/>
  <c r="F38" i="28"/>
  <c r="G38" i="28" s="1"/>
  <c r="W38" i="28"/>
  <c r="M38" i="28"/>
  <c r="K38" i="27"/>
  <c r="L38" i="27" s="1"/>
  <c r="N38" i="27" s="1"/>
  <c r="Q38" i="27" s="1"/>
  <c r="S38" i="27" s="1"/>
  <c r="F37" i="35"/>
  <c r="G37" i="35" s="1"/>
  <c r="R38" i="37"/>
  <c r="Q38" i="37"/>
  <c r="F37" i="37"/>
  <c r="G37" i="37" s="1"/>
  <c r="W37" i="37"/>
  <c r="M38" i="37"/>
  <c r="K38" i="37"/>
  <c r="L38" i="37" s="1"/>
  <c r="N38" i="37" s="1"/>
  <c r="R38" i="25"/>
  <c r="F37" i="25"/>
  <c r="G37" i="25" s="1"/>
  <c r="W37" i="25"/>
  <c r="M37" i="25"/>
  <c r="R40" i="36"/>
  <c r="F39" i="36"/>
  <c r="G39" i="36" s="1"/>
  <c r="W39" i="36"/>
  <c r="M39" i="36"/>
  <c r="M38" i="35"/>
  <c r="K38" i="35"/>
  <c r="L38" i="35" s="1"/>
  <c r="N38" i="35" s="1"/>
  <c r="Q38" i="35" s="1"/>
  <c r="R42" i="34"/>
  <c r="F41" i="34"/>
  <c r="G41" i="34" s="1"/>
  <c r="W41" i="34"/>
  <c r="M41" i="34"/>
  <c r="M38" i="23"/>
  <c r="R40" i="26"/>
  <c r="F39" i="26"/>
  <c r="G39" i="26" s="1"/>
  <c r="W39" i="26"/>
  <c r="M39" i="26"/>
  <c r="M38" i="24"/>
  <c r="R39" i="24"/>
  <c r="F38" i="24"/>
  <c r="G38" i="24" s="1"/>
  <c r="W38" i="24"/>
  <c r="R37" i="32"/>
  <c r="F36" i="32"/>
  <c r="G36" i="32" s="1"/>
  <c r="W36" i="32"/>
  <c r="M36" i="32"/>
  <c r="K40" i="31"/>
  <c r="L40" i="31" s="1"/>
  <c r="N40" i="31" s="1"/>
  <c r="Q40" i="31" s="1"/>
  <c r="S40" i="31" s="1"/>
  <c r="K44" i="30"/>
  <c r="L44" i="30" s="1"/>
  <c r="N44" i="30" s="1"/>
  <c r="M38" i="29"/>
  <c r="R39" i="29" l="1"/>
  <c r="F38" i="29"/>
  <c r="G38" i="29" s="1"/>
  <c r="S38" i="35"/>
  <c r="R39" i="35" s="1"/>
  <c r="W43" i="30"/>
  <c r="W40" i="40"/>
  <c r="F40" i="40"/>
  <c r="G40" i="40" s="1"/>
  <c r="R38" i="45"/>
  <c r="F37" i="45"/>
  <c r="G37" i="45" s="1"/>
  <c r="W37" i="45"/>
  <c r="M37" i="45"/>
  <c r="R39" i="43"/>
  <c r="F38" i="43"/>
  <c r="G38" i="43" s="1"/>
  <c r="W38" i="43"/>
  <c r="M38" i="43"/>
  <c r="K39" i="42"/>
  <c r="L39" i="42" s="1"/>
  <c r="N39" i="42" s="1"/>
  <c r="Q39" i="42" s="1"/>
  <c r="S39" i="42" s="1"/>
  <c r="R39" i="41"/>
  <c r="F38" i="41"/>
  <c r="G38" i="41" s="1"/>
  <c r="W38" i="41"/>
  <c r="M38" i="41"/>
  <c r="S38" i="37"/>
  <c r="W38" i="37" s="1"/>
  <c r="K41" i="40"/>
  <c r="L41" i="40" s="1"/>
  <c r="N41" i="40" s="1"/>
  <c r="Q41" i="40" s="1"/>
  <c r="S41" i="40" s="1"/>
  <c r="R38" i="39"/>
  <c r="F37" i="39"/>
  <c r="G37" i="39" s="1"/>
  <c r="W37" i="39"/>
  <c r="Q44" i="30"/>
  <c r="S44" i="30" s="1"/>
  <c r="R45" i="30" s="1"/>
  <c r="M37" i="39"/>
  <c r="K38" i="38"/>
  <c r="L38" i="38" s="1"/>
  <c r="N38" i="38" s="1"/>
  <c r="Q38" i="38" s="1"/>
  <c r="S38" i="38" s="1"/>
  <c r="F43" i="30"/>
  <c r="G43" i="30" s="1"/>
  <c r="K39" i="28"/>
  <c r="L39" i="28" s="1"/>
  <c r="N39" i="28" s="1"/>
  <c r="Q39" i="28" s="1"/>
  <c r="S39" i="28" s="1"/>
  <c r="R39" i="27"/>
  <c r="F38" i="27"/>
  <c r="G38" i="27" s="1"/>
  <c r="W38" i="27"/>
  <c r="M38" i="27"/>
  <c r="M39" i="37"/>
  <c r="K39" i="37"/>
  <c r="L39" i="37" s="1"/>
  <c r="N39" i="37" s="1"/>
  <c r="K38" i="25"/>
  <c r="L38" i="25" s="1"/>
  <c r="N38" i="25" s="1"/>
  <c r="Q38" i="25" s="1"/>
  <c r="S38" i="25" s="1"/>
  <c r="M40" i="36"/>
  <c r="K40" i="36"/>
  <c r="L40" i="36" s="1"/>
  <c r="N40" i="36" s="1"/>
  <c r="Q40" i="36" s="1"/>
  <c r="S40" i="36" s="1"/>
  <c r="K39" i="35"/>
  <c r="L39" i="35" s="1"/>
  <c r="N39" i="35" s="1"/>
  <c r="K42" i="34"/>
  <c r="L42" i="34" s="1"/>
  <c r="N42" i="34" s="1"/>
  <c r="Q42" i="34" s="1"/>
  <c r="S42" i="34" s="1"/>
  <c r="K39" i="23"/>
  <c r="L39" i="23" s="1"/>
  <c r="N39" i="23" s="1"/>
  <c r="Q39" i="23" s="1"/>
  <c r="S39" i="23" s="1"/>
  <c r="K40" i="26"/>
  <c r="L40" i="26" s="1"/>
  <c r="N40" i="26" s="1"/>
  <c r="Q40" i="26" s="1"/>
  <c r="S40" i="26" s="1"/>
  <c r="K39" i="24"/>
  <c r="L39" i="24" s="1"/>
  <c r="N39" i="24" s="1"/>
  <c r="Q39" i="24" s="1"/>
  <c r="S39" i="24" s="1"/>
  <c r="K37" i="32"/>
  <c r="L37" i="32" s="1"/>
  <c r="N37" i="32" s="1"/>
  <c r="Q37" i="32" s="1"/>
  <c r="S37" i="32" s="1"/>
  <c r="R41" i="31"/>
  <c r="F40" i="31"/>
  <c r="G40" i="31" s="1"/>
  <c r="W40" i="31"/>
  <c r="M40" i="31"/>
  <c r="M44" i="30"/>
  <c r="K39" i="29"/>
  <c r="L39" i="29" s="1"/>
  <c r="N39" i="29" s="1"/>
  <c r="Q39" i="29" s="1"/>
  <c r="S39" i="29" l="1"/>
  <c r="W39" i="29" s="1"/>
  <c r="W38" i="35"/>
  <c r="F38" i="35"/>
  <c r="G38" i="35" s="1"/>
  <c r="Q39" i="35"/>
  <c r="S39" i="35" s="1"/>
  <c r="R40" i="35" s="1"/>
  <c r="K38" i="45"/>
  <c r="L38" i="45" s="1"/>
  <c r="N38" i="45" s="1"/>
  <c r="Q38" i="45" s="1"/>
  <c r="S38" i="45" s="1"/>
  <c r="K39" i="43"/>
  <c r="L39" i="43" s="1"/>
  <c r="N39" i="43" s="1"/>
  <c r="Q39" i="43" s="1"/>
  <c r="S39" i="43" s="1"/>
  <c r="R40" i="42"/>
  <c r="F39" i="42"/>
  <c r="G39" i="42" s="1"/>
  <c r="W39" i="42"/>
  <c r="M39" i="42"/>
  <c r="F38" i="37"/>
  <c r="G38" i="37" s="1"/>
  <c r="K39" i="41"/>
  <c r="L39" i="41" s="1"/>
  <c r="N39" i="41" s="1"/>
  <c r="Q39" i="41" s="1"/>
  <c r="S39" i="41" s="1"/>
  <c r="R39" i="37"/>
  <c r="Q39" i="37"/>
  <c r="R42" i="40"/>
  <c r="F41" i="40"/>
  <c r="G41" i="40" s="1"/>
  <c r="W41" i="40"/>
  <c r="M41" i="40"/>
  <c r="K38" i="39"/>
  <c r="L38" i="39" s="1"/>
  <c r="N38" i="39" s="1"/>
  <c r="Q38" i="39" s="1"/>
  <c r="S38" i="39" s="1"/>
  <c r="R39" i="38"/>
  <c r="F38" i="38"/>
  <c r="G38" i="38" s="1"/>
  <c r="W38" i="38"/>
  <c r="M38" i="38"/>
  <c r="R40" i="28"/>
  <c r="F39" i="28"/>
  <c r="G39" i="28" s="1"/>
  <c r="W39" i="28"/>
  <c r="M39" i="28"/>
  <c r="K39" i="27"/>
  <c r="L39" i="27" s="1"/>
  <c r="N39" i="27" s="1"/>
  <c r="Q39" i="27" s="1"/>
  <c r="S39" i="27" s="1"/>
  <c r="K40" i="37"/>
  <c r="L40" i="37" s="1"/>
  <c r="N40" i="37" s="1"/>
  <c r="R39" i="25"/>
  <c r="F38" i="25"/>
  <c r="G38" i="25" s="1"/>
  <c r="W38" i="25"/>
  <c r="M38" i="25"/>
  <c r="R41" i="36"/>
  <c r="F40" i="36"/>
  <c r="G40" i="36" s="1"/>
  <c r="W40" i="36"/>
  <c r="M41" i="36"/>
  <c r="K41" i="36"/>
  <c r="L41" i="36" s="1"/>
  <c r="N41" i="36" s="1"/>
  <c r="Q41" i="36" s="1"/>
  <c r="W44" i="30"/>
  <c r="M39" i="35"/>
  <c r="R43" i="34"/>
  <c r="F42" i="34"/>
  <c r="G42" i="34" s="1"/>
  <c r="W42" i="34"/>
  <c r="M42" i="34"/>
  <c r="F44" i="30"/>
  <c r="G44" i="30" s="1"/>
  <c r="R40" i="23"/>
  <c r="F39" i="23"/>
  <c r="G39" i="23" s="1"/>
  <c r="W39" i="23"/>
  <c r="M39" i="23"/>
  <c r="R41" i="26"/>
  <c r="F40" i="26"/>
  <c r="G40" i="26" s="1"/>
  <c r="W40" i="26"/>
  <c r="M40" i="26"/>
  <c r="M39" i="24"/>
  <c r="R40" i="24"/>
  <c r="F39" i="24"/>
  <c r="G39" i="24" s="1"/>
  <c r="W39" i="24"/>
  <c r="R38" i="32"/>
  <c r="F37" i="32"/>
  <c r="G37" i="32" s="1"/>
  <c r="W37" i="32"/>
  <c r="M37" i="32"/>
  <c r="K41" i="31"/>
  <c r="L41" i="31" s="1"/>
  <c r="N41" i="31" s="1"/>
  <c r="Q41" i="31" s="1"/>
  <c r="S41" i="31" s="1"/>
  <c r="K45" i="30"/>
  <c r="L45" i="30" s="1"/>
  <c r="N45" i="30" s="1"/>
  <c r="Q45" i="30" s="1"/>
  <c r="S45" i="30" s="1"/>
  <c r="M39" i="29"/>
  <c r="F39" i="29" l="1"/>
  <c r="G39" i="29" s="1"/>
  <c r="R40" i="29"/>
  <c r="R39" i="45"/>
  <c r="F38" i="45"/>
  <c r="G38" i="45" s="1"/>
  <c r="W38" i="45"/>
  <c r="M38" i="45"/>
  <c r="R40" i="43"/>
  <c r="F39" i="43"/>
  <c r="G39" i="43" s="1"/>
  <c r="W39" i="43"/>
  <c r="M39" i="43"/>
  <c r="S39" i="37"/>
  <c r="W39" i="37" s="1"/>
  <c r="K40" i="42"/>
  <c r="L40" i="42" s="1"/>
  <c r="N40" i="42" s="1"/>
  <c r="Q40" i="42" s="1"/>
  <c r="S40" i="42" s="1"/>
  <c r="R40" i="41"/>
  <c r="F39" i="41"/>
  <c r="G39" i="41" s="1"/>
  <c r="W39" i="41"/>
  <c r="M39" i="41"/>
  <c r="K42" i="40"/>
  <c r="L42" i="40" s="1"/>
  <c r="N42" i="40" s="1"/>
  <c r="Q42" i="40" s="1"/>
  <c r="S42" i="40" s="1"/>
  <c r="R39" i="39"/>
  <c r="F38" i="39"/>
  <c r="G38" i="39" s="1"/>
  <c r="W38" i="39"/>
  <c r="M38" i="39"/>
  <c r="K39" i="38"/>
  <c r="L39" i="38" s="1"/>
  <c r="N39" i="38" s="1"/>
  <c r="Q39" i="38" s="1"/>
  <c r="S39" i="38" s="1"/>
  <c r="K40" i="28"/>
  <c r="L40" i="28" s="1"/>
  <c r="N40" i="28" s="1"/>
  <c r="Q40" i="28" s="1"/>
  <c r="S40" i="28" s="1"/>
  <c r="R40" i="27"/>
  <c r="F39" i="27"/>
  <c r="G39" i="27" s="1"/>
  <c r="W39" i="27"/>
  <c r="S41" i="36"/>
  <c r="F41" i="36" s="1"/>
  <c r="G41" i="36" s="1"/>
  <c r="M39" i="27"/>
  <c r="M40" i="37"/>
  <c r="W39" i="35"/>
  <c r="K39" i="25"/>
  <c r="L39" i="25" s="1"/>
  <c r="N39" i="25" s="1"/>
  <c r="Q39" i="25" s="1"/>
  <c r="S39" i="25" s="1"/>
  <c r="K42" i="36"/>
  <c r="L42" i="36" s="1"/>
  <c r="N42" i="36" s="1"/>
  <c r="F39" i="35"/>
  <c r="G39" i="35" s="1"/>
  <c r="K40" i="35"/>
  <c r="L40" i="35" s="1"/>
  <c r="N40" i="35" s="1"/>
  <c r="Q40" i="35" s="1"/>
  <c r="S40" i="35" s="1"/>
  <c r="K43" i="34"/>
  <c r="L43" i="34" s="1"/>
  <c r="N43" i="34" s="1"/>
  <c r="Q43" i="34" s="1"/>
  <c r="S43" i="34" s="1"/>
  <c r="K40" i="23"/>
  <c r="L40" i="23" s="1"/>
  <c r="N40" i="23" s="1"/>
  <c r="Q40" i="23" s="1"/>
  <c r="S40" i="23" s="1"/>
  <c r="K41" i="26"/>
  <c r="L41" i="26" s="1"/>
  <c r="N41" i="26" s="1"/>
  <c r="Q41" i="26" s="1"/>
  <c r="S41" i="26" s="1"/>
  <c r="K40" i="24"/>
  <c r="L40" i="24" s="1"/>
  <c r="N40" i="24" s="1"/>
  <c r="Q40" i="24" s="1"/>
  <c r="S40" i="24" s="1"/>
  <c r="K38" i="32"/>
  <c r="L38" i="32" s="1"/>
  <c r="N38" i="32" s="1"/>
  <c r="Q38" i="32" s="1"/>
  <c r="S38" i="32" s="1"/>
  <c r="R42" i="31"/>
  <c r="F41" i="31"/>
  <c r="G41" i="31" s="1"/>
  <c r="W41" i="31"/>
  <c r="M41" i="31"/>
  <c r="R46" i="30"/>
  <c r="F45" i="30"/>
  <c r="G45" i="30" s="1"/>
  <c r="W45" i="30"/>
  <c r="M45" i="30"/>
  <c r="M40" i="29"/>
  <c r="K40" i="29"/>
  <c r="L40" i="29" s="1"/>
  <c r="N40" i="29" s="1"/>
  <c r="Q40" i="29" s="1"/>
  <c r="S40" i="29" l="1"/>
  <c r="R41" i="29" s="1"/>
  <c r="K39" i="45"/>
  <c r="L39" i="45" s="1"/>
  <c r="N39" i="45" s="1"/>
  <c r="Q39" i="45" s="1"/>
  <c r="S39" i="45" s="1"/>
  <c r="Q40" i="37"/>
  <c r="K40" i="43"/>
  <c r="L40" i="43" s="1"/>
  <c r="N40" i="43" s="1"/>
  <c r="Q40" i="43" s="1"/>
  <c r="S40" i="43" s="1"/>
  <c r="F39" i="37"/>
  <c r="G39" i="37" s="1"/>
  <c r="R40" i="37"/>
  <c r="R41" i="42"/>
  <c r="F40" i="42"/>
  <c r="G40" i="42" s="1"/>
  <c r="W40" i="42"/>
  <c r="M40" i="42"/>
  <c r="K40" i="41"/>
  <c r="L40" i="41" s="1"/>
  <c r="N40" i="41" s="1"/>
  <c r="Q40" i="41" s="1"/>
  <c r="S40" i="41" s="1"/>
  <c r="R43" i="40"/>
  <c r="F42" i="40"/>
  <c r="G42" i="40" s="1"/>
  <c r="W42" i="40"/>
  <c r="M42" i="40"/>
  <c r="R42" i="36"/>
  <c r="M39" i="39"/>
  <c r="K39" i="39"/>
  <c r="L39" i="39" s="1"/>
  <c r="N39" i="39" s="1"/>
  <c r="Q39" i="39" s="1"/>
  <c r="S39" i="39" s="1"/>
  <c r="R40" i="38"/>
  <c r="F39" i="38"/>
  <c r="G39" i="38" s="1"/>
  <c r="W39" i="38"/>
  <c r="M39" i="38"/>
  <c r="R41" i="28"/>
  <c r="F40" i="28"/>
  <c r="G40" i="28" s="1"/>
  <c r="W40" i="28"/>
  <c r="M40" i="28"/>
  <c r="Q42" i="36"/>
  <c r="W41" i="36"/>
  <c r="K40" i="27"/>
  <c r="L40" i="27" s="1"/>
  <c r="N40" i="27" s="1"/>
  <c r="Q40" i="27" s="1"/>
  <c r="S40" i="27" s="1"/>
  <c r="M41" i="37"/>
  <c r="K41" i="37"/>
  <c r="L41" i="37" s="1"/>
  <c r="N41" i="37" s="1"/>
  <c r="R40" i="25"/>
  <c r="F39" i="25"/>
  <c r="G39" i="25" s="1"/>
  <c r="W39" i="25"/>
  <c r="M39" i="25"/>
  <c r="M42" i="36"/>
  <c r="R41" i="35"/>
  <c r="F40" i="35"/>
  <c r="G40" i="35" s="1"/>
  <c r="W40" i="35"/>
  <c r="M40" i="35"/>
  <c r="R44" i="34"/>
  <c r="F43" i="34"/>
  <c r="G43" i="34" s="1"/>
  <c r="W43" i="34"/>
  <c r="M43" i="34"/>
  <c r="R41" i="23"/>
  <c r="F40" i="23"/>
  <c r="G40" i="23" s="1"/>
  <c r="W40" i="23"/>
  <c r="M40" i="23"/>
  <c r="R42" i="26"/>
  <c r="F41" i="26"/>
  <c r="G41" i="26" s="1"/>
  <c r="W41" i="26"/>
  <c r="M41" i="26"/>
  <c r="R41" i="24"/>
  <c r="F40" i="24"/>
  <c r="G40" i="24" s="1"/>
  <c r="W40" i="24"/>
  <c r="M40" i="24"/>
  <c r="R39" i="32"/>
  <c r="F38" i="32"/>
  <c r="G38" i="32" s="1"/>
  <c r="W38" i="32"/>
  <c r="M38" i="32"/>
  <c r="K42" i="31"/>
  <c r="L42" i="31" s="1"/>
  <c r="N42" i="31" s="1"/>
  <c r="Q42" i="31" s="1"/>
  <c r="S42" i="31" s="1"/>
  <c r="K46" i="30"/>
  <c r="L46" i="30" s="1"/>
  <c r="N46" i="30" s="1"/>
  <c r="Q46" i="30" s="1"/>
  <c r="S46" i="30" s="1"/>
  <c r="K41" i="29"/>
  <c r="L41" i="29" s="1"/>
  <c r="N41" i="29" s="1"/>
  <c r="W40" i="29" l="1"/>
  <c r="F40" i="29"/>
  <c r="G40" i="29" s="1"/>
  <c r="Q41" i="29"/>
  <c r="S41" i="29" s="1"/>
  <c r="W41" i="29" s="1"/>
  <c r="S40" i="37"/>
  <c r="R41" i="37" s="1"/>
  <c r="R40" i="45"/>
  <c r="F39" i="45"/>
  <c r="G39" i="45" s="1"/>
  <c r="W39" i="45"/>
  <c r="M39" i="45"/>
  <c r="R41" i="43"/>
  <c r="F40" i="43"/>
  <c r="G40" i="43" s="1"/>
  <c r="W40" i="43"/>
  <c r="M40" i="43"/>
  <c r="K41" i="42"/>
  <c r="L41" i="42" s="1"/>
  <c r="N41" i="42" s="1"/>
  <c r="Q41" i="42" s="1"/>
  <c r="S41" i="42" s="1"/>
  <c r="S42" i="36"/>
  <c r="R43" i="36" s="1"/>
  <c r="R41" i="41"/>
  <c r="F40" i="41"/>
  <c r="G40" i="41" s="1"/>
  <c r="W40" i="41"/>
  <c r="M40" i="41"/>
  <c r="K43" i="40"/>
  <c r="L43" i="40" s="1"/>
  <c r="N43" i="40" s="1"/>
  <c r="Q43" i="40" s="1"/>
  <c r="S43" i="40" s="1"/>
  <c r="R40" i="39"/>
  <c r="F39" i="39"/>
  <c r="G39" i="39" s="1"/>
  <c r="W39" i="39"/>
  <c r="K40" i="39"/>
  <c r="L40" i="39" s="1"/>
  <c r="N40" i="39" s="1"/>
  <c r="Q40" i="39" s="1"/>
  <c r="K40" i="38"/>
  <c r="L40" i="38" s="1"/>
  <c r="N40" i="38" s="1"/>
  <c r="Q40" i="38" s="1"/>
  <c r="S40" i="38" s="1"/>
  <c r="K41" i="28"/>
  <c r="L41" i="28" s="1"/>
  <c r="N41" i="28" s="1"/>
  <c r="Q41" i="28" s="1"/>
  <c r="S41" i="28" s="1"/>
  <c r="R41" i="27"/>
  <c r="F40" i="27"/>
  <c r="G40" i="27" s="1"/>
  <c r="W40" i="27"/>
  <c r="M40" i="27"/>
  <c r="K42" i="37"/>
  <c r="L42" i="37" s="1"/>
  <c r="N42" i="37" s="1"/>
  <c r="K40" i="25"/>
  <c r="L40" i="25" s="1"/>
  <c r="N40" i="25" s="1"/>
  <c r="Q40" i="25" s="1"/>
  <c r="S40" i="25" s="1"/>
  <c r="M43" i="36"/>
  <c r="K43" i="36"/>
  <c r="L43" i="36" s="1"/>
  <c r="N43" i="36" s="1"/>
  <c r="M41" i="35"/>
  <c r="K41" i="35"/>
  <c r="L41" i="35" s="1"/>
  <c r="N41" i="35" s="1"/>
  <c r="Q41" i="35" s="1"/>
  <c r="S41" i="35" s="1"/>
  <c r="K44" i="34"/>
  <c r="L44" i="34" s="1"/>
  <c r="N44" i="34" s="1"/>
  <c r="Q44" i="34" s="1"/>
  <c r="S44" i="34" s="1"/>
  <c r="M41" i="23"/>
  <c r="K41" i="23"/>
  <c r="L41" i="23" s="1"/>
  <c r="N41" i="23" s="1"/>
  <c r="Q41" i="23" s="1"/>
  <c r="S41" i="23" s="1"/>
  <c r="K42" i="26"/>
  <c r="L42" i="26" s="1"/>
  <c r="N42" i="26" s="1"/>
  <c r="Q42" i="26" s="1"/>
  <c r="S42" i="26" s="1"/>
  <c r="K41" i="24"/>
  <c r="L41" i="24" s="1"/>
  <c r="N41" i="24" s="1"/>
  <c r="Q41" i="24" s="1"/>
  <c r="S41" i="24" s="1"/>
  <c r="K39" i="32"/>
  <c r="L39" i="32" s="1"/>
  <c r="N39" i="32" s="1"/>
  <c r="Q39" i="32" s="1"/>
  <c r="S39" i="32" s="1"/>
  <c r="R43" i="31"/>
  <c r="F42" i="31"/>
  <c r="G42" i="31" s="1"/>
  <c r="W42" i="31"/>
  <c r="M42" i="31"/>
  <c r="R47" i="30"/>
  <c r="F46" i="30"/>
  <c r="G46" i="30" s="1"/>
  <c r="W46" i="30"/>
  <c r="M46" i="30"/>
  <c r="M41" i="29"/>
  <c r="Q41" i="37" l="1"/>
  <c r="S41" i="37" s="1"/>
  <c r="F41" i="37" s="1"/>
  <c r="G41" i="37" s="1"/>
  <c r="W40" i="37"/>
  <c r="F40" i="37"/>
  <c r="G40" i="37" s="1"/>
  <c r="Q43" i="36"/>
  <c r="S43" i="36" s="1"/>
  <c r="R44" i="36" s="1"/>
  <c r="K40" i="45"/>
  <c r="L40" i="45" s="1"/>
  <c r="N40" i="45" s="1"/>
  <c r="Q40" i="45" s="1"/>
  <c r="S40" i="45" s="1"/>
  <c r="W42" i="36"/>
  <c r="F42" i="36"/>
  <c r="G42" i="36" s="1"/>
  <c r="S40" i="39"/>
  <c r="F40" i="39" s="1"/>
  <c r="G40" i="39" s="1"/>
  <c r="K41" i="43"/>
  <c r="L41" i="43" s="1"/>
  <c r="N41" i="43" s="1"/>
  <c r="Q41" i="43" s="1"/>
  <c r="S41" i="43" s="1"/>
  <c r="R42" i="42"/>
  <c r="F41" i="42"/>
  <c r="G41" i="42" s="1"/>
  <c r="W41" i="42"/>
  <c r="M41" i="42"/>
  <c r="K41" i="41"/>
  <c r="L41" i="41" s="1"/>
  <c r="N41" i="41" s="1"/>
  <c r="Q41" i="41" s="1"/>
  <c r="S41" i="41" s="1"/>
  <c r="R44" i="40"/>
  <c r="F43" i="40"/>
  <c r="G43" i="40" s="1"/>
  <c r="W43" i="40"/>
  <c r="M43" i="40"/>
  <c r="M40" i="39"/>
  <c r="R41" i="38"/>
  <c r="F40" i="38"/>
  <c r="G40" i="38" s="1"/>
  <c r="W40" i="38"/>
  <c r="M40" i="38"/>
  <c r="R42" i="28"/>
  <c r="F41" i="28"/>
  <c r="G41" i="28" s="1"/>
  <c r="W41" i="28"/>
  <c r="M41" i="28"/>
  <c r="K41" i="27"/>
  <c r="L41" i="27" s="1"/>
  <c r="N41" i="27" s="1"/>
  <c r="Q41" i="27" s="1"/>
  <c r="S41" i="27" s="1"/>
  <c r="M42" i="37"/>
  <c r="R41" i="25"/>
  <c r="F40" i="25"/>
  <c r="G40" i="25" s="1"/>
  <c r="W40" i="25"/>
  <c r="M40" i="25"/>
  <c r="K44" i="36"/>
  <c r="L44" i="36" s="1"/>
  <c r="N44" i="36" s="1"/>
  <c r="R42" i="35"/>
  <c r="F41" i="35"/>
  <c r="G41" i="35" s="1"/>
  <c r="W41" i="35"/>
  <c r="K42" i="35"/>
  <c r="L42" i="35" s="1"/>
  <c r="N42" i="35" s="1"/>
  <c r="Q42" i="35" s="1"/>
  <c r="R45" i="34"/>
  <c r="F44" i="34"/>
  <c r="G44" i="34" s="1"/>
  <c r="W44" i="34"/>
  <c r="M44" i="34"/>
  <c r="F41" i="29"/>
  <c r="G41" i="29" s="1"/>
  <c r="R42" i="29"/>
  <c r="R42" i="23"/>
  <c r="Q42" i="23"/>
  <c r="F41" i="23"/>
  <c r="G41" i="23" s="1"/>
  <c r="W41" i="23"/>
  <c r="M42" i="23"/>
  <c r="K42" i="23"/>
  <c r="L42" i="23" s="1"/>
  <c r="N42" i="23" s="1"/>
  <c r="R43" i="26"/>
  <c r="F42" i="26"/>
  <c r="G42" i="26" s="1"/>
  <c r="W42" i="26"/>
  <c r="M42" i="26"/>
  <c r="R42" i="24"/>
  <c r="F41" i="24"/>
  <c r="G41" i="24" s="1"/>
  <c r="W41" i="24"/>
  <c r="M41" i="24"/>
  <c r="R40" i="32"/>
  <c r="F39" i="32"/>
  <c r="G39" i="32" s="1"/>
  <c r="W39" i="32"/>
  <c r="M39" i="32"/>
  <c r="K43" i="31"/>
  <c r="L43" i="31" s="1"/>
  <c r="N43" i="31" s="1"/>
  <c r="Q43" i="31" s="1"/>
  <c r="S43" i="31" s="1"/>
  <c r="M47" i="30"/>
  <c r="K47" i="30"/>
  <c r="L47" i="30" s="1"/>
  <c r="N47" i="30" s="1"/>
  <c r="Q47" i="30" s="1"/>
  <c r="S47" i="30" s="1"/>
  <c r="M42" i="29"/>
  <c r="K42" i="29"/>
  <c r="L42" i="29" s="1"/>
  <c r="N42" i="29" s="1"/>
  <c r="Q42" i="29" s="1"/>
  <c r="R42" i="37" l="1"/>
  <c r="Q44" i="36"/>
  <c r="S44" i="36" s="1"/>
  <c r="F44" i="36" s="1"/>
  <c r="G44" i="36" s="1"/>
  <c r="Q42" i="37"/>
  <c r="F43" i="36"/>
  <c r="G43" i="36" s="1"/>
  <c r="W41" i="37"/>
  <c r="W43" i="36"/>
  <c r="R41" i="39"/>
  <c r="W40" i="39"/>
  <c r="R41" i="45"/>
  <c r="F40" i="45"/>
  <c r="G40" i="45" s="1"/>
  <c r="W40" i="45"/>
  <c r="M40" i="45"/>
  <c r="R42" i="43"/>
  <c r="F41" i="43"/>
  <c r="G41" i="43" s="1"/>
  <c r="W41" i="43"/>
  <c r="M41" i="43"/>
  <c r="K42" i="42"/>
  <c r="L42" i="42" s="1"/>
  <c r="N42" i="42" s="1"/>
  <c r="Q42" i="42" s="1"/>
  <c r="S42" i="42" s="1"/>
  <c r="R42" i="41"/>
  <c r="F41" i="41"/>
  <c r="G41" i="41" s="1"/>
  <c r="W41" i="41"/>
  <c r="M41" i="41"/>
  <c r="K44" i="40"/>
  <c r="L44" i="40" s="1"/>
  <c r="N44" i="40" s="1"/>
  <c r="Q44" i="40" s="1"/>
  <c r="S44" i="40" s="1"/>
  <c r="K41" i="39"/>
  <c r="L41" i="39" s="1"/>
  <c r="N41" i="39" s="1"/>
  <c r="Q41" i="39" s="1"/>
  <c r="K41" i="38"/>
  <c r="L41" i="38" s="1"/>
  <c r="N41" i="38" s="1"/>
  <c r="Q41" i="38" s="1"/>
  <c r="S41" i="38" s="1"/>
  <c r="K42" i="28"/>
  <c r="L42" i="28" s="1"/>
  <c r="N42" i="28" s="1"/>
  <c r="Q42" i="28" s="1"/>
  <c r="S42" i="28" s="1"/>
  <c r="R42" i="27"/>
  <c r="F41" i="27"/>
  <c r="G41" i="27" s="1"/>
  <c r="W41" i="27"/>
  <c r="M41" i="27"/>
  <c r="M43" i="37"/>
  <c r="K43" i="37"/>
  <c r="L43" i="37" s="1"/>
  <c r="N43" i="37" s="1"/>
  <c r="S42" i="23"/>
  <c r="W42" i="23" s="1"/>
  <c r="S42" i="35"/>
  <c r="R43" i="35" s="1"/>
  <c r="K41" i="25"/>
  <c r="L41" i="25" s="1"/>
  <c r="N41" i="25" s="1"/>
  <c r="Q41" i="25" s="1"/>
  <c r="S41" i="25" s="1"/>
  <c r="M44" i="36"/>
  <c r="M42" i="35"/>
  <c r="S42" i="29"/>
  <c r="R43" i="29" s="1"/>
  <c r="K45" i="34"/>
  <c r="L45" i="34" s="1"/>
  <c r="N45" i="34" s="1"/>
  <c r="Q45" i="34" s="1"/>
  <c r="S45" i="34" s="1"/>
  <c r="K43" i="23"/>
  <c r="L43" i="23" s="1"/>
  <c r="N43" i="23" s="1"/>
  <c r="K43" i="26"/>
  <c r="L43" i="26" s="1"/>
  <c r="N43" i="26" s="1"/>
  <c r="Q43" i="26" s="1"/>
  <c r="S43" i="26" s="1"/>
  <c r="K42" i="24"/>
  <c r="L42" i="24" s="1"/>
  <c r="N42" i="24" s="1"/>
  <c r="Q42" i="24" s="1"/>
  <c r="S42" i="24" s="1"/>
  <c r="K40" i="32"/>
  <c r="L40" i="32" s="1"/>
  <c r="N40" i="32" s="1"/>
  <c r="Q40" i="32" s="1"/>
  <c r="S40" i="32" s="1"/>
  <c r="R44" i="31"/>
  <c r="F43" i="31"/>
  <c r="G43" i="31" s="1"/>
  <c r="W43" i="31"/>
  <c r="M43" i="31"/>
  <c r="R48" i="30"/>
  <c r="F47" i="30"/>
  <c r="G47" i="30" s="1"/>
  <c r="W47" i="30"/>
  <c r="K48" i="30"/>
  <c r="L48" i="30" s="1"/>
  <c r="N48" i="30" s="1"/>
  <c r="Q48" i="30" s="1"/>
  <c r="K43" i="29"/>
  <c r="L43" i="29" s="1"/>
  <c r="N43" i="29" s="1"/>
  <c r="S42" i="37" l="1"/>
  <c r="W42" i="37" s="1"/>
  <c r="S41" i="39"/>
  <c r="W41" i="39" s="1"/>
  <c r="R43" i="23"/>
  <c r="K41" i="45"/>
  <c r="L41" i="45" s="1"/>
  <c r="N41" i="45" s="1"/>
  <c r="Q41" i="45" s="1"/>
  <c r="S41" i="45" s="1"/>
  <c r="F42" i="23"/>
  <c r="G42" i="23" s="1"/>
  <c r="K42" i="43"/>
  <c r="L42" i="43" s="1"/>
  <c r="N42" i="43" s="1"/>
  <c r="Q42" i="43" s="1"/>
  <c r="S42" i="43" s="1"/>
  <c r="R43" i="42"/>
  <c r="F42" i="42"/>
  <c r="G42" i="42" s="1"/>
  <c r="W42" i="42"/>
  <c r="M42" i="42"/>
  <c r="K42" i="41"/>
  <c r="L42" i="41" s="1"/>
  <c r="N42" i="41" s="1"/>
  <c r="Q42" i="41" s="1"/>
  <c r="S42" i="41" s="1"/>
  <c r="Q43" i="23"/>
  <c r="R45" i="40"/>
  <c r="F44" i="40"/>
  <c r="G44" i="40" s="1"/>
  <c r="W44" i="40"/>
  <c r="M44" i="40"/>
  <c r="M41" i="39"/>
  <c r="R42" i="38"/>
  <c r="F41" i="38"/>
  <c r="G41" i="38" s="1"/>
  <c r="W41" i="38"/>
  <c r="M41" i="38"/>
  <c r="R43" i="28"/>
  <c r="F42" i="28"/>
  <c r="G42" i="28" s="1"/>
  <c r="W42" i="28"/>
  <c r="M42" i="28"/>
  <c r="W42" i="35"/>
  <c r="K42" i="27"/>
  <c r="L42" i="27" s="1"/>
  <c r="N42" i="27" s="1"/>
  <c r="Q42" i="27" s="1"/>
  <c r="S42" i="27" s="1"/>
  <c r="W44" i="36"/>
  <c r="R45" i="36"/>
  <c r="F42" i="35"/>
  <c r="G42" i="35" s="1"/>
  <c r="K44" i="37"/>
  <c r="L44" i="37" s="1"/>
  <c r="N44" i="37" s="1"/>
  <c r="M41" i="25"/>
  <c r="R42" i="25"/>
  <c r="F41" i="25"/>
  <c r="G41" i="25" s="1"/>
  <c r="W41" i="25"/>
  <c r="K45" i="36"/>
  <c r="L45" i="36" s="1"/>
  <c r="N45" i="36" s="1"/>
  <c r="Q45" i="36" s="1"/>
  <c r="M43" i="35"/>
  <c r="K43" i="35"/>
  <c r="L43" i="35" s="1"/>
  <c r="N43" i="35" s="1"/>
  <c r="Q43" i="35" s="1"/>
  <c r="S43" i="35" s="1"/>
  <c r="Q43" i="29"/>
  <c r="S43" i="29" s="1"/>
  <c r="F43" i="29" s="1"/>
  <c r="G43" i="29" s="1"/>
  <c r="W42" i="29"/>
  <c r="F42" i="29"/>
  <c r="G42" i="29" s="1"/>
  <c r="R46" i="34"/>
  <c r="F45" i="34"/>
  <c r="G45" i="34" s="1"/>
  <c r="W45" i="34"/>
  <c r="M45" i="34"/>
  <c r="M43" i="23"/>
  <c r="R44" i="26"/>
  <c r="F43" i="26"/>
  <c r="G43" i="26" s="1"/>
  <c r="W43" i="26"/>
  <c r="M43" i="26"/>
  <c r="R43" i="24"/>
  <c r="F42" i="24"/>
  <c r="G42" i="24" s="1"/>
  <c r="W42" i="24"/>
  <c r="M42" i="24"/>
  <c r="R41" i="32"/>
  <c r="F40" i="32"/>
  <c r="G40" i="32" s="1"/>
  <c r="W40" i="32"/>
  <c r="M40" i="32"/>
  <c r="K44" i="31"/>
  <c r="L44" i="31" s="1"/>
  <c r="N44" i="31" s="1"/>
  <c r="Q44" i="31" s="1"/>
  <c r="S44" i="31" s="1"/>
  <c r="S48" i="30"/>
  <c r="W48" i="30" s="1"/>
  <c r="M48" i="30"/>
  <c r="M43" i="29"/>
  <c r="Q43" i="37" l="1"/>
  <c r="R43" i="37"/>
  <c r="F42" i="37"/>
  <c r="G42" i="37" s="1"/>
  <c r="F41" i="39"/>
  <c r="G41" i="39" s="1"/>
  <c r="R42" i="39"/>
  <c r="S43" i="23"/>
  <c r="F43" i="23" s="1"/>
  <c r="G43" i="23" s="1"/>
  <c r="R42" i="45"/>
  <c r="F41" i="45"/>
  <c r="G41" i="45" s="1"/>
  <c r="W41" i="45"/>
  <c r="M41" i="45"/>
  <c r="R43" i="43"/>
  <c r="F42" i="43"/>
  <c r="G42" i="43" s="1"/>
  <c r="W42" i="43"/>
  <c r="M42" i="43"/>
  <c r="M43" i="42"/>
  <c r="K43" i="42"/>
  <c r="L43" i="42" s="1"/>
  <c r="N43" i="42" s="1"/>
  <c r="Q43" i="42" s="1"/>
  <c r="S43" i="42" s="1"/>
  <c r="R43" i="41"/>
  <c r="F42" i="41"/>
  <c r="G42" i="41" s="1"/>
  <c r="W42" i="41"/>
  <c r="M42" i="41"/>
  <c r="K45" i="40"/>
  <c r="L45" i="40" s="1"/>
  <c r="N45" i="40" s="1"/>
  <c r="Q45" i="40" s="1"/>
  <c r="S45" i="40" s="1"/>
  <c r="K42" i="39"/>
  <c r="L42" i="39" s="1"/>
  <c r="N42" i="39" s="1"/>
  <c r="Q42" i="39" s="1"/>
  <c r="K42" i="38"/>
  <c r="L42" i="38" s="1"/>
  <c r="N42" i="38" s="1"/>
  <c r="Q42" i="38" s="1"/>
  <c r="S42" i="38" s="1"/>
  <c r="K43" i="28"/>
  <c r="L43" i="28" s="1"/>
  <c r="N43" i="28" s="1"/>
  <c r="Q43" i="28" s="1"/>
  <c r="S43" i="28" s="1"/>
  <c r="R43" i="27"/>
  <c r="F42" i="27"/>
  <c r="G42" i="27" s="1"/>
  <c r="W42" i="27"/>
  <c r="M42" i="27"/>
  <c r="S45" i="36"/>
  <c r="R46" i="36" s="1"/>
  <c r="M44" i="37"/>
  <c r="K42" i="25"/>
  <c r="L42" i="25" s="1"/>
  <c r="N42" i="25" s="1"/>
  <c r="Q42" i="25" s="1"/>
  <c r="S42" i="25" s="1"/>
  <c r="M45" i="36"/>
  <c r="F48" i="30"/>
  <c r="G48" i="30" s="1"/>
  <c r="R44" i="35"/>
  <c r="F43" i="35"/>
  <c r="G43" i="35" s="1"/>
  <c r="W43" i="35"/>
  <c r="M44" i="35"/>
  <c r="K44" i="35"/>
  <c r="L44" i="35" s="1"/>
  <c r="N44" i="35" s="1"/>
  <c r="Q44" i="35" s="1"/>
  <c r="K46" i="34"/>
  <c r="L46" i="34" s="1"/>
  <c r="N46" i="34" s="1"/>
  <c r="Q46" i="34" s="1"/>
  <c r="S46" i="34" s="1"/>
  <c r="M44" i="23"/>
  <c r="K44" i="23"/>
  <c r="L44" i="23" s="1"/>
  <c r="N44" i="23" s="1"/>
  <c r="R49" i="30"/>
  <c r="M44" i="26"/>
  <c r="K44" i="26"/>
  <c r="L44" i="26" s="1"/>
  <c r="N44" i="26" s="1"/>
  <c r="Q44" i="26" s="1"/>
  <c r="S44" i="26" s="1"/>
  <c r="K43" i="24"/>
  <c r="L43" i="24" s="1"/>
  <c r="N43" i="24" s="1"/>
  <c r="Q43" i="24" s="1"/>
  <c r="S43" i="24" s="1"/>
  <c r="W43" i="29"/>
  <c r="K41" i="32"/>
  <c r="L41" i="32" s="1"/>
  <c r="N41" i="32" s="1"/>
  <c r="Q41" i="32" s="1"/>
  <c r="S41" i="32" s="1"/>
  <c r="R44" i="29"/>
  <c r="R45" i="31"/>
  <c r="F44" i="31"/>
  <c r="G44" i="31" s="1"/>
  <c r="W44" i="31"/>
  <c r="M44" i="31"/>
  <c r="K49" i="30"/>
  <c r="L49" i="30" s="1"/>
  <c r="N49" i="30" s="1"/>
  <c r="Q49" i="30" s="1"/>
  <c r="K44" i="29"/>
  <c r="L44" i="29" s="1"/>
  <c r="N44" i="29" s="1"/>
  <c r="Q44" i="29" s="1"/>
  <c r="Q44" i="23" l="1"/>
  <c r="S43" i="37"/>
  <c r="W43" i="23"/>
  <c r="R44" i="23"/>
  <c r="S42" i="39"/>
  <c r="W42" i="39" s="1"/>
  <c r="K42" i="45"/>
  <c r="L42" i="45" s="1"/>
  <c r="N42" i="45" s="1"/>
  <c r="Q42" i="45" s="1"/>
  <c r="S42" i="45" s="1"/>
  <c r="K43" i="43"/>
  <c r="L43" i="43" s="1"/>
  <c r="N43" i="43" s="1"/>
  <c r="Q43" i="43" s="1"/>
  <c r="S43" i="43" s="1"/>
  <c r="R44" i="42"/>
  <c r="F43" i="42"/>
  <c r="G43" i="42" s="1"/>
  <c r="W43" i="42"/>
  <c r="K44" i="42"/>
  <c r="L44" i="42" s="1"/>
  <c r="N44" i="42" s="1"/>
  <c r="Q44" i="42" s="1"/>
  <c r="K43" i="41"/>
  <c r="L43" i="41" s="1"/>
  <c r="N43" i="41" s="1"/>
  <c r="Q43" i="41" s="1"/>
  <c r="S43" i="41" s="1"/>
  <c r="R46" i="40"/>
  <c r="F45" i="40"/>
  <c r="G45" i="40" s="1"/>
  <c r="W45" i="40"/>
  <c r="M45" i="40"/>
  <c r="M42" i="39"/>
  <c r="R43" i="38"/>
  <c r="F42" i="38"/>
  <c r="G42" i="38" s="1"/>
  <c r="W42" i="38"/>
  <c r="M42" i="38"/>
  <c r="W45" i="36"/>
  <c r="F45" i="36"/>
  <c r="G45" i="36" s="1"/>
  <c r="R44" i="28"/>
  <c r="F43" i="28"/>
  <c r="G43" i="28" s="1"/>
  <c r="W43" i="28"/>
  <c r="M43" i="28"/>
  <c r="K43" i="27"/>
  <c r="L43" i="27" s="1"/>
  <c r="N43" i="27" s="1"/>
  <c r="Q43" i="27" s="1"/>
  <c r="S43" i="27" s="1"/>
  <c r="K45" i="37"/>
  <c r="L45" i="37" s="1"/>
  <c r="N45" i="37" s="1"/>
  <c r="S44" i="35"/>
  <c r="R45" i="35" s="1"/>
  <c r="R43" i="25"/>
  <c r="F42" i="25"/>
  <c r="G42" i="25" s="1"/>
  <c r="W42" i="25"/>
  <c r="M42" i="25"/>
  <c r="K46" i="36"/>
  <c r="L46" i="36" s="1"/>
  <c r="N46" i="36" s="1"/>
  <c r="Q46" i="36" s="1"/>
  <c r="S46" i="36" s="1"/>
  <c r="K45" i="35"/>
  <c r="L45" i="35" s="1"/>
  <c r="N45" i="35" s="1"/>
  <c r="R47" i="34"/>
  <c r="F46" i="34"/>
  <c r="G46" i="34" s="1"/>
  <c r="W46" i="34"/>
  <c r="M46" i="34"/>
  <c r="S49" i="30"/>
  <c r="R50" i="30" s="1"/>
  <c r="M45" i="23"/>
  <c r="K45" i="23"/>
  <c r="L45" i="23" s="1"/>
  <c r="N45" i="23" s="1"/>
  <c r="R45" i="26"/>
  <c r="F44" i="26"/>
  <c r="G44" i="26" s="1"/>
  <c r="W44" i="26"/>
  <c r="K45" i="26"/>
  <c r="L45" i="26" s="1"/>
  <c r="N45" i="26" s="1"/>
  <c r="Q45" i="26" s="1"/>
  <c r="R44" i="24"/>
  <c r="F43" i="24"/>
  <c r="G43" i="24" s="1"/>
  <c r="W43" i="24"/>
  <c r="M43" i="24"/>
  <c r="R42" i="32"/>
  <c r="F41" i="32"/>
  <c r="G41" i="32" s="1"/>
  <c r="W41" i="32"/>
  <c r="S44" i="29"/>
  <c r="R45" i="29" s="1"/>
  <c r="M41" i="32"/>
  <c r="K45" i="31"/>
  <c r="L45" i="31" s="1"/>
  <c r="N45" i="31" s="1"/>
  <c r="Q45" i="31" s="1"/>
  <c r="S45" i="31" s="1"/>
  <c r="M49" i="30"/>
  <c r="M44" i="29"/>
  <c r="S44" i="23" l="1"/>
  <c r="Q45" i="23" s="1"/>
  <c r="F42" i="39"/>
  <c r="G42" i="39" s="1"/>
  <c r="Q44" i="37"/>
  <c r="R44" i="37"/>
  <c r="F43" i="37"/>
  <c r="G43" i="37" s="1"/>
  <c r="W43" i="37"/>
  <c r="R43" i="39"/>
  <c r="S44" i="42"/>
  <c r="F44" i="42" s="1"/>
  <c r="G44" i="42" s="1"/>
  <c r="R43" i="45"/>
  <c r="F42" i="45"/>
  <c r="G42" i="45" s="1"/>
  <c r="W42" i="45"/>
  <c r="M42" i="45"/>
  <c r="R44" i="43"/>
  <c r="F43" i="43"/>
  <c r="G43" i="43" s="1"/>
  <c r="W43" i="43"/>
  <c r="M43" i="43"/>
  <c r="M44" i="42"/>
  <c r="R44" i="41"/>
  <c r="F43" i="41"/>
  <c r="G43" i="41" s="1"/>
  <c r="W43" i="41"/>
  <c r="M43" i="41"/>
  <c r="K46" i="40"/>
  <c r="L46" i="40" s="1"/>
  <c r="N46" i="40" s="1"/>
  <c r="Q46" i="40" s="1"/>
  <c r="S46" i="40" s="1"/>
  <c r="K43" i="39"/>
  <c r="L43" i="39" s="1"/>
  <c r="N43" i="39" s="1"/>
  <c r="Q43" i="39" s="1"/>
  <c r="S43" i="39" s="1"/>
  <c r="K43" i="38"/>
  <c r="L43" i="38" s="1"/>
  <c r="N43" i="38" s="1"/>
  <c r="Q43" i="38" s="1"/>
  <c r="S43" i="38" s="1"/>
  <c r="W49" i="30"/>
  <c r="K44" i="28"/>
  <c r="L44" i="28" s="1"/>
  <c r="N44" i="28" s="1"/>
  <c r="Q44" i="28" s="1"/>
  <c r="S44" i="28" s="1"/>
  <c r="W44" i="35"/>
  <c r="Q45" i="35"/>
  <c r="S45" i="35" s="1"/>
  <c r="R46" i="35" s="1"/>
  <c r="R44" i="27"/>
  <c r="F43" i="27"/>
  <c r="G43" i="27" s="1"/>
  <c r="W43" i="27"/>
  <c r="M43" i="27"/>
  <c r="F44" i="35"/>
  <c r="G44" i="35" s="1"/>
  <c r="M45" i="37"/>
  <c r="K43" i="25"/>
  <c r="L43" i="25" s="1"/>
  <c r="N43" i="25" s="1"/>
  <c r="Q43" i="25" s="1"/>
  <c r="S43" i="25" s="1"/>
  <c r="R47" i="36"/>
  <c r="F46" i="36"/>
  <c r="G46" i="36" s="1"/>
  <c r="W46" i="36"/>
  <c r="M46" i="36"/>
  <c r="M45" i="35"/>
  <c r="F49" i="30"/>
  <c r="G49" i="30" s="1"/>
  <c r="M47" i="34"/>
  <c r="K47" i="34"/>
  <c r="L47" i="34" s="1"/>
  <c r="N47" i="34" s="1"/>
  <c r="Q47" i="34" s="1"/>
  <c r="S47" i="34" s="1"/>
  <c r="S45" i="26"/>
  <c r="R46" i="26" s="1"/>
  <c r="K46" i="23"/>
  <c r="L46" i="23" s="1"/>
  <c r="N46" i="23" s="1"/>
  <c r="W44" i="29"/>
  <c r="F44" i="29"/>
  <c r="G44" i="29" s="1"/>
  <c r="M45" i="26"/>
  <c r="K44" i="24"/>
  <c r="L44" i="24" s="1"/>
  <c r="N44" i="24" s="1"/>
  <c r="Q44" i="24" s="1"/>
  <c r="S44" i="24" s="1"/>
  <c r="K42" i="32"/>
  <c r="L42" i="32" s="1"/>
  <c r="N42" i="32" s="1"/>
  <c r="Q42" i="32" s="1"/>
  <c r="S42" i="32" s="1"/>
  <c r="R46" i="31"/>
  <c r="F45" i="31"/>
  <c r="G45" i="31" s="1"/>
  <c r="W45" i="31"/>
  <c r="M45" i="31"/>
  <c r="K50" i="30"/>
  <c r="L50" i="30" s="1"/>
  <c r="N50" i="30" s="1"/>
  <c r="Q50" i="30" s="1"/>
  <c r="S50" i="30" s="1"/>
  <c r="K45" i="29"/>
  <c r="L45" i="29" s="1"/>
  <c r="N45" i="29" s="1"/>
  <c r="Q45" i="29" s="1"/>
  <c r="S45" i="29" s="1"/>
  <c r="S44" i="37" l="1"/>
  <c r="Q45" i="37" s="1"/>
  <c r="R45" i="23"/>
  <c r="S45" i="23" s="1"/>
  <c r="W45" i="23" s="1"/>
  <c r="W44" i="23"/>
  <c r="F44" i="23"/>
  <c r="G44" i="23" s="1"/>
  <c r="W44" i="42"/>
  <c r="R45" i="42"/>
  <c r="K43" i="45"/>
  <c r="L43" i="45" s="1"/>
  <c r="N43" i="45" s="1"/>
  <c r="Q43" i="45" s="1"/>
  <c r="S43" i="45" s="1"/>
  <c r="K44" i="43"/>
  <c r="L44" i="43" s="1"/>
  <c r="N44" i="43" s="1"/>
  <c r="Q44" i="43" s="1"/>
  <c r="S44" i="43" s="1"/>
  <c r="K45" i="42"/>
  <c r="L45" i="42" s="1"/>
  <c r="N45" i="42" s="1"/>
  <c r="Q45" i="42" s="1"/>
  <c r="K44" i="41"/>
  <c r="L44" i="41" s="1"/>
  <c r="N44" i="41" s="1"/>
  <c r="Q44" i="41" s="1"/>
  <c r="S44" i="41" s="1"/>
  <c r="R47" i="40"/>
  <c r="F46" i="40"/>
  <c r="G46" i="40" s="1"/>
  <c r="W46" i="40"/>
  <c r="M46" i="40"/>
  <c r="R44" i="39"/>
  <c r="F43" i="39"/>
  <c r="G43" i="39" s="1"/>
  <c r="W43" i="39"/>
  <c r="M43" i="39"/>
  <c r="R44" i="38"/>
  <c r="F43" i="38"/>
  <c r="G43" i="38" s="1"/>
  <c r="W43" i="38"/>
  <c r="M43" i="38"/>
  <c r="R45" i="28"/>
  <c r="F44" i="28"/>
  <c r="G44" i="28" s="1"/>
  <c r="W44" i="28"/>
  <c r="M44" i="28"/>
  <c r="W45" i="35"/>
  <c r="F45" i="35"/>
  <c r="G45" i="35" s="1"/>
  <c r="K44" i="27"/>
  <c r="L44" i="27" s="1"/>
  <c r="N44" i="27" s="1"/>
  <c r="Q44" i="27" s="1"/>
  <c r="S44" i="27" s="1"/>
  <c r="M46" i="37"/>
  <c r="K46" i="37"/>
  <c r="L46" i="37" s="1"/>
  <c r="N46" i="37" s="1"/>
  <c r="R44" i="25"/>
  <c r="F43" i="25"/>
  <c r="G43" i="25" s="1"/>
  <c r="W43" i="25"/>
  <c r="M43" i="25"/>
  <c r="K47" i="36"/>
  <c r="L47" i="36" s="1"/>
  <c r="N47" i="36" s="1"/>
  <c r="Q47" i="36" s="1"/>
  <c r="S47" i="36" s="1"/>
  <c r="M46" i="35"/>
  <c r="K46" i="35"/>
  <c r="L46" i="35" s="1"/>
  <c r="N46" i="35" s="1"/>
  <c r="Q46" i="35" s="1"/>
  <c r="S46" i="35" s="1"/>
  <c r="W45" i="26"/>
  <c r="R48" i="34"/>
  <c r="Q48" i="34"/>
  <c r="F47" i="34"/>
  <c r="G47" i="34" s="1"/>
  <c r="W47" i="34"/>
  <c r="F45" i="26"/>
  <c r="G45" i="26" s="1"/>
  <c r="M48" i="34"/>
  <c r="K48" i="34"/>
  <c r="L48" i="34" s="1"/>
  <c r="N48" i="34" s="1"/>
  <c r="M46" i="23"/>
  <c r="K46" i="26"/>
  <c r="L46" i="26" s="1"/>
  <c r="N46" i="26" s="1"/>
  <c r="Q46" i="26" s="1"/>
  <c r="S46" i="26" s="1"/>
  <c r="R45" i="24"/>
  <c r="F44" i="24"/>
  <c r="G44" i="24" s="1"/>
  <c r="W44" i="24"/>
  <c r="M44" i="24"/>
  <c r="R43" i="32"/>
  <c r="F42" i="32"/>
  <c r="G42" i="32" s="1"/>
  <c r="W42" i="32"/>
  <c r="M42" i="32"/>
  <c r="K46" i="31"/>
  <c r="L46" i="31" s="1"/>
  <c r="N46" i="31" s="1"/>
  <c r="Q46" i="31" s="1"/>
  <c r="S46" i="31" s="1"/>
  <c r="R51" i="30"/>
  <c r="F50" i="30"/>
  <c r="G50" i="30" s="1"/>
  <c r="W50" i="30"/>
  <c r="M50" i="30"/>
  <c r="R46" i="29"/>
  <c r="F45" i="29"/>
  <c r="G45" i="29" s="1"/>
  <c r="W45" i="29"/>
  <c r="M45" i="29"/>
  <c r="W44" i="37" l="1"/>
  <c r="R45" i="37"/>
  <c r="S45" i="37" s="1"/>
  <c r="Q46" i="37" s="1"/>
  <c r="F44" i="37"/>
  <c r="G44" i="37" s="1"/>
  <c r="Q46" i="23"/>
  <c r="F45" i="23"/>
  <c r="G45" i="23" s="1"/>
  <c r="R46" i="23"/>
  <c r="R46" i="37"/>
  <c r="W45" i="37"/>
  <c r="S45" i="42"/>
  <c r="F45" i="42" s="1"/>
  <c r="G45" i="42" s="1"/>
  <c r="R44" i="45"/>
  <c r="F43" i="45"/>
  <c r="G43" i="45" s="1"/>
  <c r="W43" i="45"/>
  <c r="M43" i="45"/>
  <c r="R45" i="43"/>
  <c r="F44" i="43"/>
  <c r="G44" i="43" s="1"/>
  <c r="W44" i="43"/>
  <c r="M44" i="43"/>
  <c r="M45" i="42"/>
  <c r="R45" i="41"/>
  <c r="F44" i="41"/>
  <c r="G44" i="41" s="1"/>
  <c r="W44" i="41"/>
  <c r="M44" i="41"/>
  <c r="K47" i="40"/>
  <c r="L47" i="40" s="1"/>
  <c r="N47" i="40" s="1"/>
  <c r="Q47" i="40" s="1"/>
  <c r="S47" i="40" s="1"/>
  <c r="K44" i="39"/>
  <c r="L44" i="39" s="1"/>
  <c r="N44" i="39" s="1"/>
  <c r="Q44" i="39" s="1"/>
  <c r="S44" i="39" s="1"/>
  <c r="K44" i="38"/>
  <c r="L44" i="38" s="1"/>
  <c r="N44" i="38" s="1"/>
  <c r="Q44" i="38" s="1"/>
  <c r="S44" i="38" s="1"/>
  <c r="K45" i="28"/>
  <c r="L45" i="28" s="1"/>
  <c r="N45" i="28" s="1"/>
  <c r="Q45" i="28" s="1"/>
  <c r="S45" i="28" s="1"/>
  <c r="M44" i="27"/>
  <c r="R45" i="27"/>
  <c r="F44" i="27"/>
  <c r="G44" i="27" s="1"/>
  <c r="W44" i="27"/>
  <c r="S48" i="34"/>
  <c r="W48" i="34" s="1"/>
  <c r="M47" i="37"/>
  <c r="K47" i="37"/>
  <c r="L47" i="37" s="1"/>
  <c r="N47" i="37" s="1"/>
  <c r="K44" i="25"/>
  <c r="L44" i="25" s="1"/>
  <c r="N44" i="25" s="1"/>
  <c r="Q44" i="25" s="1"/>
  <c r="S44" i="25" s="1"/>
  <c r="R48" i="36"/>
  <c r="F47" i="36"/>
  <c r="G47" i="36" s="1"/>
  <c r="W47" i="36"/>
  <c r="M47" i="36"/>
  <c r="R47" i="35"/>
  <c r="F46" i="35"/>
  <c r="G46" i="35" s="1"/>
  <c r="W46" i="35"/>
  <c r="K47" i="35"/>
  <c r="L47" i="35" s="1"/>
  <c r="N47" i="35" s="1"/>
  <c r="Q47" i="35" s="1"/>
  <c r="K49" i="34"/>
  <c r="L49" i="34" s="1"/>
  <c r="N49" i="34" s="1"/>
  <c r="K47" i="23"/>
  <c r="L47" i="23" s="1"/>
  <c r="N47" i="23" s="1"/>
  <c r="R47" i="26"/>
  <c r="F46" i="26"/>
  <c r="G46" i="26" s="1"/>
  <c r="W46" i="26"/>
  <c r="M46" i="26"/>
  <c r="M45" i="24"/>
  <c r="K45" i="24"/>
  <c r="L45" i="24" s="1"/>
  <c r="N45" i="24" s="1"/>
  <c r="Q45" i="24" s="1"/>
  <c r="S45" i="24" s="1"/>
  <c r="K43" i="32"/>
  <c r="L43" i="32" s="1"/>
  <c r="N43" i="32" s="1"/>
  <c r="Q43" i="32" s="1"/>
  <c r="S43" i="32" s="1"/>
  <c r="R47" i="31"/>
  <c r="F46" i="31"/>
  <c r="G46" i="31" s="1"/>
  <c r="W46" i="31"/>
  <c r="M46" i="31"/>
  <c r="K51" i="30"/>
  <c r="L51" i="30" s="1"/>
  <c r="N51" i="30" s="1"/>
  <c r="Q51" i="30" s="1"/>
  <c r="S51" i="30" s="1"/>
  <c r="K46" i="29"/>
  <c r="L46" i="29" s="1"/>
  <c r="N46" i="29" s="1"/>
  <c r="Q46" i="29" s="1"/>
  <c r="S46" i="29" s="1"/>
  <c r="F45" i="37" l="1"/>
  <c r="G45" i="37" s="1"/>
  <c r="S46" i="23"/>
  <c r="R47" i="23" s="1"/>
  <c r="S46" i="37"/>
  <c r="Q47" i="37" s="1"/>
  <c r="R46" i="42"/>
  <c r="W45" i="42"/>
  <c r="K44" i="45"/>
  <c r="L44" i="45" s="1"/>
  <c r="N44" i="45" s="1"/>
  <c r="Q44" i="45" s="1"/>
  <c r="S44" i="45" s="1"/>
  <c r="K45" i="43"/>
  <c r="L45" i="43" s="1"/>
  <c r="N45" i="43" s="1"/>
  <c r="Q45" i="43" s="1"/>
  <c r="S45" i="43" s="1"/>
  <c r="K46" i="42"/>
  <c r="L46" i="42" s="1"/>
  <c r="N46" i="42" s="1"/>
  <c r="Q46" i="42" s="1"/>
  <c r="F48" i="34"/>
  <c r="G48" i="34" s="1"/>
  <c r="K45" i="41"/>
  <c r="L45" i="41" s="1"/>
  <c r="N45" i="41" s="1"/>
  <c r="Q45" i="41" s="1"/>
  <c r="S45" i="41" s="1"/>
  <c r="R48" i="40"/>
  <c r="F47" i="40"/>
  <c r="G47" i="40" s="1"/>
  <c r="W47" i="40"/>
  <c r="M47" i="40"/>
  <c r="R45" i="39"/>
  <c r="F44" i="39"/>
  <c r="G44" i="39" s="1"/>
  <c r="W44" i="39"/>
  <c r="M44" i="39"/>
  <c r="R45" i="38"/>
  <c r="F44" i="38"/>
  <c r="G44" i="38" s="1"/>
  <c r="W44" i="38"/>
  <c r="M44" i="38"/>
  <c r="R49" i="34"/>
  <c r="R46" i="28"/>
  <c r="F45" i="28"/>
  <c r="G45" i="28" s="1"/>
  <c r="W45" i="28"/>
  <c r="M45" i="28"/>
  <c r="K45" i="27"/>
  <c r="L45" i="27" s="1"/>
  <c r="N45" i="27" s="1"/>
  <c r="Q45" i="27" s="1"/>
  <c r="S45" i="27" s="1"/>
  <c r="M48" i="37"/>
  <c r="K48" i="37"/>
  <c r="L48" i="37" s="1"/>
  <c r="N48" i="37" s="1"/>
  <c r="Q49" i="34"/>
  <c r="R45" i="25"/>
  <c r="F44" i="25"/>
  <c r="G44" i="25" s="1"/>
  <c r="W44" i="25"/>
  <c r="M44" i="25"/>
  <c r="K48" i="36"/>
  <c r="L48" i="36" s="1"/>
  <c r="N48" i="36" s="1"/>
  <c r="Q48" i="36" s="1"/>
  <c r="S48" i="36" s="1"/>
  <c r="S47" i="35"/>
  <c r="F47" i="35" s="1"/>
  <c r="G47" i="35" s="1"/>
  <c r="M47" i="35"/>
  <c r="M49" i="34"/>
  <c r="M47" i="23"/>
  <c r="K47" i="26"/>
  <c r="L47" i="26" s="1"/>
  <c r="N47" i="26" s="1"/>
  <c r="Q47" i="26" s="1"/>
  <c r="S47" i="26" s="1"/>
  <c r="R46" i="24"/>
  <c r="F45" i="24"/>
  <c r="G45" i="24" s="1"/>
  <c r="W45" i="24"/>
  <c r="K46" i="24"/>
  <c r="L46" i="24" s="1"/>
  <c r="N46" i="24" s="1"/>
  <c r="Q46" i="24" s="1"/>
  <c r="R44" i="32"/>
  <c r="F43" i="32"/>
  <c r="G43" i="32" s="1"/>
  <c r="W43" i="32"/>
  <c r="M43" i="32"/>
  <c r="K47" i="31"/>
  <c r="L47" i="31" s="1"/>
  <c r="N47" i="31" s="1"/>
  <c r="Q47" i="31" s="1"/>
  <c r="S47" i="31" s="1"/>
  <c r="R52" i="30"/>
  <c r="F51" i="30"/>
  <c r="G51" i="30" s="1"/>
  <c r="W52" i="30"/>
  <c r="W51" i="30"/>
  <c r="M51" i="30"/>
  <c r="R47" i="29"/>
  <c r="F46" i="29"/>
  <c r="G46" i="29" s="1"/>
  <c r="W46" i="29"/>
  <c r="M46" i="29"/>
  <c r="S49" i="34" l="1"/>
  <c r="W49" i="34" s="1"/>
  <c r="W46" i="23"/>
  <c r="F46" i="23"/>
  <c r="G46" i="23" s="1"/>
  <c r="Q47" i="23"/>
  <c r="S47" i="23" s="1"/>
  <c r="F47" i="23" s="1"/>
  <c r="G47" i="23" s="1"/>
  <c r="F46" i="37"/>
  <c r="G46" i="37" s="1"/>
  <c r="R47" i="37"/>
  <c r="S47" i="37" s="1"/>
  <c r="F47" i="37" s="1"/>
  <c r="G47" i="37" s="1"/>
  <c r="W46" i="37"/>
  <c r="S46" i="42"/>
  <c r="F46" i="42" s="1"/>
  <c r="G46" i="42" s="1"/>
  <c r="W11" i="30"/>
  <c r="R45" i="45"/>
  <c r="F44" i="45"/>
  <c r="G44" i="45" s="1"/>
  <c r="W44" i="45"/>
  <c r="M44" i="45"/>
  <c r="R46" i="43"/>
  <c r="F45" i="43"/>
  <c r="G45" i="43" s="1"/>
  <c r="W45" i="43"/>
  <c r="M45" i="43"/>
  <c r="R48" i="35"/>
  <c r="M46" i="42"/>
  <c r="R46" i="41"/>
  <c r="F45" i="41"/>
  <c r="G45" i="41" s="1"/>
  <c r="W45" i="41"/>
  <c r="M45" i="41"/>
  <c r="K48" i="40"/>
  <c r="L48" i="40" s="1"/>
  <c r="N48" i="40" s="1"/>
  <c r="Q48" i="40" s="1"/>
  <c r="S48" i="40" s="1"/>
  <c r="K45" i="39"/>
  <c r="L45" i="39" s="1"/>
  <c r="N45" i="39" s="1"/>
  <c r="Q45" i="39" s="1"/>
  <c r="S45" i="39" s="1"/>
  <c r="K45" i="38"/>
  <c r="L45" i="38" s="1"/>
  <c r="N45" i="38" s="1"/>
  <c r="Q45" i="38" s="1"/>
  <c r="S45" i="38" s="1"/>
  <c r="K46" i="28"/>
  <c r="L46" i="28" s="1"/>
  <c r="N46" i="28" s="1"/>
  <c r="Q46" i="28" s="1"/>
  <c r="S46" i="28" s="1"/>
  <c r="R46" i="27"/>
  <c r="F45" i="27"/>
  <c r="G45" i="27" s="1"/>
  <c r="W45" i="27"/>
  <c r="M45" i="27"/>
  <c r="K49" i="37"/>
  <c r="L49" i="37" s="1"/>
  <c r="N49" i="37" s="1"/>
  <c r="K45" i="25"/>
  <c r="L45" i="25" s="1"/>
  <c r="N45" i="25" s="1"/>
  <c r="Q45" i="25" s="1"/>
  <c r="S45" i="25" s="1"/>
  <c r="W47" i="35"/>
  <c r="R49" i="36"/>
  <c r="F48" i="36"/>
  <c r="G48" i="36" s="1"/>
  <c r="W48" i="36"/>
  <c r="M48" i="36"/>
  <c r="M48" i="35"/>
  <c r="K48" i="35"/>
  <c r="L48" i="35" s="1"/>
  <c r="N48" i="35" s="1"/>
  <c r="Q48" i="35" s="1"/>
  <c r="K50" i="34"/>
  <c r="L50" i="34" s="1"/>
  <c r="N50" i="34" s="1"/>
  <c r="K48" i="23"/>
  <c r="L48" i="23" s="1"/>
  <c r="N48" i="23" s="1"/>
  <c r="S46" i="24"/>
  <c r="F46" i="24" s="1"/>
  <c r="G46" i="24" s="1"/>
  <c r="R48" i="26"/>
  <c r="F47" i="26"/>
  <c r="G47" i="26" s="1"/>
  <c r="W47" i="26"/>
  <c r="M47" i="26"/>
  <c r="M46" i="24"/>
  <c r="K44" i="32"/>
  <c r="L44" i="32" s="1"/>
  <c r="N44" i="32" s="1"/>
  <c r="Q44" i="32" s="1"/>
  <c r="S44" i="32" s="1"/>
  <c r="R48" i="31"/>
  <c r="F47" i="31"/>
  <c r="G47" i="31" s="1"/>
  <c r="W47" i="31"/>
  <c r="M47" i="31"/>
  <c r="M52" i="30"/>
  <c r="K52" i="30"/>
  <c r="L52" i="30" s="1"/>
  <c r="N52" i="30" s="1"/>
  <c r="Q52" i="30" s="1"/>
  <c r="K47" i="29"/>
  <c r="L47" i="29" s="1"/>
  <c r="N47" i="29" s="1"/>
  <c r="Q47" i="29" s="1"/>
  <c r="S47" i="29" s="1"/>
  <c r="F49" i="34" l="1"/>
  <c r="G49" i="34" s="1"/>
  <c r="R50" i="34"/>
  <c r="Q50" i="34"/>
  <c r="Q48" i="23"/>
  <c r="W47" i="23"/>
  <c r="R48" i="23"/>
  <c r="R47" i="42"/>
  <c r="Q48" i="37"/>
  <c r="W47" i="37"/>
  <c r="R48" i="37"/>
  <c r="W46" i="42"/>
  <c r="K45" i="45"/>
  <c r="L45" i="45" s="1"/>
  <c r="N45" i="45" s="1"/>
  <c r="Q45" i="45" s="1"/>
  <c r="S45" i="45" s="1"/>
  <c r="S48" i="35"/>
  <c r="F48" i="35" s="1"/>
  <c r="G48" i="35" s="1"/>
  <c r="K46" i="43"/>
  <c r="L46" i="43" s="1"/>
  <c r="N46" i="43" s="1"/>
  <c r="Q46" i="43" s="1"/>
  <c r="S46" i="43" s="1"/>
  <c r="K47" i="42"/>
  <c r="L47" i="42" s="1"/>
  <c r="N47" i="42" s="1"/>
  <c r="Q47" i="42" s="1"/>
  <c r="S47" i="42" s="1"/>
  <c r="K46" i="41"/>
  <c r="L46" i="41" s="1"/>
  <c r="N46" i="41" s="1"/>
  <c r="Q46" i="41" s="1"/>
  <c r="S46" i="41" s="1"/>
  <c r="R49" i="40"/>
  <c r="F48" i="40"/>
  <c r="G48" i="40" s="1"/>
  <c r="W48" i="40"/>
  <c r="M48" i="40"/>
  <c r="R46" i="39"/>
  <c r="F45" i="39"/>
  <c r="G45" i="39" s="1"/>
  <c r="W45" i="39"/>
  <c r="M45" i="39"/>
  <c r="R46" i="38"/>
  <c r="F45" i="38"/>
  <c r="G45" i="38" s="1"/>
  <c r="W45" i="38"/>
  <c r="M45" i="38"/>
  <c r="R47" i="28"/>
  <c r="F46" i="28"/>
  <c r="G46" i="28" s="1"/>
  <c r="W46" i="28"/>
  <c r="M46" i="28"/>
  <c r="K46" i="27"/>
  <c r="L46" i="27" s="1"/>
  <c r="N46" i="27" s="1"/>
  <c r="Q46" i="27" s="1"/>
  <c r="S46" i="27" s="1"/>
  <c r="M49" i="37"/>
  <c r="R46" i="25"/>
  <c r="F45" i="25"/>
  <c r="G45" i="25" s="1"/>
  <c r="W45" i="25"/>
  <c r="M45" i="25"/>
  <c r="K49" i="36"/>
  <c r="L49" i="36" s="1"/>
  <c r="N49" i="36" s="1"/>
  <c r="Q49" i="36" s="1"/>
  <c r="S49" i="36" s="1"/>
  <c r="K49" i="35"/>
  <c r="L49" i="35" s="1"/>
  <c r="N49" i="35" s="1"/>
  <c r="R47" i="24"/>
  <c r="M50" i="34"/>
  <c r="W46" i="24"/>
  <c r="M48" i="23"/>
  <c r="K48" i="26"/>
  <c r="L48" i="26" s="1"/>
  <c r="N48" i="26" s="1"/>
  <c r="Q48" i="26" s="1"/>
  <c r="S48" i="26" s="1"/>
  <c r="K47" i="24"/>
  <c r="L47" i="24" s="1"/>
  <c r="N47" i="24" s="1"/>
  <c r="Q47" i="24" s="1"/>
  <c r="R45" i="32"/>
  <c r="F44" i="32"/>
  <c r="G44" i="32" s="1"/>
  <c r="W44" i="32"/>
  <c r="M44" i="32"/>
  <c r="K48" i="31"/>
  <c r="L48" i="31" s="1"/>
  <c r="N48" i="31" s="1"/>
  <c r="Q48" i="31" s="1"/>
  <c r="S48" i="31" s="1"/>
  <c r="R48" i="29"/>
  <c r="F47" i="29"/>
  <c r="G47" i="29" s="1"/>
  <c r="W47" i="29"/>
  <c r="M47" i="29"/>
  <c r="S50" i="34" l="1"/>
  <c r="W50" i="34" s="1"/>
  <c r="S48" i="23"/>
  <c r="W48" i="23" s="1"/>
  <c r="S48" i="37"/>
  <c r="R49" i="37" s="1"/>
  <c r="R49" i="35"/>
  <c r="Q49" i="35"/>
  <c r="W48" i="35"/>
  <c r="S47" i="24"/>
  <c r="R48" i="24" s="1"/>
  <c r="R46" i="45"/>
  <c r="F45" i="45"/>
  <c r="G45" i="45" s="1"/>
  <c r="W45" i="45"/>
  <c r="M45" i="45"/>
  <c r="R47" i="43"/>
  <c r="F46" i="43"/>
  <c r="G46" i="43" s="1"/>
  <c r="W46" i="43"/>
  <c r="M46" i="43"/>
  <c r="R48" i="42"/>
  <c r="F47" i="42"/>
  <c r="G47" i="42" s="1"/>
  <c r="W47" i="42"/>
  <c r="M47" i="42"/>
  <c r="R47" i="41"/>
  <c r="F46" i="41"/>
  <c r="G46" i="41" s="1"/>
  <c r="W46" i="41"/>
  <c r="M46" i="41"/>
  <c r="K49" i="40"/>
  <c r="L49" i="40" s="1"/>
  <c r="N49" i="40" s="1"/>
  <c r="Q49" i="40" s="1"/>
  <c r="S49" i="40" s="1"/>
  <c r="K46" i="39"/>
  <c r="L46" i="39" s="1"/>
  <c r="N46" i="39" s="1"/>
  <c r="Q46" i="39" s="1"/>
  <c r="S46" i="39" s="1"/>
  <c r="K46" i="38"/>
  <c r="L46" i="38" s="1"/>
  <c r="N46" i="38" s="1"/>
  <c r="Q46" i="38" s="1"/>
  <c r="S46" i="38" s="1"/>
  <c r="K47" i="28"/>
  <c r="L47" i="28" s="1"/>
  <c r="N47" i="28" s="1"/>
  <c r="Q47" i="28" s="1"/>
  <c r="S47" i="28" s="1"/>
  <c r="R47" i="27"/>
  <c r="F46" i="27"/>
  <c r="G46" i="27" s="1"/>
  <c r="W46" i="27"/>
  <c r="M46" i="27"/>
  <c r="M50" i="37"/>
  <c r="K50" i="37"/>
  <c r="L50" i="37" s="1"/>
  <c r="N50" i="37" s="1"/>
  <c r="K46" i="25"/>
  <c r="L46" i="25" s="1"/>
  <c r="N46" i="25" s="1"/>
  <c r="Q46" i="25" s="1"/>
  <c r="S46" i="25" s="1"/>
  <c r="R50" i="36"/>
  <c r="F49" i="36"/>
  <c r="G49" i="36" s="1"/>
  <c r="W49" i="36"/>
  <c r="M49" i="36"/>
  <c r="M49" i="35"/>
  <c r="K51" i="34"/>
  <c r="L51" i="34" s="1"/>
  <c r="N51" i="34" s="1"/>
  <c r="K49" i="23"/>
  <c r="L49" i="23" s="1"/>
  <c r="N49" i="23" s="1"/>
  <c r="R49" i="26"/>
  <c r="F48" i="26"/>
  <c r="G48" i="26" s="1"/>
  <c r="W48" i="26"/>
  <c r="M48" i="26"/>
  <c r="M47" i="24"/>
  <c r="K45" i="32"/>
  <c r="L45" i="32" s="1"/>
  <c r="N45" i="32" s="1"/>
  <c r="Q45" i="32" s="1"/>
  <c r="S45" i="32" s="1"/>
  <c r="R49" i="31"/>
  <c r="F48" i="31"/>
  <c r="G48" i="31" s="1"/>
  <c r="W48" i="31"/>
  <c r="M48" i="31"/>
  <c r="K48" i="29"/>
  <c r="L48" i="29" s="1"/>
  <c r="N48" i="29" s="1"/>
  <c r="Q48" i="29" s="1"/>
  <c r="S48" i="29" s="1"/>
  <c r="R51" i="34" l="1"/>
  <c r="Q51" i="34"/>
  <c r="F50" i="34"/>
  <c r="G50" i="34" s="1"/>
  <c r="R49" i="23"/>
  <c r="Q49" i="23"/>
  <c r="F48" i="23"/>
  <c r="G48" i="23" s="1"/>
  <c r="Q49" i="37"/>
  <c r="S49" i="37" s="1"/>
  <c r="W49" i="37" s="1"/>
  <c r="W48" i="37"/>
  <c r="F48" i="37"/>
  <c r="G48" i="37" s="1"/>
  <c r="S49" i="35"/>
  <c r="R50" i="35" s="1"/>
  <c r="W47" i="24"/>
  <c r="F47" i="24"/>
  <c r="G47" i="24" s="1"/>
  <c r="K46" i="45"/>
  <c r="L46" i="45" s="1"/>
  <c r="N46" i="45" s="1"/>
  <c r="Q46" i="45" s="1"/>
  <c r="S46" i="45" s="1"/>
  <c r="M47" i="43"/>
  <c r="K47" i="43"/>
  <c r="L47" i="43" s="1"/>
  <c r="N47" i="43" s="1"/>
  <c r="Q47" i="43" s="1"/>
  <c r="S47" i="43" s="1"/>
  <c r="K48" i="42"/>
  <c r="L48" i="42" s="1"/>
  <c r="N48" i="42" s="1"/>
  <c r="Q48" i="42" s="1"/>
  <c r="S48" i="42" s="1"/>
  <c r="K47" i="41"/>
  <c r="L47" i="41" s="1"/>
  <c r="N47" i="41" s="1"/>
  <c r="Q47" i="41" s="1"/>
  <c r="S47" i="41" s="1"/>
  <c r="R50" i="40"/>
  <c r="F49" i="40"/>
  <c r="G49" i="40" s="1"/>
  <c r="W49" i="40"/>
  <c r="M49" i="40"/>
  <c r="R47" i="39"/>
  <c r="F46" i="39"/>
  <c r="G46" i="39" s="1"/>
  <c r="W46" i="39"/>
  <c r="M46" i="39"/>
  <c r="R47" i="38"/>
  <c r="F46" i="38"/>
  <c r="G46" i="38" s="1"/>
  <c r="W46" i="38"/>
  <c r="M46" i="38"/>
  <c r="R48" i="28"/>
  <c r="F47" i="28"/>
  <c r="G47" i="28" s="1"/>
  <c r="W47" i="28"/>
  <c r="M47" i="28"/>
  <c r="K47" i="27"/>
  <c r="L47" i="27" s="1"/>
  <c r="N47" i="27" s="1"/>
  <c r="Q47" i="27" s="1"/>
  <c r="S47" i="27" s="1"/>
  <c r="M51" i="37"/>
  <c r="K51" i="37"/>
  <c r="L51" i="37" s="1"/>
  <c r="N51" i="37" s="1"/>
  <c r="R47" i="25"/>
  <c r="F46" i="25"/>
  <c r="G46" i="25" s="1"/>
  <c r="W46" i="25"/>
  <c r="M46" i="25"/>
  <c r="K50" i="36"/>
  <c r="L50" i="36" s="1"/>
  <c r="N50" i="36" s="1"/>
  <c r="Q50" i="36" s="1"/>
  <c r="S50" i="36" s="1"/>
  <c r="M50" i="35"/>
  <c r="K50" i="35"/>
  <c r="L50" i="35" s="1"/>
  <c r="N50" i="35" s="1"/>
  <c r="M51" i="34"/>
  <c r="M49" i="23"/>
  <c r="K49" i="26"/>
  <c r="L49" i="26" s="1"/>
  <c r="N49" i="26" s="1"/>
  <c r="Q49" i="26" s="1"/>
  <c r="S49" i="26" s="1"/>
  <c r="K48" i="24"/>
  <c r="L48" i="24" s="1"/>
  <c r="N48" i="24" s="1"/>
  <c r="Q48" i="24" s="1"/>
  <c r="S48" i="24" s="1"/>
  <c r="R46" i="32"/>
  <c r="F45" i="32"/>
  <c r="G45" i="32" s="1"/>
  <c r="W45" i="32"/>
  <c r="M45" i="32"/>
  <c r="K49" i="31"/>
  <c r="L49" i="31" s="1"/>
  <c r="N49" i="31" s="1"/>
  <c r="Q49" i="31" s="1"/>
  <c r="S49" i="31" s="1"/>
  <c r="R49" i="29"/>
  <c r="F48" i="29"/>
  <c r="G48" i="29" s="1"/>
  <c r="W48" i="29"/>
  <c r="M48" i="29"/>
  <c r="S51" i="34" l="1"/>
  <c r="F51" i="34" s="1"/>
  <c r="G51" i="34" s="1"/>
  <c r="S49" i="23"/>
  <c r="R50" i="23" s="1"/>
  <c r="F49" i="37"/>
  <c r="G49" i="37" s="1"/>
  <c r="R50" i="37"/>
  <c r="Q50" i="35"/>
  <c r="S50" i="35" s="1"/>
  <c r="F50" i="35" s="1"/>
  <c r="G50" i="35" s="1"/>
  <c r="Q50" i="37"/>
  <c r="F49" i="35"/>
  <c r="G49" i="35" s="1"/>
  <c r="W49" i="35"/>
  <c r="W51" i="34"/>
  <c r="R47" i="45"/>
  <c r="F46" i="45"/>
  <c r="G46" i="45" s="1"/>
  <c r="W46" i="45"/>
  <c r="M46" i="45"/>
  <c r="R48" i="43"/>
  <c r="Q48" i="43"/>
  <c r="F47" i="43"/>
  <c r="G47" i="43" s="1"/>
  <c r="W47" i="43"/>
  <c r="M48" i="43"/>
  <c r="K48" i="43"/>
  <c r="L48" i="43" s="1"/>
  <c r="N48" i="43" s="1"/>
  <c r="R49" i="42"/>
  <c r="F48" i="42"/>
  <c r="G48" i="42" s="1"/>
  <c r="W48" i="42"/>
  <c r="M48" i="42"/>
  <c r="R48" i="41"/>
  <c r="F47" i="41"/>
  <c r="G47" i="41" s="1"/>
  <c r="W47" i="41"/>
  <c r="M47" i="41"/>
  <c r="K50" i="40"/>
  <c r="L50" i="40" s="1"/>
  <c r="N50" i="40" s="1"/>
  <c r="Q50" i="40" s="1"/>
  <c r="S50" i="40" s="1"/>
  <c r="K47" i="39"/>
  <c r="L47" i="39" s="1"/>
  <c r="N47" i="39" s="1"/>
  <c r="Q47" i="39" s="1"/>
  <c r="S47" i="39" s="1"/>
  <c r="K47" i="38"/>
  <c r="L47" i="38" s="1"/>
  <c r="N47" i="38" s="1"/>
  <c r="Q47" i="38" s="1"/>
  <c r="S47" i="38" s="1"/>
  <c r="K48" i="28"/>
  <c r="L48" i="28" s="1"/>
  <c r="N48" i="28" s="1"/>
  <c r="Q48" i="28" s="1"/>
  <c r="S48" i="28" s="1"/>
  <c r="R48" i="27"/>
  <c r="F47" i="27"/>
  <c r="G47" i="27" s="1"/>
  <c r="W47" i="27"/>
  <c r="M47" i="27"/>
  <c r="K52" i="37"/>
  <c r="L52" i="37" s="1"/>
  <c r="N52" i="37" s="1"/>
  <c r="K47" i="25"/>
  <c r="L47" i="25" s="1"/>
  <c r="N47" i="25" s="1"/>
  <c r="Q47" i="25" s="1"/>
  <c r="S47" i="25" s="1"/>
  <c r="R51" i="36"/>
  <c r="F50" i="36"/>
  <c r="G50" i="36" s="1"/>
  <c r="W50" i="36"/>
  <c r="M50" i="36"/>
  <c r="K51" i="35"/>
  <c r="L51" i="35" s="1"/>
  <c r="N51" i="35" s="1"/>
  <c r="K52" i="34"/>
  <c r="L52" i="34" s="1"/>
  <c r="N52" i="34" s="1"/>
  <c r="K50" i="23"/>
  <c r="L50" i="23" s="1"/>
  <c r="N50" i="23" s="1"/>
  <c r="R50" i="26"/>
  <c r="F49" i="26"/>
  <c r="G49" i="26" s="1"/>
  <c r="W49" i="26"/>
  <c r="M49" i="26"/>
  <c r="R49" i="24"/>
  <c r="F48" i="24"/>
  <c r="G48" i="24" s="1"/>
  <c r="W48" i="24"/>
  <c r="M48" i="24"/>
  <c r="K46" i="32"/>
  <c r="L46" i="32" s="1"/>
  <c r="N46" i="32" s="1"/>
  <c r="Q46" i="32" s="1"/>
  <c r="S46" i="32" s="1"/>
  <c r="R50" i="31"/>
  <c r="F49" i="31"/>
  <c r="G49" i="31" s="1"/>
  <c r="W49" i="31"/>
  <c r="M49" i="31"/>
  <c r="K49" i="29"/>
  <c r="L49" i="29" s="1"/>
  <c r="N49" i="29" s="1"/>
  <c r="Q49" i="29" s="1"/>
  <c r="S49" i="29" s="1"/>
  <c r="W52" i="34" l="1"/>
  <c r="Q50" i="23"/>
  <c r="S50" i="23" s="1"/>
  <c r="R51" i="23" s="1"/>
  <c r="F49" i="23"/>
  <c r="G49" i="23" s="1"/>
  <c r="W49" i="23"/>
  <c r="S50" i="37"/>
  <c r="Q51" i="37" s="1"/>
  <c r="R51" i="35"/>
  <c r="Q51" i="35"/>
  <c r="W50" i="35"/>
  <c r="W11" i="34"/>
  <c r="S48" i="43"/>
  <c r="Q49" i="43" s="1"/>
  <c r="K47" i="45"/>
  <c r="L47" i="45" s="1"/>
  <c r="N47" i="45" s="1"/>
  <c r="Q47" i="45" s="1"/>
  <c r="S47" i="45" s="1"/>
  <c r="K49" i="43"/>
  <c r="L49" i="43" s="1"/>
  <c r="N49" i="43" s="1"/>
  <c r="K49" i="42"/>
  <c r="L49" i="42" s="1"/>
  <c r="N49" i="42" s="1"/>
  <c r="Q49" i="42" s="1"/>
  <c r="S49" i="42" s="1"/>
  <c r="K48" i="41"/>
  <c r="L48" i="41" s="1"/>
  <c r="N48" i="41" s="1"/>
  <c r="Q48" i="41" s="1"/>
  <c r="S48" i="41" s="1"/>
  <c r="R51" i="40"/>
  <c r="F50" i="40"/>
  <c r="G50" i="40" s="1"/>
  <c r="W50" i="40"/>
  <c r="M50" i="40"/>
  <c r="R48" i="39"/>
  <c r="F47" i="39"/>
  <c r="G47" i="39" s="1"/>
  <c r="W47" i="39"/>
  <c r="M47" i="39"/>
  <c r="R48" i="38"/>
  <c r="F47" i="38"/>
  <c r="G47" i="38" s="1"/>
  <c r="W47" i="38"/>
  <c r="M47" i="38"/>
  <c r="R49" i="28"/>
  <c r="F48" i="28"/>
  <c r="G48" i="28" s="1"/>
  <c r="W48" i="28"/>
  <c r="M48" i="28"/>
  <c r="K48" i="27"/>
  <c r="L48" i="27" s="1"/>
  <c r="N48" i="27" s="1"/>
  <c r="Q48" i="27" s="1"/>
  <c r="S48" i="27" s="1"/>
  <c r="M52" i="37"/>
  <c r="R48" i="25"/>
  <c r="F47" i="25"/>
  <c r="G47" i="25" s="1"/>
  <c r="W47" i="25"/>
  <c r="M47" i="25"/>
  <c r="K51" i="36"/>
  <c r="L51" i="36" s="1"/>
  <c r="N51" i="36" s="1"/>
  <c r="Q51" i="36" s="1"/>
  <c r="S51" i="36" s="1"/>
  <c r="M51" i="35"/>
  <c r="M52" i="34"/>
  <c r="M50" i="23"/>
  <c r="K50" i="26"/>
  <c r="L50" i="26" s="1"/>
  <c r="N50" i="26" s="1"/>
  <c r="Q50" i="26" s="1"/>
  <c r="S50" i="26" s="1"/>
  <c r="K49" i="24"/>
  <c r="L49" i="24" s="1"/>
  <c r="N49" i="24" s="1"/>
  <c r="Q49" i="24" s="1"/>
  <c r="S49" i="24" s="1"/>
  <c r="R47" i="32"/>
  <c r="F46" i="32"/>
  <c r="G46" i="32" s="1"/>
  <c r="W46" i="32"/>
  <c r="M46" i="32"/>
  <c r="K50" i="31"/>
  <c r="L50" i="31" s="1"/>
  <c r="N50" i="31" s="1"/>
  <c r="Q50" i="31" s="1"/>
  <c r="S50" i="31" s="1"/>
  <c r="R50" i="29"/>
  <c r="F49" i="29"/>
  <c r="G49" i="29" s="1"/>
  <c r="W49" i="29"/>
  <c r="M49" i="29"/>
  <c r="W50" i="23" l="1"/>
  <c r="F50" i="23"/>
  <c r="G50" i="23" s="1"/>
  <c r="F50" i="37"/>
  <c r="G50" i="37" s="1"/>
  <c r="R51" i="37"/>
  <c r="S51" i="37" s="1"/>
  <c r="W52" i="37" s="1"/>
  <c r="W50" i="37"/>
  <c r="S51" i="35"/>
  <c r="W52" i="35" s="1"/>
  <c r="W48" i="43"/>
  <c r="F48" i="43"/>
  <c r="G48" i="43" s="1"/>
  <c r="R49" i="43"/>
  <c r="S49" i="43" s="1"/>
  <c r="R48" i="45"/>
  <c r="F47" i="45"/>
  <c r="G47" i="45" s="1"/>
  <c r="W47" i="45"/>
  <c r="M47" i="45"/>
  <c r="M49" i="43"/>
  <c r="R50" i="42"/>
  <c r="F49" i="42"/>
  <c r="G49" i="42" s="1"/>
  <c r="W49" i="42"/>
  <c r="M49" i="42"/>
  <c r="R49" i="41"/>
  <c r="F48" i="41"/>
  <c r="G48" i="41" s="1"/>
  <c r="W48" i="41"/>
  <c r="M48" i="41"/>
  <c r="K51" i="40"/>
  <c r="L51" i="40" s="1"/>
  <c r="N51" i="40" s="1"/>
  <c r="Q51" i="40" s="1"/>
  <c r="S51" i="40" s="1"/>
  <c r="K48" i="39"/>
  <c r="L48" i="39" s="1"/>
  <c r="N48" i="39" s="1"/>
  <c r="Q48" i="39" s="1"/>
  <c r="S48" i="39" s="1"/>
  <c r="K48" i="38"/>
  <c r="L48" i="38" s="1"/>
  <c r="N48" i="38" s="1"/>
  <c r="Q48" i="38" s="1"/>
  <c r="S48" i="38" s="1"/>
  <c r="K49" i="28"/>
  <c r="L49" i="28" s="1"/>
  <c r="N49" i="28" s="1"/>
  <c r="Q49" i="28" s="1"/>
  <c r="S49" i="28" s="1"/>
  <c r="R49" i="27"/>
  <c r="F48" i="27"/>
  <c r="G48" i="27" s="1"/>
  <c r="W48" i="27"/>
  <c r="M48" i="27"/>
  <c r="K48" i="25"/>
  <c r="L48" i="25" s="1"/>
  <c r="N48" i="25" s="1"/>
  <c r="Q48" i="25" s="1"/>
  <c r="S48" i="25" s="1"/>
  <c r="F51" i="36"/>
  <c r="G51" i="36" s="1"/>
  <c r="W52" i="36"/>
  <c r="W51" i="36"/>
  <c r="M51" i="36"/>
  <c r="K52" i="35"/>
  <c r="L52" i="35" s="1"/>
  <c r="N52" i="35" s="1"/>
  <c r="K51" i="23"/>
  <c r="L51" i="23" s="1"/>
  <c r="N51" i="23" s="1"/>
  <c r="Q51" i="23" s="1"/>
  <c r="S51" i="23" s="1"/>
  <c r="R51" i="26"/>
  <c r="F50" i="26"/>
  <c r="G50" i="26" s="1"/>
  <c r="W50" i="26"/>
  <c r="M50" i="26"/>
  <c r="R50" i="24"/>
  <c r="F49" i="24"/>
  <c r="G49" i="24" s="1"/>
  <c r="W49" i="24"/>
  <c r="M49" i="24"/>
  <c r="K47" i="32"/>
  <c r="L47" i="32" s="1"/>
  <c r="N47" i="32" s="1"/>
  <c r="Q47" i="32" s="1"/>
  <c r="S47" i="32" s="1"/>
  <c r="R51" i="31"/>
  <c r="F50" i="31"/>
  <c r="G50" i="31" s="1"/>
  <c r="W50" i="31"/>
  <c r="M50" i="31"/>
  <c r="K50" i="29"/>
  <c r="L50" i="29" s="1"/>
  <c r="N50" i="29" s="1"/>
  <c r="Q50" i="29" s="1"/>
  <c r="S50" i="29" s="1"/>
  <c r="F51" i="37" l="1"/>
  <c r="G51" i="37" s="1"/>
  <c r="Q52" i="37"/>
  <c r="W51" i="37"/>
  <c r="W11" i="37" s="1"/>
  <c r="F51" i="35"/>
  <c r="G51" i="35" s="1"/>
  <c r="W51" i="35"/>
  <c r="W11" i="35" s="1"/>
  <c r="H31" i="21" s="1"/>
  <c r="W11" i="36"/>
  <c r="W49" i="43"/>
  <c r="R50" i="43"/>
  <c r="F49" i="43"/>
  <c r="G49" i="43" s="1"/>
  <c r="M48" i="45"/>
  <c r="K48" i="45"/>
  <c r="L48" i="45" s="1"/>
  <c r="N48" i="45" s="1"/>
  <c r="Q48" i="45" s="1"/>
  <c r="S48" i="45" s="1"/>
  <c r="K50" i="43"/>
  <c r="L50" i="43" s="1"/>
  <c r="N50" i="43" s="1"/>
  <c r="Q50" i="43" s="1"/>
  <c r="K50" i="42"/>
  <c r="L50" i="42" s="1"/>
  <c r="N50" i="42" s="1"/>
  <c r="Q50" i="42" s="1"/>
  <c r="S50" i="42" s="1"/>
  <c r="K49" i="41"/>
  <c r="L49" i="41" s="1"/>
  <c r="N49" i="41" s="1"/>
  <c r="Q49" i="41" s="1"/>
  <c r="S49" i="41" s="1"/>
  <c r="R52" i="40"/>
  <c r="F51" i="40"/>
  <c r="G51" i="40" s="1"/>
  <c r="W52" i="40"/>
  <c r="W51" i="40"/>
  <c r="M51" i="40"/>
  <c r="R49" i="39"/>
  <c r="F48" i="39"/>
  <c r="G48" i="39" s="1"/>
  <c r="W48" i="39"/>
  <c r="M48" i="39"/>
  <c r="R49" i="38"/>
  <c r="F48" i="38"/>
  <c r="G48" i="38" s="1"/>
  <c r="W48" i="38"/>
  <c r="M48" i="38"/>
  <c r="R50" i="28"/>
  <c r="F49" i="28"/>
  <c r="G49" i="28" s="1"/>
  <c r="W49" i="28"/>
  <c r="M49" i="28"/>
  <c r="K49" i="27"/>
  <c r="L49" i="27" s="1"/>
  <c r="N49" i="27" s="1"/>
  <c r="Q49" i="27" s="1"/>
  <c r="S49" i="27" s="1"/>
  <c r="R49" i="25"/>
  <c r="F48" i="25"/>
  <c r="G48" i="25" s="1"/>
  <c r="W48" i="25"/>
  <c r="M48" i="25"/>
  <c r="K52" i="36"/>
  <c r="L52" i="36" s="1"/>
  <c r="N52" i="36" s="1"/>
  <c r="M52" i="35"/>
  <c r="F51" i="23"/>
  <c r="G51" i="23" s="1"/>
  <c r="W51" i="23"/>
  <c r="M51" i="23"/>
  <c r="K51" i="26"/>
  <c r="L51" i="26" s="1"/>
  <c r="N51" i="26" s="1"/>
  <c r="Q51" i="26" s="1"/>
  <c r="S51" i="26" s="1"/>
  <c r="K50" i="24"/>
  <c r="L50" i="24" s="1"/>
  <c r="N50" i="24" s="1"/>
  <c r="Q50" i="24" s="1"/>
  <c r="S50" i="24" s="1"/>
  <c r="R48" i="32"/>
  <c r="F47" i="32"/>
  <c r="G47" i="32" s="1"/>
  <c r="W47" i="32"/>
  <c r="M47" i="32"/>
  <c r="K51" i="31"/>
  <c r="L51" i="31" s="1"/>
  <c r="N51" i="31" s="1"/>
  <c r="Q51" i="31" s="1"/>
  <c r="S51" i="31" s="1"/>
  <c r="R51" i="29"/>
  <c r="F50" i="29"/>
  <c r="G50" i="29" s="1"/>
  <c r="W50" i="29"/>
  <c r="M50" i="29"/>
  <c r="W11" i="40" l="1"/>
  <c r="S50" i="43"/>
  <c r="F50" i="43" s="1"/>
  <c r="G50" i="43" s="1"/>
  <c r="R49" i="45"/>
  <c r="F48" i="45"/>
  <c r="G48" i="45" s="1"/>
  <c r="W48" i="45"/>
  <c r="K49" i="45"/>
  <c r="L49" i="45" s="1"/>
  <c r="N49" i="45" s="1"/>
  <c r="Q49" i="45" s="1"/>
  <c r="M50" i="43"/>
  <c r="R51" i="42"/>
  <c r="F50" i="42"/>
  <c r="G50" i="42" s="1"/>
  <c r="W50" i="42"/>
  <c r="M50" i="42"/>
  <c r="R50" i="41"/>
  <c r="F49" i="41"/>
  <c r="G49" i="41" s="1"/>
  <c r="W49" i="41"/>
  <c r="M49" i="41"/>
  <c r="K52" i="40"/>
  <c r="L52" i="40" s="1"/>
  <c r="N52" i="40" s="1"/>
  <c r="Q52" i="40" s="1"/>
  <c r="K49" i="39"/>
  <c r="L49" i="39" s="1"/>
  <c r="N49" i="39" s="1"/>
  <c r="Q49" i="39" s="1"/>
  <c r="S49" i="39" s="1"/>
  <c r="K49" i="38"/>
  <c r="L49" i="38" s="1"/>
  <c r="N49" i="38" s="1"/>
  <c r="Q49" i="38" s="1"/>
  <c r="S49" i="38" s="1"/>
  <c r="K50" i="28"/>
  <c r="L50" i="28" s="1"/>
  <c r="N50" i="28" s="1"/>
  <c r="Q50" i="28" s="1"/>
  <c r="S50" i="28" s="1"/>
  <c r="R50" i="27"/>
  <c r="F49" i="27"/>
  <c r="G49" i="27" s="1"/>
  <c r="W49" i="27"/>
  <c r="M49" i="27"/>
  <c r="K49" i="25"/>
  <c r="L49" i="25" s="1"/>
  <c r="N49" i="25" s="1"/>
  <c r="Q49" i="25" s="1"/>
  <c r="S49" i="25" s="1"/>
  <c r="M52" i="36"/>
  <c r="M52" i="23"/>
  <c r="K52" i="23"/>
  <c r="L52" i="23" s="1"/>
  <c r="N52" i="23" s="1"/>
  <c r="Q52" i="23" s="1"/>
  <c r="S52" i="23" s="1"/>
  <c r="F51" i="26"/>
  <c r="G51" i="26" s="1"/>
  <c r="W52" i="26"/>
  <c r="W51" i="26"/>
  <c r="M51" i="26"/>
  <c r="R51" i="24"/>
  <c r="F50" i="24"/>
  <c r="G50" i="24" s="1"/>
  <c r="W50" i="24"/>
  <c r="M50" i="24"/>
  <c r="K48" i="32"/>
  <c r="L48" i="32" s="1"/>
  <c r="N48" i="32" s="1"/>
  <c r="Q48" i="32" s="1"/>
  <c r="S48" i="32" s="1"/>
  <c r="R52" i="31"/>
  <c r="F51" i="31"/>
  <c r="G51" i="31" s="1"/>
  <c r="W52" i="31"/>
  <c r="W51" i="31"/>
  <c r="M51" i="31"/>
  <c r="K51" i="29"/>
  <c r="L51" i="29" s="1"/>
  <c r="N51" i="29" s="1"/>
  <c r="Q51" i="29" s="1"/>
  <c r="S51" i="29" s="1"/>
  <c r="W11" i="26" l="1"/>
  <c r="H28" i="21" s="1"/>
  <c r="W50" i="43"/>
  <c r="R51" i="43"/>
  <c r="W11" i="31"/>
  <c r="H25" i="21" s="1"/>
  <c r="S49" i="45"/>
  <c r="R50" i="45" s="1"/>
  <c r="M49" i="45"/>
  <c r="K51" i="43"/>
  <c r="L51" i="43" s="1"/>
  <c r="N51" i="43" s="1"/>
  <c r="Q51" i="43" s="1"/>
  <c r="K51" i="42"/>
  <c r="L51" i="42" s="1"/>
  <c r="N51" i="42" s="1"/>
  <c r="Q51" i="42" s="1"/>
  <c r="S51" i="42" s="1"/>
  <c r="K50" i="41"/>
  <c r="L50" i="41" s="1"/>
  <c r="N50" i="41" s="1"/>
  <c r="Q50" i="41" s="1"/>
  <c r="S50" i="41" s="1"/>
  <c r="M52" i="40"/>
  <c r="R50" i="39"/>
  <c r="F49" i="39"/>
  <c r="G49" i="39" s="1"/>
  <c r="W49" i="39"/>
  <c r="M49" i="39"/>
  <c r="R50" i="38"/>
  <c r="F49" i="38"/>
  <c r="G49" i="38" s="1"/>
  <c r="W49" i="38"/>
  <c r="M49" i="38"/>
  <c r="R51" i="28"/>
  <c r="F50" i="28"/>
  <c r="G50" i="28" s="1"/>
  <c r="W50" i="28"/>
  <c r="M50" i="28"/>
  <c r="K50" i="27"/>
  <c r="L50" i="27" s="1"/>
  <c r="N50" i="27" s="1"/>
  <c r="Q50" i="27" s="1"/>
  <c r="S50" i="27" s="1"/>
  <c r="R50" i="25"/>
  <c r="F49" i="25"/>
  <c r="G49" i="25" s="1"/>
  <c r="W49" i="25"/>
  <c r="M49" i="25"/>
  <c r="F52" i="23"/>
  <c r="G52" i="23" s="1"/>
  <c r="W52" i="23"/>
  <c r="W11" i="23" s="1"/>
  <c r="H29" i="21" s="1"/>
  <c r="K52" i="26"/>
  <c r="L52" i="26" s="1"/>
  <c r="N52" i="26" s="1"/>
  <c r="Q52" i="26" s="1"/>
  <c r="M51" i="24"/>
  <c r="K51" i="24"/>
  <c r="L51" i="24" s="1"/>
  <c r="N51" i="24" s="1"/>
  <c r="Q51" i="24" s="1"/>
  <c r="S51" i="24" s="1"/>
  <c r="R49" i="32"/>
  <c r="F48" i="32"/>
  <c r="G48" i="32" s="1"/>
  <c r="W48" i="32"/>
  <c r="M48" i="32"/>
  <c r="M52" i="31"/>
  <c r="K52" i="31"/>
  <c r="L52" i="31" s="1"/>
  <c r="N52" i="31" s="1"/>
  <c r="Q52" i="31" s="1"/>
  <c r="R52" i="29"/>
  <c r="F51" i="29"/>
  <c r="G51" i="29" s="1"/>
  <c r="W52" i="29"/>
  <c r="W51" i="29"/>
  <c r="M51" i="29"/>
  <c r="H30" i="21"/>
  <c r="H24" i="21"/>
  <c r="S51" i="43" l="1"/>
  <c r="R52" i="43" s="1"/>
  <c r="W11" i="29"/>
  <c r="H23" i="21" s="1"/>
  <c r="W49" i="45"/>
  <c r="F49" i="45"/>
  <c r="G49" i="45" s="1"/>
  <c r="K50" i="45"/>
  <c r="L50" i="45" s="1"/>
  <c r="N50" i="45" s="1"/>
  <c r="Q50" i="45" s="1"/>
  <c r="S50" i="45" s="1"/>
  <c r="M51" i="43"/>
  <c r="R52" i="42"/>
  <c r="F51" i="42"/>
  <c r="G51" i="42" s="1"/>
  <c r="W52" i="42"/>
  <c r="W51" i="42"/>
  <c r="M51" i="42"/>
  <c r="R51" i="41"/>
  <c r="F50" i="41"/>
  <c r="G50" i="41" s="1"/>
  <c r="W50" i="41"/>
  <c r="M50" i="41"/>
  <c r="K50" i="39"/>
  <c r="L50" i="39" s="1"/>
  <c r="N50" i="39" s="1"/>
  <c r="Q50" i="39" s="1"/>
  <c r="S50" i="39" s="1"/>
  <c r="K50" i="38"/>
  <c r="L50" i="38" s="1"/>
  <c r="N50" i="38" s="1"/>
  <c r="Q50" i="38" s="1"/>
  <c r="S50" i="38" s="1"/>
  <c r="K51" i="28"/>
  <c r="L51" i="28" s="1"/>
  <c r="N51" i="28" s="1"/>
  <c r="Q51" i="28" s="1"/>
  <c r="S51" i="28" s="1"/>
  <c r="R51" i="27"/>
  <c r="F50" i="27"/>
  <c r="G50" i="27" s="1"/>
  <c r="W50" i="27"/>
  <c r="M50" i="27"/>
  <c r="K50" i="25"/>
  <c r="L50" i="25" s="1"/>
  <c r="N50" i="25" s="1"/>
  <c r="Q50" i="25" s="1"/>
  <c r="S50" i="25" s="1"/>
  <c r="M52" i="26"/>
  <c r="M52" i="24"/>
  <c r="K52" i="24"/>
  <c r="L52" i="24" s="1"/>
  <c r="N52" i="24" s="1"/>
  <c r="Q52" i="24"/>
  <c r="F51" i="24"/>
  <c r="G51" i="24" s="1"/>
  <c r="W52" i="24"/>
  <c r="W51" i="24"/>
  <c r="K49" i="32"/>
  <c r="L49" i="32" s="1"/>
  <c r="N49" i="32" s="1"/>
  <c r="Q49" i="32" s="1"/>
  <c r="S49" i="32" s="1"/>
  <c r="K52" i="29"/>
  <c r="L52" i="29" s="1"/>
  <c r="N52" i="29" s="1"/>
  <c r="Q52" i="29" s="1"/>
  <c r="W51" i="43" l="1"/>
  <c r="W52" i="43"/>
  <c r="F51" i="43"/>
  <c r="G51" i="43" s="1"/>
  <c r="W11" i="24"/>
  <c r="H27" i="21" s="1"/>
  <c r="W11" i="42"/>
  <c r="R51" i="45"/>
  <c r="F50" i="45"/>
  <c r="G50" i="45" s="1"/>
  <c r="W50" i="45"/>
  <c r="M50" i="45"/>
  <c r="K52" i="43"/>
  <c r="L52" i="43" s="1"/>
  <c r="N52" i="43" s="1"/>
  <c r="Q52" i="43" s="1"/>
  <c r="K52" i="42"/>
  <c r="L52" i="42" s="1"/>
  <c r="N52" i="42" s="1"/>
  <c r="Q52" i="42" s="1"/>
  <c r="K51" i="41"/>
  <c r="L51" i="41" s="1"/>
  <c r="N51" i="41" s="1"/>
  <c r="Q51" i="41" s="1"/>
  <c r="S51" i="41" s="1"/>
  <c r="R51" i="39"/>
  <c r="F50" i="39"/>
  <c r="G50" i="39" s="1"/>
  <c r="W50" i="39"/>
  <c r="M50" i="39"/>
  <c r="R51" i="38"/>
  <c r="F50" i="38"/>
  <c r="G50" i="38" s="1"/>
  <c r="W50" i="38"/>
  <c r="M50" i="38"/>
  <c r="R52" i="28"/>
  <c r="F51" i="28"/>
  <c r="G51" i="28" s="1"/>
  <c r="W52" i="28"/>
  <c r="W51" i="28"/>
  <c r="M51" i="28"/>
  <c r="K51" i="27"/>
  <c r="L51" i="27" s="1"/>
  <c r="N51" i="27" s="1"/>
  <c r="Q51" i="27" s="1"/>
  <c r="S51" i="27" s="1"/>
  <c r="R51" i="25"/>
  <c r="F50" i="25"/>
  <c r="G50" i="25" s="1"/>
  <c r="W50" i="25"/>
  <c r="M50" i="25"/>
  <c r="R50" i="32"/>
  <c r="F49" i="32"/>
  <c r="G49" i="32" s="1"/>
  <c r="W49" i="32"/>
  <c r="M49" i="32"/>
  <c r="M52" i="29"/>
  <c r="H39" i="21"/>
  <c r="H32" i="21"/>
  <c r="W11" i="43" l="1"/>
  <c r="W11" i="28"/>
  <c r="H36" i="21" s="1"/>
  <c r="M51" i="45"/>
  <c r="K51" i="45"/>
  <c r="L51" i="45" s="1"/>
  <c r="N51" i="45" s="1"/>
  <c r="Q51" i="45" s="1"/>
  <c r="S51" i="45" s="1"/>
  <c r="M52" i="43"/>
  <c r="M52" i="42"/>
  <c r="R52" i="41"/>
  <c r="F51" i="41"/>
  <c r="G51" i="41" s="1"/>
  <c r="W52" i="41"/>
  <c r="W51" i="41"/>
  <c r="M51" i="41"/>
  <c r="M51" i="39"/>
  <c r="K51" i="39"/>
  <c r="L51" i="39" s="1"/>
  <c r="N51" i="39" s="1"/>
  <c r="Q51" i="39" s="1"/>
  <c r="S51" i="39" s="1"/>
  <c r="K51" i="38"/>
  <c r="L51" i="38" s="1"/>
  <c r="N51" i="38" s="1"/>
  <c r="Q51" i="38" s="1"/>
  <c r="S51" i="38" s="1"/>
  <c r="K52" i="28"/>
  <c r="L52" i="28" s="1"/>
  <c r="N52" i="28" s="1"/>
  <c r="Q52" i="28" s="1"/>
  <c r="R52" i="27"/>
  <c r="F51" i="27"/>
  <c r="G51" i="27" s="1"/>
  <c r="W52" i="27"/>
  <c r="W51" i="27"/>
  <c r="M51" i="27"/>
  <c r="K51" i="25"/>
  <c r="L51" i="25" s="1"/>
  <c r="N51" i="25" s="1"/>
  <c r="Q51" i="25" s="1"/>
  <c r="S51" i="25" s="1"/>
  <c r="K50" i="32"/>
  <c r="L50" i="32" s="1"/>
  <c r="N50" i="32" s="1"/>
  <c r="Q50" i="32" s="1"/>
  <c r="S50" i="32" s="1"/>
  <c r="W11" i="27" l="1"/>
  <c r="H35" i="21" s="1"/>
  <c r="W11" i="41"/>
  <c r="H40" i="21" s="1"/>
  <c r="K52" i="45"/>
  <c r="L52" i="45" s="1"/>
  <c r="N52" i="45" s="1"/>
  <c r="R52" i="45"/>
  <c r="Q52" i="45"/>
  <c r="F51" i="45"/>
  <c r="G51" i="45" s="1"/>
  <c r="W52" i="45"/>
  <c r="W51" i="45"/>
  <c r="K52" i="41"/>
  <c r="L52" i="41" s="1"/>
  <c r="N52" i="41" s="1"/>
  <c r="Q52" i="41" s="1"/>
  <c r="K52" i="39"/>
  <c r="L52" i="39" s="1"/>
  <c r="N52" i="39" s="1"/>
  <c r="Q52" i="39"/>
  <c r="R52" i="39"/>
  <c r="F51" i="39"/>
  <c r="G51" i="39" s="1"/>
  <c r="W52" i="39"/>
  <c r="W51" i="39"/>
  <c r="R52" i="38"/>
  <c r="F51" i="38"/>
  <c r="G51" i="38" s="1"/>
  <c r="W52" i="38"/>
  <c r="W51" i="38"/>
  <c r="M51" i="38"/>
  <c r="M52" i="28"/>
  <c r="K52" i="27"/>
  <c r="L52" i="27" s="1"/>
  <c r="N52" i="27" s="1"/>
  <c r="Q52" i="27" s="1"/>
  <c r="F51" i="25"/>
  <c r="G51" i="25" s="1"/>
  <c r="W52" i="25"/>
  <c r="W51" i="25"/>
  <c r="M51" i="25"/>
  <c r="R51" i="32"/>
  <c r="F50" i="32"/>
  <c r="G50" i="32" s="1"/>
  <c r="W50" i="32"/>
  <c r="M50" i="32"/>
  <c r="W11" i="38" l="1"/>
  <c r="H37" i="21" s="1"/>
  <c r="W11" i="39"/>
  <c r="H38" i="21" s="1"/>
  <c r="W11" i="45"/>
  <c r="H43" i="21" s="1"/>
  <c r="W11" i="25"/>
  <c r="H33" i="21" s="1"/>
  <c r="M52" i="45"/>
  <c r="M52" i="41"/>
  <c r="M52" i="39"/>
  <c r="K52" i="38"/>
  <c r="L52" i="38" s="1"/>
  <c r="N52" i="38" s="1"/>
  <c r="Q52" i="38" s="1"/>
  <c r="M52" i="27"/>
  <c r="K52" i="25"/>
  <c r="L52" i="25" s="1"/>
  <c r="N52" i="25" s="1"/>
  <c r="Q52" i="25" s="1"/>
  <c r="K51" i="32"/>
  <c r="L51" i="32" s="1"/>
  <c r="N51" i="32" s="1"/>
  <c r="Q51" i="32" s="1"/>
  <c r="S51" i="32" s="1"/>
  <c r="H41" i="21"/>
  <c r="H42" i="21"/>
  <c r="M52" i="38" l="1"/>
  <c r="M52" i="25"/>
  <c r="R52" i="32"/>
  <c r="F51" i="32"/>
  <c r="G51" i="32" s="1"/>
  <c r="W52" i="32"/>
  <c r="W51" i="32"/>
  <c r="M51" i="32"/>
  <c r="H34" i="21"/>
  <c r="W11" i="32" l="1"/>
  <c r="H26" i="21" s="1"/>
  <c r="K52" i="32"/>
  <c r="L52" i="32" s="1"/>
  <c r="N52" i="32" s="1"/>
  <c r="Q52" i="32" s="1"/>
  <c r="M52" i="32" l="1"/>
</calcChain>
</file>

<file path=xl/sharedStrings.xml><?xml version="1.0" encoding="utf-8"?>
<sst xmlns="http://schemas.openxmlformats.org/spreadsheetml/2006/main" count="1323" uniqueCount="179">
  <si>
    <t>MTG_HIST_FACT</t>
  </si>
  <si>
    <t>CPN</t>
  </si>
  <si>
    <t>US83162CMR15</t>
  </si>
  <si>
    <t>US83162CNU35</t>
  </si>
  <si>
    <t>US83162CNW90</t>
  </si>
  <si>
    <t>US83162CPV99</t>
  </si>
  <si>
    <t>US83162CPX55</t>
  </si>
  <si>
    <t>US83162CQE65</t>
  </si>
  <si>
    <t>US83162CQL09</t>
  </si>
  <si>
    <t>US83162CQS51</t>
  </si>
  <si>
    <t>US83162CQA44</t>
  </si>
  <si>
    <t>US83162CQV80</t>
  </si>
  <si>
    <t>US83162CQX47</t>
  </si>
  <si>
    <t>US83162CQY20</t>
  </si>
  <si>
    <t>US83162CRA35</t>
  </si>
  <si>
    <t>83162CRD7</t>
  </si>
  <si>
    <t>US83162CRG05</t>
  </si>
  <si>
    <t>Security ID per Summit</t>
  </si>
  <si>
    <t>Company</t>
  </si>
  <si>
    <t>ISIN</t>
  </si>
  <si>
    <t>DEPFAPLC_NY</t>
  </si>
  <si>
    <t>DEPFA_EUR</t>
  </si>
  <si>
    <t>US83162CPY39</t>
  </si>
  <si>
    <t>DEPFA_ACS</t>
  </si>
  <si>
    <t>US83162CQB27</t>
  </si>
  <si>
    <t>US83162CQG14</t>
  </si>
  <si>
    <t>US83162CQH96</t>
  </si>
  <si>
    <t>US83162CRE56</t>
  </si>
  <si>
    <t>US831641DJ17</t>
  </si>
  <si>
    <t>US83162CPU17</t>
  </si>
  <si>
    <t>Data</t>
  </si>
  <si>
    <t>Sum of InitialNotional</t>
  </si>
  <si>
    <t>Sum of CurrentNotional</t>
  </si>
  <si>
    <t>Grand Total</t>
  </si>
  <si>
    <t>ACS</t>
  </si>
  <si>
    <t>Table 1</t>
  </si>
  <si>
    <t>(blank)</t>
  </si>
  <si>
    <t>Table 2</t>
  </si>
  <si>
    <t>Table 3</t>
  </si>
  <si>
    <t>Table 4</t>
  </si>
  <si>
    <t>This sheet contains the bond position: Initial and Current as per Summit.</t>
  </si>
  <si>
    <t>Then hit the refresh button below.</t>
  </si>
  <si>
    <t>Instructions</t>
  </si>
  <si>
    <t>Run the current bond position report and place the Summit output data into the cell F6 and paste.</t>
  </si>
  <si>
    <t>Corresponding Cusip</t>
  </si>
  <si>
    <t>Short_Name</t>
  </si>
  <si>
    <t>ISSUER</t>
  </si>
  <si>
    <t>CPN_TYP</t>
  </si>
  <si>
    <t>CPN_FREQ</t>
  </si>
  <si>
    <t>PREV_CPN_DT</t>
  </si>
  <si>
    <t>NXT_CPN_DT</t>
  </si>
  <si>
    <t xml:space="preserve"> MTG_FACTOR</t>
  </si>
  <si>
    <t>This and the next line are Bloomberg Codes -- can keep hiden</t>
  </si>
  <si>
    <t>MOST_RECENT_REPORTED_FACTOR</t>
  </si>
  <si>
    <t>Name</t>
  </si>
  <si>
    <t>Issuer</t>
  </si>
  <si>
    <t>Coupon Type</t>
  </si>
  <si>
    <t>Coupon Rate</t>
  </si>
  <si>
    <t>Coupon Freq</t>
  </si>
  <si>
    <t>Last Coupon Payment Date</t>
  </si>
  <si>
    <t>Next Coupon Payment Date</t>
  </si>
  <si>
    <t>Current Factor</t>
  </si>
  <si>
    <t>DAY_CNT_DES</t>
  </si>
  <si>
    <t>Day Count</t>
  </si>
  <si>
    <t>Current Notional</t>
  </si>
  <si>
    <t>Initial Notional</t>
  </si>
  <si>
    <t>Calculation</t>
  </si>
  <si>
    <t>Today</t>
  </si>
  <si>
    <t>Our CPR Rate</t>
  </si>
  <si>
    <t>NY</t>
  </si>
  <si>
    <t>Standard CPR</t>
  </si>
  <si>
    <t>CPR assigned on an individual level</t>
  </si>
  <si>
    <t>Todays date</t>
  </si>
  <si>
    <t>Number</t>
  </si>
  <si>
    <t>ISSUE_DT</t>
  </si>
  <si>
    <t>FIRST_SETTLE_DT</t>
  </si>
  <si>
    <t>MATURITY</t>
  </si>
  <si>
    <t>FIRST_CPN_DT</t>
  </si>
  <si>
    <t>MTG_FACTOR</t>
  </si>
  <si>
    <t>Current Mortage Factor</t>
  </si>
  <si>
    <t>Test</t>
  </si>
  <si>
    <t>1st Payment</t>
  </si>
  <si>
    <t>Fixed Payment</t>
  </si>
  <si>
    <t>Face Notional</t>
  </si>
  <si>
    <t>Generated Schedule</t>
  </si>
  <si>
    <t>Date</t>
  </si>
  <si>
    <t>Payment</t>
  </si>
  <si>
    <t>Notional</t>
  </si>
  <si>
    <t>Interst</t>
  </si>
  <si>
    <t>Princiapl Payment</t>
  </si>
  <si>
    <t>Days in period</t>
  </si>
  <si>
    <t>Short Stubb</t>
  </si>
  <si>
    <t>Jun-Dec</t>
  </si>
  <si>
    <t>Dec-Jun</t>
  </si>
  <si>
    <t>cpn</t>
  </si>
  <si>
    <t>% of Princiapl Scheduled</t>
  </si>
  <si>
    <t>Scheduled</t>
  </si>
  <si>
    <t>Voluntary</t>
  </si>
  <si>
    <t>Notional Balance</t>
  </si>
  <si>
    <t>Status</t>
  </si>
  <si>
    <t>Factor</t>
  </si>
  <si>
    <t>This is Bloomberg Feed</t>
  </si>
  <si>
    <t>The Principal Payment Vector is derived from SBYA in Bloomberg</t>
  </si>
  <si>
    <t>Final Payment Vector Model</t>
  </si>
  <si>
    <t>Bond Definition Notional</t>
  </si>
  <si>
    <t>NY holding</t>
  </si>
  <si>
    <t>Our Current in Summit vs Bberg Factor</t>
  </si>
  <si>
    <t>Weighted Average Life Calculation</t>
  </si>
  <si>
    <t>Result</t>
  </si>
  <si>
    <t>WAL</t>
  </si>
  <si>
    <t>04 - US83162CQX47</t>
  </si>
  <si>
    <t>05 - US83162CNU35</t>
  </si>
  <si>
    <t>06 - US83162CPV99</t>
  </si>
  <si>
    <t>07 - US83162CMR15</t>
  </si>
  <si>
    <t>08 - US83162CQY20</t>
  </si>
  <si>
    <t>10 - US83162CQV80</t>
  </si>
  <si>
    <t>11 - US83162CNW90</t>
  </si>
  <si>
    <t>12 - US83162CQL09</t>
  </si>
  <si>
    <t>13 - US83162CPX55</t>
  </si>
  <si>
    <t>14 - US83162CQE65</t>
  </si>
  <si>
    <t>15 - US83162CQA44</t>
  </si>
  <si>
    <t>16 - US83162CPU17</t>
  </si>
  <si>
    <t>17 - US83162CPY39</t>
  </si>
  <si>
    <t>18 - US83162CQB27</t>
  </si>
  <si>
    <t>19 - US83162CQH96</t>
  </si>
  <si>
    <t>20 - US83162CRE56</t>
  </si>
  <si>
    <t>21 - US83162CQG14</t>
  </si>
  <si>
    <t>02 - US83162CRA35</t>
  </si>
  <si>
    <t>01 - US83162CRG05</t>
  </si>
  <si>
    <t>03 - US83162CQS51</t>
  </si>
  <si>
    <t>09 - 83162CRD7</t>
  </si>
  <si>
    <t>Tab Location</t>
  </si>
  <si>
    <t>Details / Instructions</t>
  </si>
  <si>
    <t>1: This spreadsheet contains an overue of the SBA bonds booked in both Depfa PLC NY and ACS Dublin. All links are live - Bloomberg Feed Required to update all factors and associated data</t>
  </si>
  <si>
    <t>2: Tab "Bond Position per Summit" Has a Summit data dump using the Current Notional Report and the filter NKE_SBA to bring in the current notionals as per Summit. These should match Bloomberg Factor amount -- See the check section below</t>
  </si>
  <si>
    <t>Brief Overview and live links are below. These are linked to each tab.</t>
  </si>
  <si>
    <t>Security ID</t>
  </si>
  <si>
    <t>Generate Text File</t>
  </si>
  <si>
    <t>Todays Date</t>
  </si>
  <si>
    <t>Todays text date format</t>
  </si>
  <si>
    <t>Yes</t>
  </si>
  <si>
    <t>Backup Text File Folder Location</t>
  </si>
  <si>
    <t>Summit Spool Copy</t>
  </si>
  <si>
    <t>\\summit\spool</t>
  </si>
  <si>
    <t>06- US83162CPV99</t>
  </si>
  <si>
    <t>01_US83162CRG05</t>
  </si>
  <si>
    <t>02_US83162CRA35</t>
  </si>
  <si>
    <t>03_US83162CQS51</t>
  </si>
  <si>
    <t>04_US83162CQX47</t>
  </si>
  <si>
    <t>08_US83162CQY20</t>
  </si>
  <si>
    <t>05_US83162CNU35</t>
  </si>
  <si>
    <t>06_US83162CPV99</t>
  </si>
  <si>
    <t>07_US83162CMR15</t>
  </si>
  <si>
    <t>09_83162CRD7</t>
  </si>
  <si>
    <t>10_US83162CQV80</t>
  </si>
  <si>
    <t>11_US83162CNW90</t>
  </si>
  <si>
    <t>12_US83162CQL09</t>
  </si>
  <si>
    <t>13_US83162CPX55</t>
  </si>
  <si>
    <t>Instructions:</t>
  </si>
  <si>
    <t>The Macro is linked to absolute and relative cell references in each numbered bond tab.</t>
  </si>
  <si>
    <t>It goes to each tab and takes the notional schedule from the Range E13:G53 and then copies the data and notional schedule into the Workings tab</t>
  </si>
  <si>
    <t>Once this data is selected, the clipboard is cleared and then the data is written into a text file with the number of the bond in the group, the ISIN and the run date</t>
  </si>
  <si>
    <t>These text files are generated and saved down to a dynamic folder that is created in the address above in A28:</t>
  </si>
  <si>
    <t>Select each bond you wish this to run on by placing a "Yes" in each toggle cell in the Range C7:C19. The macro runs on each cell here that has a Yes present</t>
  </si>
  <si>
    <t>Once the macro is run the text files should be copied into your Spool for application in Summit.</t>
  </si>
  <si>
    <t>We hope to automate this update process in the new summit format</t>
  </si>
  <si>
    <t>These bonds are in PLC NY --- The ACS bonds and associated swaps are run in a separate excel file</t>
  </si>
  <si>
    <t>This macro only runs on the follwing bonds in named range A7:A19</t>
  </si>
  <si>
    <t>New WaL from RMC Model</t>
  </si>
  <si>
    <t>SECURITY_DES</t>
  </si>
  <si>
    <t>MARKET_SECTOR_DES</t>
  </si>
  <si>
    <t>MTG_WAL</t>
  </si>
  <si>
    <t>Sold</t>
  </si>
  <si>
    <t>Macro 1</t>
  </si>
  <si>
    <t>Macro 2</t>
  </si>
  <si>
    <t>Q:\001831_DP_USNY_Interdepartment\Cashflow Modelling\02_SBA Bonds\03_SBA CSV and TXT FILES\PLC NY\</t>
  </si>
  <si>
    <t>3: This spreadsheet contains a tab for each bond position we hold, with that respective bonds Notional Model.These are numbered 01 - 22 and links are provided below.</t>
  </si>
  <si>
    <t>4: The text files for the bonds in NY (AND not connected/shared with ACS) are generated with the Macro in this Sheet.See tab "    "</t>
  </si>
  <si>
    <t>5: The text files for the bonds and associated swaps for the ACS holdings are contained in a separate but associated spreadsheet. This is to ensure that no adverse affects with macro use occurs.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</si>
</sst>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(* #,##0.0000_);_(* \(#,##0.0000\);_(* &quot;-&quot;??_);_(@_)"/>
    <numFmt numFmtId="166" formatCode="0.000%"/>
    <numFmt numFmtId="167" formatCode="_(* #,##0.000_);_(* \(#,##0.000\);_(* &quot;-&quot;???_);_(@_)"/>
    <numFmt numFmtId="168" formatCode="_(* #,##0.0000_);_(* \(#,##0.0000\);_(* &quot;-&quot;????_);_(@_)"/>
    <numFmt numFmtId="169" formatCode="_(* #,##0.000000000_);_(* \(#,##0.000000000\);_(* &quot;-&quot;??_);_(@_)"/>
    <numFmt numFmtId="170" formatCode="_(* #,##0_);_(* \(#,##0\);_(* &quot;-&quot;??_);_(@_)"/>
    <numFmt numFmtId="171" formatCode="0.0000%"/>
    <numFmt numFmtId="172" formatCode="0.0000000%"/>
    <numFmt numFmtId="173" formatCode="_(* #,##0.0000000_);_(* \(#,##0.0000000\);_(* &quot;-&quot;???????_);_(@_)"/>
    <numFmt numFmtId="174" formatCode="#,##0.00,,&quot; MM usd&quot;"/>
  </numFmts>
  <fonts count="22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8.5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b/>
      <sz val="12"/>
      <color indexed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i/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i/>
      <sz val="8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0"/>
      <color rgb="FF3F3F76"/>
      <name val="Arial"/>
      <family val="2"/>
    </font>
    <font>
      <b/>
      <sz val="10"/>
      <color rgb="FFFA7D00"/>
      <name val="Arial"/>
      <family val="2"/>
    </font>
    <font>
      <b/>
      <sz val="10"/>
      <color indexed="11"/>
      <name val="Arial"/>
      <family val="2"/>
    </font>
    <font>
      <b/>
      <sz val="11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5"/>
        <bgColor indexed="18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17" fillId="0" borderId="0"/>
    <xf numFmtId="9" fontId="1" fillId="0" borderId="0" applyFont="0" applyFill="0" applyBorder="0" applyAlignment="0" applyProtection="0"/>
    <xf numFmtId="0" fontId="18" fillId="14" borderId="27" applyNumberFormat="0" applyAlignment="0" applyProtection="0"/>
    <xf numFmtId="0" fontId="19" fillId="15" borderId="27" applyNumberFormat="0" applyAlignment="0" applyProtection="0"/>
  </cellStyleXfs>
  <cellXfs count="231">
    <xf numFmtId="0" fontId="0" fillId="0" borderId="0" xfId="0"/>
    <xf numFmtId="0" fontId="0" fillId="2" borderId="0" xfId="0" applyFill="1"/>
    <xf numFmtId="170" fontId="0" fillId="2" borderId="0" xfId="1" applyNumberFormat="1" applyFont="1" applyFill="1"/>
    <xf numFmtId="0" fontId="4" fillId="2" borderId="0" xfId="0" applyFont="1" applyFill="1"/>
    <xf numFmtId="0" fontId="0" fillId="2" borderId="1" xfId="0" applyFill="1" applyBorder="1"/>
    <xf numFmtId="170" fontId="0" fillId="2" borderId="1" xfId="0" applyNumberFormat="1" applyFill="1" applyBorder="1"/>
    <xf numFmtId="170" fontId="0" fillId="2" borderId="2" xfId="0" applyNumberFormat="1" applyFill="1" applyBorder="1"/>
    <xf numFmtId="0" fontId="0" fillId="2" borderId="3" xfId="0" applyFill="1" applyBorder="1"/>
    <xf numFmtId="170" fontId="0" fillId="2" borderId="3" xfId="0" applyNumberFormat="1" applyFill="1" applyBorder="1"/>
    <xf numFmtId="170" fontId="0" fillId="2" borderId="4" xfId="0" applyNumberFormat="1" applyFill="1" applyBorder="1"/>
    <xf numFmtId="0" fontId="0" fillId="2" borderId="5" xfId="0" applyFill="1" applyBorder="1"/>
    <xf numFmtId="0" fontId="0" fillId="2" borderId="5" xfId="0" applyNumberFormat="1" applyFill="1" applyBorder="1"/>
    <xf numFmtId="0" fontId="0" fillId="2" borderId="6" xfId="0" applyNumberFormat="1" applyFill="1" applyBorder="1"/>
    <xf numFmtId="170" fontId="4" fillId="2" borderId="0" xfId="1" applyNumberFormat="1" applyFont="1" applyFill="1"/>
    <xf numFmtId="170" fontId="0" fillId="2" borderId="7" xfId="0" applyNumberFormat="1" applyFill="1" applyBorder="1"/>
    <xf numFmtId="170" fontId="0" fillId="2" borderId="8" xfId="0" applyNumberFormat="1" applyFill="1" applyBorder="1"/>
    <xf numFmtId="170" fontId="0" fillId="2" borderId="5" xfId="0" applyNumberFormat="1" applyFill="1" applyBorder="1"/>
    <xf numFmtId="0" fontId="7" fillId="3" borderId="7" xfId="0" applyFont="1" applyFill="1" applyBorder="1"/>
    <xf numFmtId="0" fontId="7" fillId="3" borderId="1" xfId="0" applyFont="1" applyFill="1" applyBorder="1"/>
    <xf numFmtId="0" fontId="7" fillId="3" borderId="8" xfId="0" applyFont="1" applyFill="1" applyBorder="1"/>
    <xf numFmtId="0" fontId="7" fillId="3" borderId="2" xfId="0" applyFont="1" applyFill="1" applyBorder="1"/>
    <xf numFmtId="170" fontId="0" fillId="2" borderId="6" xfId="0" applyNumberFormat="1" applyFill="1" applyBorder="1"/>
    <xf numFmtId="170" fontId="7" fillId="3" borderId="1" xfId="0" applyNumberFormat="1" applyFont="1" applyFill="1" applyBorder="1"/>
    <xf numFmtId="170" fontId="7" fillId="3" borderId="2" xfId="0" applyNumberFormat="1" applyFont="1" applyFill="1" applyBorder="1"/>
    <xf numFmtId="0" fontId="8" fillId="4" borderId="0" xfId="0" applyFont="1" applyFill="1"/>
    <xf numFmtId="0" fontId="0" fillId="2" borderId="0" xfId="0" applyFill="1" applyBorder="1"/>
    <xf numFmtId="0" fontId="9" fillId="2" borderId="0" xfId="0" applyFont="1" applyFill="1"/>
    <xf numFmtId="0" fontId="11" fillId="2" borderId="0" xfId="0" applyFont="1" applyFill="1"/>
    <xf numFmtId="14" fontId="11" fillId="2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4" fillId="5" borderId="0" xfId="0" applyFont="1" applyFill="1" applyBorder="1"/>
    <xf numFmtId="164" fontId="0" fillId="5" borderId="0" xfId="1" applyFont="1" applyFill="1" applyBorder="1" applyAlignment="1">
      <alignment horizontal="center"/>
    </xf>
    <xf numFmtId="0" fontId="6" fillId="6" borderId="0" xfId="0" applyFont="1" applyFill="1" applyBorder="1" applyAlignment="1">
      <alignment wrapText="1"/>
    </xf>
    <xf numFmtId="0" fontId="6" fillId="6" borderId="9" xfId="0" applyFont="1" applyFill="1" applyBorder="1" applyAlignment="1">
      <alignment horizontal="center" wrapText="1"/>
    </xf>
    <xf numFmtId="0" fontId="6" fillId="6" borderId="10" xfId="0" applyFont="1" applyFill="1" applyBorder="1" applyAlignment="1">
      <alignment horizontal="center" wrapText="1"/>
    </xf>
    <xf numFmtId="164" fontId="6" fillId="6" borderId="10" xfId="1" applyFont="1" applyFill="1" applyBorder="1" applyAlignment="1">
      <alignment horizontal="center" wrapText="1"/>
    </xf>
    <xf numFmtId="10" fontId="6" fillId="6" borderId="10" xfId="0" applyNumberFormat="1" applyFont="1" applyFill="1" applyBorder="1" applyAlignment="1">
      <alignment horizontal="center" wrapText="1"/>
    </xf>
    <xf numFmtId="0" fontId="6" fillId="6" borderId="11" xfId="0" applyFont="1" applyFill="1" applyBorder="1" applyAlignment="1">
      <alignment horizontal="center" wrapText="1"/>
    </xf>
    <xf numFmtId="0" fontId="6" fillId="6" borderId="0" xfId="0" applyFont="1" applyFill="1" applyBorder="1" applyAlignment="1">
      <alignment horizontal="center" wrapText="1"/>
    </xf>
    <xf numFmtId="0" fontId="6" fillId="6" borderId="12" xfId="0" applyFont="1" applyFill="1" applyBorder="1" applyAlignment="1">
      <alignment horizontal="center" wrapText="1"/>
    </xf>
    <xf numFmtId="164" fontId="0" fillId="5" borderId="0" xfId="1" applyFont="1" applyFill="1" applyBorder="1"/>
    <xf numFmtId="0" fontId="2" fillId="5" borderId="0" xfId="0" applyFont="1" applyFill="1" applyBorder="1" applyAlignment="1">
      <alignment horizontal="center"/>
    </xf>
    <xf numFmtId="9" fontId="0" fillId="4" borderId="13" xfId="0" applyNumberFormat="1" applyFill="1" applyBorder="1"/>
    <xf numFmtId="9" fontId="0" fillId="4" borderId="14" xfId="0" applyNumberFormat="1" applyFill="1" applyBorder="1"/>
    <xf numFmtId="164" fontId="0" fillId="4" borderId="15" xfId="1" applyFont="1" applyFill="1" applyBorder="1"/>
    <xf numFmtId="164" fontId="0" fillId="4" borderId="16" xfId="1" applyFont="1" applyFill="1" applyBorder="1"/>
    <xf numFmtId="164" fontId="0" fillId="4" borderId="17" xfId="1" applyFont="1" applyFill="1" applyBorder="1"/>
    <xf numFmtId="164" fontId="0" fillId="4" borderId="18" xfId="1" applyFont="1" applyFill="1" applyBorder="1"/>
    <xf numFmtId="14" fontId="13" fillId="5" borderId="0" xfId="0" applyNumberFormat="1" applyFont="1" applyFill="1" applyBorder="1"/>
    <xf numFmtId="0" fontId="13" fillId="5" borderId="0" xfId="0" applyFont="1" applyFill="1" applyBorder="1"/>
    <xf numFmtId="0" fontId="13" fillId="2" borderId="0" xfId="0" applyFont="1" applyFill="1" applyBorder="1" applyAlignment="1">
      <alignment horizontal="center" wrapText="1"/>
    </xf>
    <xf numFmtId="0" fontId="13" fillId="2" borderId="0" xfId="0" applyFont="1" applyFill="1" applyBorder="1"/>
    <xf numFmtId="0" fontId="4" fillId="2" borderId="0" xfId="0" applyFont="1" applyFill="1" applyBorder="1"/>
    <xf numFmtId="14" fontId="4" fillId="2" borderId="0" xfId="0" applyNumberFormat="1" applyFont="1" applyFill="1" applyBorder="1"/>
    <xf numFmtId="170" fontId="4" fillId="2" borderId="0" xfId="1" applyNumberFormat="1" applyFont="1" applyFill="1" applyBorder="1"/>
    <xf numFmtId="0" fontId="10" fillId="2" borderId="0" xfId="0" applyFont="1" applyFill="1" applyBorder="1"/>
    <xf numFmtId="9" fontId="10" fillId="2" borderId="0" xfId="0" applyNumberFormat="1" applyFont="1" applyFill="1" applyBorder="1"/>
    <xf numFmtId="164" fontId="10" fillId="2" borderId="0" xfId="1" applyFont="1" applyFill="1" applyBorder="1"/>
    <xf numFmtId="0" fontId="10" fillId="2" borderId="0" xfId="0" applyFont="1" applyFill="1" applyBorder="1" applyAlignment="1">
      <alignment horizontal="center"/>
    </xf>
    <xf numFmtId="170" fontId="10" fillId="2" borderId="0" xfId="1" applyNumberFormat="1" applyFont="1" applyFill="1" applyBorder="1" applyAlignment="1">
      <alignment horizontal="center"/>
    </xf>
    <xf numFmtId="0" fontId="13" fillId="2" borderId="9" xfId="0" applyFont="1" applyFill="1" applyBorder="1"/>
    <xf numFmtId="0" fontId="13" fillId="2" borderId="10" xfId="0" applyFont="1" applyFill="1" applyBorder="1"/>
    <xf numFmtId="0" fontId="13" fillId="2" borderId="12" xfId="0" applyFont="1" applyFill="1" applyBorder="1"/>
    <xf numFmtId="170" fontId="13" fillId="2" borderId="0" xfId="1" applyNumberFormat="1" applyFont="1" applyFill="1" applyBorder="1"/>
    <xf numFmtId="170" fontId="13" fillId="2" borderId="0" xfId="0" applyNumberFormat="1" applyFont="1" applyFill="1" applyBorder="1"/>
    <xf numFmtId="0" fontId="13" fillId="2" borderId="17" xfId="0" applyFont="1" applyFill="1" applyBorder="1"/>
    <xf numFmtId="0" fontId="13" fillId="2" borderId="19" xfId="0" applyFont="1" applyFill="1" applyBorder="1"/>
    <xf numFmtId="0" fontId="13" fillId="2" borderId="14" xfId="0" applyFont="1" applyFill="1" applyBorder="1"/>
    <xf numFmtId="172" fontId="13" fillId="2" borderId="0" xfId="4" applyNumberFormat="1" applyFont="1" applyFill="1" applyBorder="1"/>
    <xf numFmtId="0" fontId="13" fillId="2" borderId="15" xfId="0" applyFont="1" applyFill="1" applyBorder="1"/>
    <xf numFmtId="14" fontId="13" fillId="2" borderId="0" xfId="0" applyNumberFormat="1" applyFont="1" applyFill="1" applyBorder="1"/>
    <xf numFmtId="170" fontId="13" fillId="2" borderId="0" xfId="1" applyNumberFormat="1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169" fontId="13" fillId="2" borderId="0" xfId="1" applyNumberFormat="1" applyFont="1" applyFill="1" applyBorder="1"/>
    <xf numFmtId="170" fontId="13" fillId="2" borderId="16" xfId="1" applyNumberFormat="1" applyFont="1" applyFill="1" applyBorder="1"/>
    <xf numFmtId="0" fontId="5" fillId="7" borderId="0" xfId="0" applyFont="1" applyFill="1" applyBorder="1" applyAlignment="1">
      <alignment horizontal="center" wrapText="1"/>
    </xf>
    <xf numFmtId="0" fontId="5" fillId="7" borderId="15" xfId="0" applyFont="1" applyFill="1" applyBorder="1" applyAlignment="1">
      <alignment horizontal="center" wrapText="1"/>
    </xf>
    <xf numFmtId="0" fontId="5" fillId="7" borderId="16" xfId="0" applyFont="1" applyFill="1" applyBorder="1" applyAlignment="1">
      <alignment horizontal="center" wrapText="1"/>
    </xf>
    <xf numFmtId="2" fontId="13" fillId="2" borderId="0" xfId="0" applyNumberFormat="1" applyFont="1" applyFill="1" applyBorder="1"/>
    <xf numFmtId="14" fontId="13" fillId="7" borderId="15" xfId="0" applyNumberFormat="1" applyFont="1" applyFill="1" applyBorder="1"/>
    <xf numFmtId="0" fontId="12" fillId="5" borderId="0" xfId="0" applyFont="1" applyFill="1" applyBorder="1"/>
    <xf numFmtId="0" fontId="12" fillId="2" borderId="0" xfId="0" applyFont="1" applyFill="1" applyBorder="1"/>
    <xf numFmtId="170" fontId="12" fillId="2" borderId="0" xfId="1" applyNumberFormat="1" applyFont="1" applyFill="1" applyBorder="1"/>
    <xf numFmtId="14" fontId="15" fillId="7" borderId="17" xfId="0" applyNumberFormat="1" applyFont="1" applyFill="1" applyBorder="1"/>
    <xf numFmtId="2" fontId="15" fillId="2" borderId="19" xfId="0" applyNumberFormat="1" applyFont="1" applyFill="1" applyBorder="1"/>
    <xf numFmtId="0" fontId="15" fillId="2" borderId="0" xfId="0" applyFont="1" applyFill="1" applyBorder="1"/>
    <xf numFmtId="0" fontId="13" fillId="2" borderId="11" xfId="0" applyFont="1" applyFill="1" applyBorder="1"/>
    <xf numFmtId="2" fontId="13" fillId="2" borderId="16" xfId="0" applyNumberFormat="1" applyFont="1" applyFill="1" applyBorder="1"/>
    <xf numFmtId="2" fontId="15" fillId="2" borderId="18" xfId="0" applyNumberFormat="1" applyFont="1" applyFill="1" applyBorder="1"/>
    <xf numFmtId="2" fontId="13" fillId="2" borderId="13" xfId="0" applyNumberFormat="1" applyFont="1" applyFill="1" applyBorder="1"/>
    <xf numFmtId="2" fontId="15" fillId="2" borderId="14" xfId="0" applyNumberFormat="1" applyFont="1" applyFill="1" applyBorder="1"/>
    <xf numFmtId="0" fontId="13" fillId="8" borderId="16" xfId="0" applyFont="1" applyFill="1" applyBorder="1"/>
    <xf numFmtId="0" fontId="15" fillId="8" borderId="18" xfId="0" applyFont="1" applyFill="1" applyBorder="1"/>
    <xf numFmtId="164" fontId="13" fillId="2" borderId="9" xfId="1" applyFont="1" applyFill="1" applyBorder="1"/>
    <xf numFmtId="164" fontId="13" fillId="2" borderId="10" xfId="1" applyFont="1" applyFill="1" applyBorder="1"/>
    <xf numFmtId="164" fontId="13" fillId="8" borderId="11" xfId="1" applyFont="1" applyFill="1" applyBorder="1"/>
    <xf numFmtId="164" fontId="13" fillId="2" borderId="15" xfId="1" applyFont="1" applyFill="1" applyBorder="1"/>
    <xf numFmtId="164" fontId="13" fillId="2" borderId="0" xfId="1" applyFont="1" applyFill="1" applyBorder="1"/>
    <xf numFmtId="164" fontId="13" fillId="8" borderId="16" xfId="1" applyFont="1" applyFill="1" applyBorder="1"/>
    <xf numFmtId="164" fontId="15" fillId="2" borderId="17" xfId="1" applyFont="1" applyFill="1" applyBorder="1"/>
    <xf numFmtId="164" fontId="15" fillId="2" borderId="19" xfId="1" applyFont="1" applyFill="1" applyBorder="1"/>
    <xf numFmtId="164" fontId="15" fillId="8" borderId="18" xfId="1" applyFont="1" applyFill="1" applyBorder="1"/>
    <xf numFmtId="170" fontId="13" fillId="2" borderId="18" xfId="1" applyNumberFormat="1" applyFont="1" applyFill="1" applyBorder="1"/>
    <xf numFmtId="0" fontId="4" fillId="2" borderId="11" xfId="0" applyFont="1" applyFill="1" applyBorder="1"/>
    <xf numFmtId="0" fontId="4" fillId="2" borderId="16" xfId="0" applyFont="1" applyFill="1" applyBorder="1"/>
    <xf numFmtId="0" fontId="4" fillId="2" borderId="18" xfId="0" applyFont="1" applyFill="1" applyBorder="1"/>
    <xf numFmtId="0" fontId="5" fillId="5" borderId="9" xfId="0" applyFont="1" applyFill="1" applyBorder="1"/>
    <xf numFmtId="0" fontId="5" fillId="5" borderId="15" xfId="0" applyFont="1" applyFill="1" applyBorder="1"/>
    <xf numFmtId="0" fontId="5" fillId="5" borderId="17" xfId="0" applyFont="1" applyFill="1" applyBorder="1"/>
    <xf numFmtId="170" fontId="13" fillId="5" borderId="10" xfId="0" applyNumberFormat="1" applyFont="1" applyFill="1" applyBorder="1" applyAlignment="1">
      <alignment horizontal="right"/>
    </xf>
    <xf numFmtId="0" fontId="13" fillId="5" borderId="11" xfId="0" applyFont="1" applyFill="1" applyBorder="1" applyAlignment="1">
      <alignment horizontal="right"/>
    </xf>
    <xf numFmtId="0" fontId="13" fillId="5" borderId="0" xfId="0" applyFont="1" applyFill="1" applyBorder="1" applyAlignment="1">
      <alignment horizontal="right"/>
    </xf>
    <xf numFmtId="172" fontId="13" fillId="5" borderId="16" xfId="4" applyNumberFormat="1" applyFont="1" applyFill="1" applyBorder="1" applyAlignment="1">
      <alignment horizontal="right"/>
    </xf>
    <xf numFmtId="0" fontId="13" fillId="5" borderId="19" xfId="0" applyFont="1" applyFill="1" applyBorder="1" applyAlignment="1">
      <alignment horizontal="right"/>
    </xf>
    <xf numFmtId="172" fontId="13" fillId="5" borderId="18" xfId="4" applyNumberFormat="1" applyFont="1" applyFill="1" applyBorder="1" applyAlignment="1">
      <alignment horizontal="right"/>
    </xf>
    <xf numFmtId="170" fontId="13" fillId="5" borderId="10" xfId="1" applyNumberFormat="1" applyFont="1" applyFill="1" applyBorder="1" applyAlignment="1">
      <alignment horizontal="right"/>
    </xf>
    <xf numFmtId="170" fontId="13" fillId="5" borderId="11" xfId="1" applyNumberFormat="1" applyFont="1" applyFill="1" applyBorder="1" applyAlignment="1">
      <alignment horizontal="right"/>
    </xf>
    <xf numFmtId="170" fontId="13" fillId="5" borderId="0" xfId="1" applyNumberFormat="1" applyFont="1" applyFill="1" applyBorder="1" applyAlignment="1">
      <alignment horizontal="right"/>
    </xf>
    <xf numFmtId="170" fontId="13" fillId="5" borderId="19" xfId="1" applyNumberFormat="1" applyFont="1" applyFill="1" applyBorder="1" applyAlignment="1">
      <alignment horizontal="right"/>
    </xf>
    <xf numFmtId="0" fontId="13" fillId="7" borderId="0" xfId="0" applyFont="1" applyFill="1" applyBorder="1"/>
    <xf numFmtId="14" fontId="13" fillId="2" borderId="20" xfId="0" applyNumberFormat="1" applyFont="1" applyFill="1" applyBorder="1"/>
    <xf numFmtId="10" fontId="13" fillId="2" borderId="0" xfId="4" applyNumberFormat="1" applyFont="1" applyFill="1" applyBorder="1"/>
    <xf numFmtId="166" fontId="13" fillId="5" borderId="16" xfId="4" applyNumberFormat="1" applyFont="1" applyFill="1" applyBorder="1" applyAlignment="1">
      <alignment horizontal="right"/>
    </xf>
    <xf numFmtId="166" fontId="13" fillId="5" borderId="18" xfId="4" applyNumberFormat="1" applyFont="1" applyFill="1" applyBorder="1" applyAlignment="1">
      <alignment horizontal="right"/>
    </xf>
    <xf numFmtId="164" fontId="13" fillId="2" borderId="15" xfId="0" applyNumberFormat="1" applyFont="1" applyFill="1" applyBorder="1"/>
    <xf numFmtId="166" fontId="13" fillId="8" borderId="16" xfId="4" applyNumberFormat="1" applyFont="1" applyFill="1" applyBorder="1"/>
    <xf numFmtId="166" fontId="15" fillId="8" borderId="18" xfId="4" applyNumberFormat="1" applyFont="1" applyFill="1" applyBorder="1"/>
    <xf numFmtId="164" fontId="13" fillId="2" borderId="16" xfId="1" applyNumberFormat="1" applyFont="1" applyFill="1" applyBorder="1"/>
    <xf numFmtId="0" fontId="13" fillId="7" borderId="9" xfId="0" applyFont="1" applyFill="1" applyBorder="1"/>
    <xf numFmtId="0" fontId="13" fillId="7" borderId="10" xfId="0" applyFont="1" applyFill="1" applyBorder="1"/>
    <xf numFmtId="10" fontId="13" fillId="2" borderId="19" xfId="4" applyNumberFormat="1" applyFont="1" applyFill="1" applyBorder="1"/>
    <xf numFmtId="164" fontId="13" fillId="2" borderId="19" xfId="1" applyFont="1" applyFill="1" applyBorder="1"/>
    <xf numFmtId="171" fontId="13" fillId="5" borderId="18" xfId="4" applyNumberFormat="1" applyFont="1" applyFill="1" applyBorder="1" applyAlignment="1">
      <alignment horizontal="right"/>
    </xf>
    <xf numFmtId="171" fontId="13" fillId="5" borderId="16" xfId="4" applyNumberFormat="1" applyFont="1" applyFill="1" applyBorder="1" applyAlignment="1">
      <alignment horizontal="right"/>
    </xf>
    <xf numFmtId="0" fontId="0" fillId="9" borderId="15" xfId="0" applyFill="1" applyBorder="1"/>
    <xf numFmtId="0" fontId="0" fillId="9" borderId="17" xfId="0" applyFill="1" applyBorder="1"/>
    <xf numFmtId="0" fontId="0" fillId="10" borderId="15" xfId="0" applyFill="1" applyBorder="1"/>
    <xf numFmtId="164" fontId="4" fillId="2" borderId="0" xfId="0" applyNumberFormat="1" applyFont="1" applyFill="1" applyBorder="1"/>
    <xf numFmtId="14" fontId="13" fillId="7" borderId="9" xfId="0" applyNumberFormat="1" applyFont="1" applyFill="1" applyBorder="1"/>
    <xf numFmtId="164" fontId="13" fillId="2" borderId="11" xfId="1" applyFont="1" applyFill="1" applyBorder="1"/>
    <xf numFmtId="164" fontId="13" fillId="2" borderId="16" xfId="1" applyFont="1" applyFill="1" applyBorder="1"/>
    <xf numFmtId="14" fontId="13" fillId="7" borderId="17" xfId="0" applyNumberFormat="1" applyFont="1" applyFill="1" applyBorder="1"/>
    <xf numFmtId="164" fontId="13" fillId="2" borderId="17" xfId="1" applyFont="1" applyFill="1" applyBorder="1"/>
    <xf numFmtId="0" fontId="4" fillId="2" borderId="21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23" xfId="0" applyFont="1" applyFill="1" applyBorder="1"/>
    <xf numFmtId="14" fontId="0" fillId="2" borderId="0" xfId="0" applyNumberFormat="1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4" fillId="2" borderId="0" xfId="0" applyFont="1" applyFill="1" applyBorder="1" applyAlignment="1">
      <alignment horizontal="left"/>
    </xf>
    <xf numFmtId="9" fontId="4" fillId="2" borderId="0" xfId="0" applyNumberFormat="1" applyFont="1" applyFill="1" applyBorder="1" applyAlignment="1">
      <alignment horizontal="center"/>
    </xf>
    <xf numFmtId="39" fontId="0" fillId="2" borderId="0" xfId="0" quotePrefix="1" applyNumberFormat="1" applyFill="1" applyBorder="1" applyAlignment="1"/>
    <xf numFmtId="164" fontId="0" fillId="2" borderId="0" xfId="0" applyNumberFormat="1" applyFill="1" applyBorder="1" applyAlignment="1">
      <alignment horizontal="center"/>
    </xf>
    <xf numFmtId="164" fontId="0" fillId="2" borderId="0" xfId="1" applyFont="1" applyFill="1" applyBorder="1" applyAlignment="1">
      <alignment horizontal="center"/>
    </xf>
    <xf numFmtId="165" fontId="0" fillId="2" borderId="0" xfId="0" applyNumberFormat="1" applyFill="1" applyBorder="1"/>
    <xf numFmtId="14" fontId="0" fillId="2" borderId="0" xfId="0" applyNumberFormat="1" applyFill="1" applyBorder="1" applyAlignment="1">
      <alignment horizontal="center"/>
    </xf>
    <xf numFmtId="0" fontId="1" fillId="2" borderId="12" xfId="0" applyFont="1" applyFill="1" applyBorder="1"/>
    <xf numFmtId="0" fontId="1" fillId="2" borderId="13" xfId="0" applyFont="1" applyFill="1" applyBorder="1"/>
    <xf numFmtId="164" fontId="1" fillId="2" borderId="13" xfId="0" applyNumberFormat="1" applyFont="1" applyFill="1" applyBorder="1" applyAlignment="1">
      <alignment horizontal="left"/>
    </xf>
    <xf numFmtId="164" fontId="1" fillId="2" borderId="14" xfId="0" applyNumberFormat="1" applyFont="1" applyFill="1" applyBorder="1" applyAlignment="1">
      <alignment horizontal="left"/>
    </xf>
    <xf numFmtId="0" fontId="1" fillId="2" borderId="14" xfId="0" applyFont="1" applyFill="1" applyBorder="1"/>
    <xf numFmtId="0" fontId="0" fillId="2" borderId="19" xfId="0" applyFill="1" applyBorder="1" applyAlignment="1">
      <alignment horizontal="center"/>
    </xf>
    <xf numFmtId="174" fontId="0" fillId="2" borderId="15" xfId="0" applyNumberFormat="1" applyFill="1" applyBorder="1" applyAlignment="1">
      <alignment horizontal="center"/>
    </xf>
    <xf numFmtId="174" fontId="0" fillId="2" borderId="0" xfId="0" applyNumberFormat="1" applyFill="1" applyBorder="1" applyAlignment="1">
      <alignment horizontal="center"/>
    </xf>
    <xf numFmtId="174" fontId="4" fillId="2" borderId="16" xfId="1" applyNumberFormat="1" applyFont="1" applyFill="1" applyBorder="1" applyAlignment="1">
      <alignment horizontal="center"/>
    </xf>
    <xf numFmtId="174" fontId="0" fillId="2" borderId="17" xfId="0" applyNumberFormat="1" applyFill="1" applyBorder="1" applyAlignment="1">
      <alignment horizontal="center"/>
    </xf>
    <xf numFmtId="174" fontId="0" fillId="2" borderId="19" xfId="0" applyNumberFormat="1" applyFill="1" applyBorder="1" applyAlignment="1">
      <alignment horizontal="center"/>
    </xf>
    <xf numFmtId="174" fontId="4" fillId="2" borderId="18" xfId="1" applyNumberFormat="1" applyFont="1" applyFill="1" applyBorder="1" applyAlignment="1">
      <alignment horizontal="center"/>
    </xf>
    <xf numFmtId="165" fontId="4" fillId="2" borderId="21" xfId="0" applyNumberFormat="1" applyFont="1" applyFill="1" applyBorder="1"/>
    <xf numFmtId="165" fontId="4" fillId="2" borderId="22" xfId="0" applyNumberFormat="1" applyFont="1" applyFill="1" applyBorder="1"/>
    <xf numFmtId="165" fontId="4" fillId="2" borderId="23" xfId="0" applyNumberFormat="1" applyFont="1" applyFill="1" applyBorder="1"/>
    <xf numFmtId="164" fontId="4" fillId="2" borderId="21" xfId="1" applyFont="1" applyFill="1" applyBorder="1" applyAlignment="1">
      <alignment horizontal="center"/>
    </xf>
    <xf numFmtId="164" fontId="4" fillId="2" borderId="23" xfId="1" applyFont="1" applyFill="1" applyBorder="1" applyAlignment="1">
      <alignment horizontal="center"/>
    </xf>
    <xf numFmtId="0" fontId="5" fillId="7" borderId="21" xfId="0" applyFont="1" applyFill="1" applyBorder="1" applyAlignment="1">
      <alignment horizontal="center" wrapText="1"/>
    </xf>
    <xf numFmtId="0" fontId="5" fillId="7" borderId="22" xfId="0" applyFont="1" applyFill="1" applyBorder="1" applyAlignment="1">
      <alignment horizontal="center" wrapText="1"/>
    </xf>
    <xf numFmtId="0" fontId="5" fillId="7" borderId="23" xfId="0" applyFont="1" applyFill="1" applyBorder="1" applyAlignment="1">
      <alignment horizontal="center" wrapText="1"/>
    </xf>
    <xf numFmtId="170" fontId="13" fillId="5" borderId="9" xfId="1" applyNumberFormat="1" applyFont="1" applyFill="1" applyBorder="1" applyAlignment="1">
      <alignment horizontal="right"/>
    </xf>
    <xf numFmtId="170" fontId="13" fillId="5" borderId="15" xfId="1" applyNumberFormat="1" applyFont="1" applyFill="1" applyBorder="1" applyAlignment="1">
      <alignment horizontal="right"/>
    </xf>
    <xf numFmtId="170" fontId="13" fillId="5" borderId="16" xfId="1" applyNumberFormat="1" applyFont="1" applyFill="1" applyBorder="1" applyAlignment="1">
      <alignment horizontal="right"/>
    </xf>
    <xf numFmtId="170" fontId="13" fillId="5" borderId="17" xfId="1" applyNumberFormat="1" applyFont="1" applyFill="1" applyBorder="1" applyAlignment="1">
      <alignment horizontal="right"/>
    </xf>
    <xf numFmtId="170" fontId="13" fillId="5" borderId="18" xfId="1" applyNumberFormat="1" applyFont="1" applyFill="1" applyBorder="1" applyAlignment="1">
      <alignment horizontal="right"/>
    </xf>
    <xf numFmtId="0" fontId="16" fillId="2" borderId="0" xfId="0" applyFont="1" applyFill="1" applyBorder="1" applyAlignment="1">
      <alignment horizontal="left"/>
    </xf>
    <xf numFmtId="0" fontId="0" fillId="2" borderId="10" xfId="0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9" fontId="0" fillId="4" borderId="12" xfId="0" applyNumberFormat="1" applyFill="1" applyBorder="1"/>
    <xf numFmtId="164" fontId="0" fillId="4" borderId="9" xfId="1" applyFont="1" applyFill="1" applyBorder="1"/>
    <xf numFmtId="164" fontId="0" fillId="4" borderId="11" xfId="1" applyFont="1" applyFill="1" applyBorder="1"/>
    <xf numFmtId="165" fontId="0" fillId="4" borderId="12" xfId="1" applyNumberFormat="1" applyFont="1" applyFill="1" applyBorder="1"/>
    <xf numFmtId="165" fontId="0" fillId="4" borderId="13" xfId="1" applyNumberFormat="1" applyFont="1" applyFill="1" applyBorder="1"/>
    <xf numFmtId="165" fontId="0" fillId="4" borderId="14" xfId="1" applyNumberFormat="1" applyFont="1" applyFill="1" applyBorder="1"/>
    <xf numFmtId="0" fontId="2" fillId="2" borderId="0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14" fillId="11" borderId="0" xfId="0" applyFont="1" applyFill="1" applyBorder="1"/>
    <xf numFmtId="0" fontId="14" fillId="11" borderId="0" xfId="0" applyFont="1" applyFill="1" applyBorder="1" applyAlignment="1">
      <alignment horizontal="left"/>
    </xf>
    <xf numFmtId="0" fontId="0" fillId="11" borderId="0" xfId="0" applyFill="1" applyBorder="1"/>
    <xf numFmtId="0" fontId="2" fillId="2" borderId="26" xfId="0" applyFont="1" applyFill="1" applyBorder="1"/>
    <xf numFmtId="0" fontId="9" fillId="2" borderId="0" xfId="0" applyFont="1" applyFill="1" applyBorder="1"/>
    <xf numFmtId="0" fontId="3" fillId="0" borderId="0" xfId="2" applyAlignment="1" applyProtection="1"/>
    <xf numFmtId="0" fontId="3" fillId="7" borderId="9" xfId="2" applyFill="1" applyBorder="1" applyAlignment="1" applyProtection="1"/>
    <xf numFmtId="0" fontId="3" fillId="7" borderId="0" xfId="2" applyFill="1" applyBorder="1" applyAlignment="1" applyProtection="1"/>
    <xf numFmtId="172" fontId="13" fillId="2" borderId="0" xfId="0" applyNumberFormat="1" applyFont="1" applyFill="1" applyBorder="1"/>
    <xf numFmtId="167" fontId="13" fillId="2" borderId="15" xfId="0" applyNumberFormat="1" applyFont="1" applyFill="1" applyBorder="1"/>
    <xf numFmtId="167" fontId="15" fillId="2" borderId="17" xfId="0" applyNumberFormat="1" applyFont="1" applyFill="1" applyBorder="1"/>
    <xf numFmtId="173" fontId="13" fillId="2" borderId="15" xfId="0" applyNumberFormat="1" applyFont="1" applyFill="1" applyBorder="1"/>
    <xf numFmtId="164" fontId="13" fillId="8" borderId="16" xfId="0" applyNumberFormat="1" applyFont="1" applyFill="1" applyBorder="1"/>
    <xf numFmtId="173" fontId="15" fillId="2" borderId="17" xfId="0" applyNumberFormat="1" applyFont="1" applyFill="1" applyBorder="1"/>
    <xf numFmtId="168" fontId="13" fillId="2" borderId="15" xfId="0" applyNumberFormat="1" applyFont="1" applyFill="1" applyBorder="1"/>
    <xf numFmtId="168" fontId="15" fillId="2" borderId="17" xfId="0" applyNumberFormat="1" applyFont="1" applyFill="1" applyBorder="1"/>
    <xf numFmtId="0" fontId="7" fillId="12" borderId="1" xfId="0" applyFont="1" applyFill="1" applyBorder="1"/>
    <xf numFmtId="14" fontId="4" fillId="5" borderId="0" xfId="0" applyNumberFormat="1" applyFont="1" applyFill="1" applyBorder="1"/>
    <xf numFmtId="0" fontId="5" fillId="13" borderId="0" xfId="3" applyFont="1" applyFill="1" applyAlignment="1">
      <alignment horizontal="right"/>
    </xf>
    <xf numFmtId="165" fontId="4" fillId="0" borderId="0" xfId="1" applyNumberFormat="1" applyFont="1"/>
    <xf numFmtId="0" fontId="1" fillId="2" borderId="0" xfId="0" applyFont="1" applyFill="1" applyBorder="1"/>
    <xf numFmtId="0" fontId="20" fillId="2" borderId="0" xfId="0" applyFont="1" applyFill="1" applyBorder="1"/>
    <xf numFmtId="0" fontId="21" fillId="11" borderId="0" xfId="0" applyFont="1" applyFill="1" applyBorder="1"/>
    <xf numFmtId="14" fontId="18" fillId="14" borderId="27" xfId="5" applyNumberFormat="1" applyAlignment="1">
      <alignment horizontal="left"/>
    </xf>
    <xf numFmtId="0" fontId="18" fillId="14" borderId="27" xfId="5" applyAlignment="1" applyProtection="1"/>
    <xf numFmtId="0" fontId="18" fillId="14" borderId="27" xfId="5"/>
    <xf numFmtId="0" fontId="19" fillId="15" borderId="27" xfId="6"/>
    <xf numFmtId="0" fontId="19" fillId="15" borderId="27" xfId="6" applyAlignment="1">
      <alignment horizontal="left"/>
    </xf>
    <xf numFmtId="0" fontId="4" fillId="2" borderId="0" xfId="0" applyNumberFormat="1" applyFont="1" applyFill="1" applyBorder="1"/>
    <xf numFmtId="0" fontId="4" fillId="2" borderId="0" xfId="1" applyNumberFormat="1" applyFont="1" applyFill="1" applyBorder="1"/>
    <xf numFmtId="0" fontId="14" fillId="6" borderId="0" xfId="0" applyFont="1" applyFill="1" applyBorder="1" applyAlignment="1"/>
    <xf numFmtId="0" fontId="14" fillId="6" borderId="9" xfId="0" applyFont="1" applyFill="1" applyBorder="1" applyAlignment="1">
      <alignment horizontal="center" wrapText="1"/>
    </xf>
    <xf numFmtId="0" fontId="14" fillId="6" borderId="10" xfId="0" applyFont="1" applyFill="1" applyBorder="1" applyAlignment="1">
      <alignment horizontal="center" wrapText="1"/>
    </xf>
    <xf numFmtId="0" fontId="0" fillId="0" borderId="11" xfId="0" applyBorder="1" applyAlignment="1"/>
    <xf numFmtId="0" fontId="0" fillId="0" borderId="10" xfId="0" applyBorder="1" applyAlignment="1"/>
  </cellXfs>
  <cellStyles count="7">
    <cellStyle name="Calculation" xfId="6" builtinId="22"/>
    <cellStyle name="Comma" xfId="1" builtinId="3"/>
    <cellStyle name="Hyperlink" xfId="2" builtinId="8"/>
    <cellStyle name="Input" xfId="5" builtinId="20"/>
    <cellStyle name="Normal" xfId="0" builtinId="0"/>
    <cellStyle name="Normal 2 3" xfId="3"/>
    <cellStyle name="Percent" xfId="4" builtinId="5"/>
  </cellStyles>
  <dxfs count="142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color indexed="9"/>
      </font>
    </dxf>
    <dxf>
      <fill>
        <patternFill>
          <bgColor indexed="18"/>
        </patternFill>
      </fill>
    </dxf>
    <dxf>
      <font>
        <b/>
      </font>
    </dxf>
    <dxf>
      <font>
        <b/>
      </font>
    </dxf>
    <dxf>
      <font>
        <color indexed="9"/>
      </font>
    </dxf>
    <dxf>
      <font>
        <color indexed="9"/>
      </font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9"/>
        </patternFill>
      </fill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font>
        <b/>
        <color indexed="9"/>
      </font>
      <fill>
        <patternFill patternType="solid">
          <fgColor indexed="18"/>
          <bgColor indexed="64"/>
        </patternFill>
      </fill>
    </dxf>
    <dxf>
      <font>
        <b/>
      </font>
    </dxf>
    <dxf>
      <font>
        <color indexed="9"/>
      </font>
    </dxf>
    <dxf>
      <fill>
        <patternFill>
          <bgColor indexed="18"/>
        </patternFill>
      </fill>
    </dxf>
    <dxf>
      <fill>
        <patternFill>
          <bgColor indexed="9"/>
        </patternFill>
      </fill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9"/>
        </patternFill>
      </fill>
    </dxf>
    <dxf>
      <numFmt numFmtId="170" formatCode="_(* #,##0_);_(* \(#,##0\);_(* &quot;-&quot;??_);_(@_)"/>
    </dxf>
    <dxf>
      <font>
        <b/>
      </font>
    </dxf>
    <dxf>
      <font>
        <b/>
      </font>
    </dxf>
    <dxf>
      <font>
        <b/>
      </font>
    </dxf>
    <dxf>
      <font>
        <color indexed="9"/>
      </font>
    </dxf>
    <dxf>
      <font>
        <color indexed="9"/>
      </font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ont>
        <color indexed="9"/>
      </font>
    </dxf>
    <dxf>
      <fill>
        <patternFill>
          <bgColor indexed="18"/>
        </patternFill>
      </fill>
    </dxf>
    <dxf>
      <fill>
        <patternFill>
          <bgColor indexed="9"/>
        </patternFill>
      </fill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SBAP 2007-20D 1</v>
        <stp/>
        <stp>##V3_BDPV12</stp>
        <stp>83162CQY2 Mtge Cusip</stp>
        <stp>Name</stp>
        <stp>[NY only SBA Bonds_Cashflow Generator_DUB.xlsm]08 - US83162CQY20!R2C6</stp>
        <tr r="F2" s="34"/>
      </tp>
      <tp t="s">
        <v>SBAP 2007-20B 1</v>
        <stp/>
        <stp>##V3_BDPV12</stp>
        <stp>83162CQV8 Mtge Cusip</stp>
        <stp>Name</stp>
        <stp>[NY only SBA Bonds_Cashflow Generator_DUB.xlsm]10 - US83162CQV80!R2C6</stp>
        <tr r="F2" s="36"/>
      </tp>
      <tp t="s">
        <v>SBAP 2004-20G 1</v>
        <stp/>
        <stp>##V3_BDPV12</stp>
        <stp>83162CNW9 Mtge Cusip</stp>
        <stp>Name</stp>
        <stp>[NY only SBA Bonds_Cashflow Generator_DUB.xlsm]11 - US83162CNW90!R2C6</stp>
        <tr r="F2" s="25"/>
      </tp>
      <tp t="s">
        <v>SBAP 2006-20L 1</v>
        <stp/>
        <stp>##V3_BDPV12</stp>
        <stp>83162CQS5 Mtge Cusip</stp>
        <stp>Name</stp>
        <stp>[NY only SBA Bonds_Cashflow Generator_DUB.xlsm]03 - US83162CQS51!R2C6</stp>
        <tr r="F2" s="31"/>
      </tp>
      <tp t="s">
        <v>SBAP 2006-20B 1</v>
        <stp/>
        <stp>##V3_BDPV12</stp>
        <stp>83162CQB2 Mtge Cusip</stp>
        <stp>Name</stp>
        <stp>[NY only SBA Bonds_Cashflow Generator_DUB.xlsm]18 - US83162CQB27!R2C6</stp>
        <tr r="F2" s="41"/>
      </tp>
      <tp t="s">
        <v>SBAP 2005-20I 1</v>
        <stp/>
        <stp>##V3_BDPV12</stp>
        <stp>83162CPU1 Mtge Cusip</stp>
        <stp>Name</stp>
        <stp>[NY only SBA Bonds_Cashflow Generator_DUB.xlsm]16 - US83162CPU17!R2C6</stp>
        <tr r="F2" s="39"/>
      </tp>
      <tp t="s">
        <v>SBAP 2006-20E 1</v>
        <stp/>
        <stp>##V3_BDPV12</stp>
        <stp>83162CQG1 Mtge Cusip</stp>
        <stp>Name</stp>
        <stp>[NY only SBA Bonds_Cashflow Generator_DUB.xlsm]21 - US83162CQG14!R2C6</stp>
        <tr r="F2" s="45"/>
      </tp>
      <tp t="s">
        <v>SBAP 2006-20F 1</v>
        <stp/>
        <stp>##V3_BDPV12</stp>
        <stp>83162CQH9 Mtge Cusip</stp>
        <stp>Name</stp>
        <stp>[NY only SBA Bonds_Cashflow Generator_DUB.xlsm]19 - US83162CQH96!R2C6</stp>
        <tr r="F2" s="42"/>
      </tp>
      <tp t="s">
        <v>SBAP 2007-20C 1</v>
        <stp/>
        <stp>##V3_BDPV12</stp>
        <stp>83162CQX4 Mtge Cusip</stp>
        <stp>Name</stp>
        <stp>[NY only SBA Bonds_Cashflow Generator_DUB.xlsm]04 - US83162CQX47!R2C6</stp>
        <tr r="F2" s="32"/>
      </tp>
      <tp t="s">
        <v>SBAP 2006-20D 1</v>
        <stp/>
        <stp>##V3_BDPV12</stp>
        <stp>83162CQE6 Mtge Cusip</stp>
        <stp>Name</stp>
        <stp>[NY only SBA Bonds_Cashflow Generator_DUB.xlsm]14 - US83162CQE65!R2C6</stp>
        <tr r="F2" s="28"/>
      </tp>
      <tp t="s">
        <v>SBAP 2007-20H 1</v>
        <stp/>
        <stp>##V3_BDPV12</stp>
        <stp>83162CRE5 Mtge Cusip</stp>
        <stp>Name</stp>
        <stp>[NY only SBA Bonds_Cashflow Generator_DUB.xlsm]20 - US83162CRE56!R2C6</stp>
        <tr r="F2" s="43"/>
      </tp>
      <tp t="s">
        <v>SBAP 2005-20K 1</v>
        <stp/>
        <stp>##V3_BDPV12</stp>
        <stp>83162CPX5 Mtge Cusip</stp>
        <stp>Name</stp>
        <stp>[NY only SBA Bonds_Cashflow Generator_DUB.xlsm]13 - US83162CPX55!R2C6</stp>
        <tr r="F2" s="27"/>
      </tp>
      <tp t="s">
        <v>SBAP 2004-20F 1</v>
        <stp/>
        <stp>##V3_BDPV12</stp>
        <stp>83162CNU3 Mtge Cusip</stp>
        <stp>Name</stp>
        <stp>[NY only SBA Bonds_Cashflow Generator_DUB.xlsm]05 - US83162CNU35!R2C6</stp>
        <tr r="F2" s="24"/>
      </tp>
      <tp t="s">
        <v>SBAP 2006-20A 1</v>
        <stp/>
        <stp>##V3_BDPV12</stp>
        <stp>83162CQA4 Mtge Cusip</stp>
        <stp>Name</stp>
        <stp>[NY only SBA Bonds_Cashflow Generator_DUB.xlsm]15 - US83162CQA44!R2C6</stp>
        <tr r="F2" s="38"/>
      </tp>
      <tp t="s">
        <v>SBAP 2002-20L 1</v>
        <stp/>
        <stp>##V3_BDPV12</stp>
        <stp>83162CMR1 Mtge Cusip</stp>
        <stp>Name</stp>
        <stp>[NY only SBA Bonds_Cashflow Generator_DUB.xlsm]07 - US83162CMR15!R2C6</stp>
        <tr r="F2" s="23"/>
      </tp>
      <tp t="s">
        <v>SBAP 2007-20I 1</v>
        <stp/>
        <stp>##V3_BDPV12</stp>
        <stp>83162CRG0 Mtge Cusip</stp>
        <stp>Name</stp>
        <stp>[NY only SBA Bonds_Cashflow Generator_DUB.xlsm]01 - US83162CRG05!R2C6</stp>
        <tr r="F2" s="29"/>
      </tp>
      <tp t="s">
        <v>SBAP 2007-20E 1</v>
        <stp/>
        <stp>##V3_BDPV12</stp>
        <stp>83162CRA3 Mtge Cusip</stp>
        <stp>Name</stp>
        <stp>[NY only SBA Bonds_Cashflow Generator_DUB.xlsm]02 - US83162CRA35!R2C6</stp>
        <tr r="F2" s="30"/>
      </tp>
      <tp t="s">
        <v>SBAP 2005-20L 1</v>
        <stp/>
        <stp>##V3_BDPV12</stp>
        <stp>83162CPY3 Mtge Cusip</stp>
        <stp>Name</stp>
        <stp>[NY only SBA Bonds_Cashflow Generator_DUB.xlsm]17 - US83162CPY39!R2C6</stp>
        <tr r="F2" s="40"/>
      </tp>
      <tp t="s">
        <v>SBAP 2006-20H 1</v>
        <stp/>
        <stp>##V3_BDPV12</stp>
        <stp>83162CQL0 Mtge Cusip</stp>
        <stp>Name</stp>
        <stp>[NY only SBA Bonds_Cashflow Generator_DUB.xlsm]12 - US83162CQL09!R2C6</stp>
        <tr r="F2" s="37"/>
      </tp>
      <tp>
        <v>2</v>
        <stp/>
        <stp>##V3_BDPV12</stp>
        <stp>83162CQL0 Mtge Cusip</stp>
        <stp>CPN_FREQ</stp>
        <stp>[NY only SBA Bonds_Cashflow Generator_DUB.xlsm]12 - US83162CQL09!R2C13</stp>
        <tr r="M2" s="37"/>
      </tp>
      <tp>
        <v>2</v>
        <stp/>
        <stp>##V3_BDPV12</stp>
        <stp>83162CPY3 Mtge Cusip</stp>
        <stp>CPN_FREQ</stp>
        <stp>[NY only SBA Bonds_Cashflow Generator_DUB.xlsm]17 - US83162CPY39!R2C13</stp>
        <tr r="M2" s="40"/>
      </tp>
      <tp t="s">
        <v>01/07/2027</v>
        <stp/>
        <stp>##V3_BDPV12</stp>
        <stp>83162CRD7 Mtge Cusip</stp>
        <stp>MATURITY</stp>
        <stp>[NY only SBA Bonds_Cashflow Generator_DUB.xlsm]09 - 83162CRD7!R2C12</stp>
        <tr r="L2" s="35"/>
      </tp>
      <tp t="s">
        <v>SBAP 2007-20G 1</v>
        <stp/>
        <stp>##V3_BDPV12</stp>
        <stp>83162CRD7 Mtge Cusip</stp>
        <stp>Name</stp>
        <stp>[NY only SBA Bonds_Cashflow Generator_DUB.xlsm]09 - 83162CRD7!R2C6</stp>
        <tr r="F2" s="35"/>
      </tp>
      <tp>
        <v>2</v>
        <stp/>
        <stp>##V3_BDPV12</stp>
        <stp>83162CRD7 Mtge Cusip</stp>
        <stp>CPN_FREQ</stp>
        <stp>[NY only SBA Bonds_Cashflow Generator_DUB.xlsm]09 - 83162CRD7!R2C13</stp>
        <tr r="M2" s="35"/>
      </tp>
      <tp>
        <v>2</v>
        <stp/>
        <stp>##V3_BDPV12</stp>
        <stp>83162CQY2 Mtge Cusip</stp>
        <stp>CPN_FREQ</stp>
        <stp>[NY only SBA Bonds_Cashflow Generator_DUB.xlsm]08 - US83162CQY20!R2C13</stp>
        <tr r="M2" s="34"/>
      </tp>
      <tp>
        <v>2</v>
        <stp/>
        <stp>##V3_BDPV12</stp>
        <stp>83162CQV8 Mtge Cusip</stp>
        <stp>CPN_FREQ</stp>
        <stp>[NY only SBA Bonds_Cashflow Generator_DUB.xlsm]10 - US83162CQV80!R2C13</stp>
        <tr r="M2" s="36"/>
      </tp>
      <tp>
        <v>2</v>
        <stp/>
        <stp>##V3_BDPV12</stp>
        <stp>83162CNW9 Mtge Cusip</stp>
        <stp>CPN_FREQ</stp>
        <stp>[NY only SBA Bonds_Cashflow Generator_DUB.xlsm]11 - US83162CNW90!R2C13</stp>
        <tr r="M2" s="25"/>
      </tp>
      <tp>
        <v>2</v>
        <stp/>
        <stp>##V3_BDPV12</stp>
        <stp>83162CQS5 Mtge Cusip</stp>
        <stp>CPN_FREQ</stp>
        <stp>[NY only SBA Bonds_Cashflow Generator_DUB.xlsm]03 - US83162CQS51!R2C13</stp>
        <tr r="M2" s="31"/>
      </tp>
      <tp>
        <v>2</v>
        <stp/>
        <stp>##V3_BDPV12</stp>
        <stp>83162CQB2 Mtge Cusip</stp>
        <stp>CPN_FREQ</stp>
        <stp>[NY only SBA Bonds_Cashflow Generator_DUB.xlsm]18 - US83162CQB27!R2C13</stp>
        <tr r="M2" s="41"/>
      </tp>
      <tp>
        <v>2</v>
        <stp/>
        <stp>##V3_BDPV12</stp>
        <stp>83162CQG1 Mtge Cusip</stp>
        <stp>CPN_FREQ</stp>
        <stp>[NY only SBA Bonds_Cashflow Generator_DUB.xlsm]21 - US83162CQG14!R2C13</stp>
        <tr r="M2" s="45"/>
      </tp>
      <tp>
        <v>2</v>
        <stp/>
        <stp>##V3_BDPV12</stp>
        <stp>83162CPU1 Mtge Cusip</stp>
        <stp>CPN_FREQ</stp>
        <stp>[NY only SBA Bonds_Cashflow Generator_DUB.xlsm]16 - US83162CPU17!R2C13</stp>
        <tr r="M2" s="39"/>
      </tp>
      <tp>
        <v>2</v>
        <stp/>
        <stp>##V3_BDPV12</stp>
        <stp>83162CQH9 Mtge Cusip</stp>
        <stp>CPN_FREQ</stp>
        <stp>[NY only SBA Bonds_Cashflow Generator_DUB.xlsm]19 - US83162CQH96!R2C13</stp>
        <tr r="M2" s="42"/>
      </tp>
      <tp>
        <v>2</v>
        <stp/>
        <stp>##V3_BDPV12</stp>
        <stp>83162CQX4 Mtge Cusip</stp>
        <stp>CPN_FREQ</stp>
        <stp>[NY only SBA Bonds_Cashflow Generator_DUB.xlsm]04 - US83162CQX47!R2C13</stp>
        <tr r="M2" s="32"/>
      </tp>
      <tp>
        <v>2</v>
        <stp/>
        <stp>##V3_BDPV12</stp>
        <stp>83162CRE5 Mtge Cusip</stp>
        <stp>CPN_FREQ</stp>
        <stp>[NY only SBA Bonds_Cashflow Generator_DUB.xlsm]20 - US83162CRE56!R2C13</stp>
        <tr r="M2" s="43"/>
      </tp>
      <tp>
        <v>2</v>
        <stp/>
        <stp>##V3_BDPV12</stp>
        <stp>83162CPX5 Mtge Cusip</stp>
        <stp>CPN_FREQ</stp>
        <stp>[NY only SBA Bonds_Cashflow Generator_DUB.xlsm]13 - US83162CPX55!R2C13</stp>
        <tr r="M2" s="27"/>
      </tp>
      <tp>
        <v>2</v>
        <stp/>
        <stp>##V3_BDPV12</stp>
        <stp>83162CQE6 Mtge Cusip</stp>
        <stp>CPN_FREQ</stp>
        <stp>[NY only SBA Bonds_Cashflow Generator_DUB.xlsm]14 - US83162CQE65!R2C13</stp>
        <tr r="M2" s="28"/>
      </tp>
      <tp>
        <v>2</v>
        <stp/>
        <stp>##V3_BDPV12</stp>
        <stp>83162CRG0 Mtge Cusip</stp>
        <stp>CPN_FREQ</stp>
        <stp>[NY only SBA Bonds_Cashflow Generator_DUB.xlsm]01 - US83162CRG05!R2C13</stp>
        <tr r="M2" s="29"/>
      </tp>
      <tp>
        <v>2</v>
        <stp/>
        <stp>##V3_BDPV12</stp>
        <stp>83162CRA3 Mtge Cusip</stp>
        <stp>CPN_FREQ</stp>
        <stp>[NY only SBA Bonds_Cashflow Generator_DUB.xlsm]02 - US83162CRA35!R2C13</stp>
        <tr r="M2" s="30"/>
      </tp>
      <tp>
        <v>2</v>
        <stp/>
        <stp>##V3_BDPV12</stp>
        <stp>83162CNU3 Mtge Cusip</stp>
        <stp>CPN_FREQ</stp>
        <stp>[NY only SBA Bonds_Cashflow Generator_DUB.xlsm]05 - US83162CNU35!R2C13</stp>
        <tr r="M2" s="24"/>
      </tp>
      <tp>
        <v>2</v>
        <stp/>
        <stp>##V3_BDPV12</stp>
        <stp>83162CQA4 Mtge Cusip</stp>
        <stp>CPN_FREQ</stp>
        <stp>[NY only SBA Bonds_Cashflow Generator_DUB.xlsm]15 - US83162CQA44!R2C13</stp>
        <tr r="M2" s="38"/>
      </tp>
      <tp>
        <v>2</v>
        <stp/>
        <stp>##V3_BDPV12</stp>
        <stp>83162CMR1 Mtge Cusip</stp>
        <stp>CPN_FREQ</stp>
        <stp>[NY only SBA Bonds_Cashflow Generator_DUB.xlsm]07 - US83162CMR15!R2C13</stp>
        <tr r="M2" s="23"/>
      </tp>
      <tp t="s">
        <v>01/04/2027</v>
        <stp/>
        <stp>##V3_BDPV12</stp>
        <stp>83162CQY2 Mtge Cusip</stp>
        <stp>MATURITY</stp>
        <stp>[NY only SBA Bonds_Cashflow Generator_DUB.xlsm]08 - US83162CQY20!R2C12</stp>
        <tr r="L2" s="34"/>
      </tp>
      <tp t="s">
        <v>01/12/2026</v>
        <stp/>
        <stp>##V3_BDPV12</stp>
        <stp>83162CQS5 Mtge Cusip</stp>
        <stp>MATURITY</stp>
        <stp>[NY only SBA Bonds_Cashflow Generator_DUB.xlsm]03 - US83162CQS51!R2C12</stp>
        <tr r="L2" s="31"/>
      </tp>
      <tp t="s">
        <v>01/02/2027</v>
        <stp/>
        <stp>##V3_BDPV12</stp>
        <stp>83162CQV8 Mtge Cusip</stp>
        <stp>MATURITY</stp>
        <stp>[NY only SBA Bonds_Cashflow Generator_DUB.xlsm]10 - US83162CQV80!R2C12</stp>
        <tr r="L2" s="36"/>
      </tp>
      <tp t="s">
        <v>01/07/2024</v>
        <stp/>
        <stp>##V3_BDPV12</stp>
        <stp>83162CNW9 Mtge Cusip</stp>
        <stp>MATURITY</stp>
        <stp>[NY only SBA Bonds_Cashflow Generator_DUB.xlsm]11 - US83162CNW90!R2C12</stp>
        <tr r="L2" s="25"/>
      </tp>
      <tp t="s">
        <v>01/11/2025</v>
        <stp/>
        <stp>##V3_BDPV12</stp>
        <stp>83162CPX5 Mtge Cusip</stp>
        <stp>MATURITY</stp>
        <stp>[NY only SBA Bonds_Cashflow Generator_DUB.xlsm]13 - US83162CPX55!R2C12</stp>
        <tr r="L2" s="27"/>
      </tp>
      <tp t="s">
        <v>01/08/2027</v>
        <stp/>
        <stp>##V3_BDPV12</stp>
        <stp>83162CRE5 Mtge Cusip</stp>
        <stp>MATURITY</stp>
        <stp>[NY only SBA Bonds_Cashflow Generator_DUB.xlsm]20 - US83162CRE56!R2C12</stp>
        <tr r="L2" s="43"/>
      </tp>
      <tp t="s">
        <v>01/04/2026</v>
        <stp/>
        <stp>##V3_BDPV12</stp>
        <stp>83162CQE6 Mtge Cusip</stp>
        <stp>MATURITY</stp>
        <stp>[NY only SBA Bonds_Cashflow Generator_DUB.xlsm]14 - US83162CQE65!R2C12</stp>
        <tr r="L2" s="28"/>
      </tp>
      <tp>
        <v>5.8199999999999994</v>
        <stp/>
        <stp>##V3_BDPV12</stp>
        <stp>83162CRD7 Mtge Cusip</stp>
        <stp>cpn</stp>
        <stp>[NY only SBA Bonds_Cashflow Generator_DUB.xlsm]09 - 83162CRD7!R2C15</stp>
        <tr r="O2" s="35"/>
      </tp>
      <tp t="s">
        <v>01/05/2027</v>
        <stp/>
        <stp>##V3_BDPV12</stp>
        <stp>83162CRA3 Mtge Cusip</stp>
        <stp>MATURITY</stp>
        <stp>[NY only SBA Bonds_Cashflow Generator_DUB.xlsm]02 - US83162CRA35!R2C12</stp>
        <tr r="L2" s="30"/>
      </tp>
      <tp t="s">
        <v>01/09/2027</v>
        <stp/>
        <stp>##V3_BDPV12</stp>
        <stp>83162CRG0 Mtge Cusip</stp>
        <stp>MATURITY</stp>
        <stp>[NY only SBA Bonds_Cashflow Generator_DUB.xlsm]01 - US83162CRG05!R2C12</stp>
        <tr r="L2" s="29"/>
      </tp>
      <tp t="s">
        <v>01/12/2022</v>
        <stp/>
        <stp>##V3_BDPV12</stp>
        <stp>83162CMR1 Mtge Cusip</stp>
        <stp>MATURITY</stp>
        <stp>[NY only SBA Bonds_Cashflow Generator_DUB.xlsm]07 - US83162CMR15!R2C12</stp>
        <tr r="L2" s="23"/>
      </tp>
      <tp t="s">
        <v>01/06/2024</v>
        <stp/>
        <stp>##V3_BDPV12</stp>
        <stp>83162CNU3 Mtge Cusip</stp>
        <stp>MATURITY</stp>
        <stp>[NY only SBA Bonds_Cashflow Generator_DUB.xlsm]05 - US83162CNU35!R2C12</stp>
        <tr r="L2" s="24"/>
      </tp>
      <tp t="s">
        <v>01/01/2026</v>
        <stp/>
        <stp>##V3_BDPV12</stp>
        <stp>83162CQA4 Mtge Cusip</stp>
        <stp>MATURITY</stp>
        <stp>[NY only SBA Bonds_Cashflow Generator_DUB.xlsm]15 - US83162CQA44!R2C12</stp>
        <tr r="L2" s="38"/>
      </tp>
      <tp t="s">
        <v>01/05/2026</v>
        <stp/>
        <stp>##V3_BDPV12</stp>
        <stp>83162CQG1 Mtge Cusip</stp>
        <stp>MATURITY</stp>
        <stp>[NY only SBA Bonds_Cashflow Generator_DUB.xlsm]21 - US83162CQG14!R2C12</stp>
        <tr r="L2" s="45"/>
      </tp>
      <tp t="s">
        <v>01/09/2025</v>
        <stp/>
        <stp>##V3_BDPV12</stp>
        <stp>83162CPU1 Mtge Cusip</stp>
        <stp>MATURITY</stp>
        <stp>[NY only SBA Bonds_Cashflow Generator_DUB.xlsm]16 - US83162CPU17!R2C12</stp>
        <tr r="L2" s="39"/>
      </tp>
      <tp t="s">
        <v>01/02/2026</v>
        <stp/>
        <stp>##V3_BDPV12</stp>
        <stp>83162CQB2 Mtge Cusip</stp>
        <stp>MATURITY</stp>
        <stp>[NY only SBA Bonds_Cashflow Generator_DUB.xlsm]18 - US83162CQB27!R2C12</stp>
        <tr r="L2" s="41"/>
      </tp>
      <tp t="s">
        <v>01/03/2027</v>
        <stp/>
        <stp>##V3_BDPV12</stp>
        <stp>83162CQX4 Mtge Cusip</stp>
        <stp>MATURITY</stp>
        <stp>[NY only SBA Bonds_Cashflow Generator_DUB.xlsm]04 - US83162CQX47!R2C12</stp>
        <tr r="L2" s="32"/>
      </tp>
      <tp t="s">
        <v>01/06/2026</v>
        <stp/>
        <stp>##V3_BDPV12</stp>
        <stp>83162CQH9 Mtge Cusip</stp>
        <stp>MATURITY</stp>
        <stp>[NY only SBA Bonds_Cashflow Generator_DUB.xlsm]19 - US83162CQH96!R2C12</stp>
        <tr r="L2" s="42"/>
      </tp>
      <tp t="s">
        <v>01/08/2026</v>
        <stp/>
        <stp>##V3_BDPV12</stp>
        <stp>83162CQL0 Mtge Cusip</stp>
        <stp>MATURITY</stp>
        <stp>[NY only SBA Bonds_Cashflow Generator_DUB.xlsm]12 - US83162CQL09!R2C12</stp>
        <tr r="L2" s="37"/>
      </tp>
      <tp t="s">
        <v>01/12/2025</v>
        <stp/>
        <stp>##V3_BDPV12</stp>
        <stp>83162CPY3 Mtge Cusip</stp>
        <stp>MATURITY</stp>
        <stp>[NY only SBA Bonds_Cashflow Generator_DUB.xlsm]17 - US83162CPY39!R2C12</stp>
        <tr r="L2" s="40"/>
      </tp>
      <tp t="s">
        <v>SBAP 2007-20G 1</v>
        <stp/>
        <stp>##V3_BDPV12</stp>
        <stp>83162CRD7 Equity ISIN</stp>
        <stp>SECURITY_DES</stp>
        <stp>[NY only SBA Bonds_Cashflow Generator_DUB.xlsm]WALs!R11C4</stp>
        <tr r="D11" s="49"/>
      </tp>
      <tp t="e">
        <v>#N/A</v>
        <stp/>
        <stp>##V3_BDSV12</stp>
        <stp>New WaL from RMC Model Mtge Cusip</stp>
        <stp>83162CRD7</stp>
        <stp>[NY only SBA Bonds_Cashflow Generator_DUB.xlsm]WALs!R12C1</stp>
        <tr r="A12" s="49"/>
      </tp>
    </main>
    <main first="bloomberg.rtd">
      <tp>
        <v>0.21744464689800005</v>
        <stp/>
        <stp>##V3_BDPV12</stp>
        <stp>83162CQG1 Mtge Cusip</stp>
        <stp>MTG_FACTOR</stp>
        <stp>[NY only SBA Bonds_Cashflow Generator_DUB.xlsm]21 - US83162CQG14!R6C2</stp>
        <tr r="B6" s="45"/>
      </tp>
      <tp>
        <v>42339</v>
        <stp/>
        <stp>##V3_BDSV12</stp>
        <stp>83162CNU3 Mtge Cusip</stp>
        <stp>MTG_HIST_FACT</stp>
        <stp>[NY only SBA Bonds_Cashflow Generator_DUB.xlsm]05 - US83162CNU35!R12C1</stp>
        <stp>cols=2;rows=24</stp>
        <tr r="A12" s="24"/>
      </tp>
      <tp>
        <v>42339</v>
        <stp/>
        <stp>##V3_BDSV12</stp>
        <stp>83162CPY3 Mtge Cusip</stp>
        <stp>MTG_HIST_FACT</stp>
        <stp>[NY only SBA Bonds_Cashflow Generator_DUB.xlsm]17 - US83162CPY39!R12C1</stp>
        <stp>cols=2;rows=21</stp>
        <tr r="A12" s="40"/>
      </tp>
      <tp>
        <v>42309</v>
        <stp/>
        <stp>##V3_BDSV12</stp>
        <stp>83162CRA3 Mtge Cusip</stp>
        <stp>MTG_HIST_FACT</stp>
        <stp>[NY only SBA Bonds_Cashflow Generator_DUB.xlsm]02 - US83162CRA35!R12C1</stp>
        <stp>cols=2;rows=18</stp>
        <tr r="A12" s="30"/>
      </tp>
      <tp>
        <v>0.20872089019400003</v>
        <stp/>
        <stp>##V3_BDPV12</stp>
        <stp>83162CQL0 Mtge Cusip</stp>
        <stp>MTG_FACTOR</stp>
        <stp>[NY only SBA Bonds_Cashflow Generator_DUB.xlsm]12 - US83162CQL09!R6C2</stp>
        <tr r="B6" s="37"/>
      </tp>
      <tp>
        <v>0.28756673469300004</v>
        <stp/>
        <stp>##V3_BDPV12</stp>
        <stp>83162CRA3 Mtge Cusip</stp>
        <stp>MTG_FACTOR</stp>
        <stp>[NY only SBA Bonds_Cashflow Generator_DUB.xlsm]02 - US83162CRA35!R6C2</stp>
        <tr r="B6" s="30"/>
      </tp>
      <tp t="s">
        <v>14/06/2006</v>
        <stp/>
        <stp>##V3_BDPV12</stp>
        <stp>83162CQH9 Mtge Cusip</stp>
        <stp>FIRST_SETTLE_DT</stp>
        <stp>[NY only SBA Bonds_Cashflow Generator_DUB.xlsm]19 - US83162CQH96!R2C10</stp>
        <tr r="J2" s="42"/>
      </tp>
      <tp>
        <v>0.169387021193</v>
        <stp/>
        <stp>##V3_BDPV12</stp>
        <stp>83162CPU1 Mtge Cusip</stp>
        <stp>MTG_FACTOR</stp>
        <stp>[NY only SBA Bonds_Cashflow Generator_DUB.xlsm]16 - US83162CPU17!R6C2</stp>
        <tr r="B6" s="39"/>
      </tp>
      <tp>
        <v>42461</v>
        <stp/>
        <stp>##V3_BDSV12</stp>
        <stp>83162CQY2 Mtge Cusip</stp>
        <stp>MTG_HIST_FACT</stp>
        <stp>[NY only SBA Bonds_Cashflow Generator_DUB.xlsm]08 - US83162CQY20!R12C1</stp>
        <stp>cols=2;rows=19</stp>
        <tr r="A12" s="34"/>
      </tp>
      <tp>
        <v>42401</v>
        <stp/>
        <stp>##V3_BDSV12</stp>
        <stp>83162CQB2 Mtge Cusip</stp>
        <stp>MTG_HIST_FACT</stp>
        <stp>[NY only SBA Bonds_Cashflow Generator_DUB.xlsm]18 - US83162CQB27!R12C1</stp>
        <stp>cols=2;rows=21</stp>
        <tr r="A12" s="41"/>
      </tp>
      <tp>
        <v>0.26835568300700008</v>
        <stp/>
        <stp>##V3_BDPV12</stp>
        <stp>83162CRG0 Mtge Cusip</stp>
        <stp>MTG_FACTOR</stp>
        <stp>[NY only SBA Bonds_Cashflow Generator_DUB.xlsm]01 - US83162CRG05!R6C2</stp>
        <tr r="B6" s="29"/>
      </tp>
      <tp>
        <v>42339</v>
        <stp/>
        <stp>##V3_BDSV12</stp>
        <stp>83162CMR1 Mtge Cusip</stp>
        <stp>MTG_HIST_FACT</stp>
        <stp>[NY only SBA Bonds_Cashflow Generator_DUB.xlsm]07 - US83162CMR15!R12C1</stp>
        <stp>cols=2;rows=27</stp>
        <tr r="A12" s="23"/>
      </tp>
      <tp>
        <v>42309</v>
        <stp/>
        <stp>##V3_BDSV12</stp>
        <stp>83162CQG1 Mtge Cusip</stp>
        <stp>MTG_HIST_FACT</stp>
        <stp>[NY only SBA Bonds_Cashflow Generator_DUB.xlsm]21 - US83162CQG14!R12C1</stp>
        <stp>cols=2;rows=20</stp>
        <tr r="A12" s="45"/>
      </tp>
      <tp>
        <v>42430</v>
        <stp/>
        <stp>##V3_BDSV12</stp>
        <stp>83162CPU1 Mtge Cusip</stp>
        <stp>MTG_HIST_FACT</stp>
        <stp>[NY only SBA Bonds_Cashflow Generator_DUB.xlsm]16 - US83162CPU17!R12C1</stp>
        <stp>cols=2;rows=22</stp>
        <tr r="A12" s="39"/>
      </tp>
      <tp>
        <v>0.18280988700200002</v>
        <stp/>
        <stp>##V3_BDPV12</stp>
        <stp>83162CQB2 Mtge Cusip</stp>
        <stp>MTG_FACTOR</stp>
        <stp>[NY only SBA Bonds_Cashflow Generator_DUB.xlsm]18 - US83162CQB27!R6C2</stp>
        <tr r="B6" s="41"/>
      </tp>
      <tp>
        <v>0.17475589281100004</v>
        <stp/>
        <stp>##V3_BDPV12</stp>
        <stp>83162CPY3 Mtge Cusip</stp>
        <stp>MTG_FACTOR</stp>
        <stp>[NY only SBA Bonds_Cashflow Generator_DUB.xlsm]17 - US83162CPY39!R6C2</stp>
        <tr r="B6" s="40"/>
      </tp>
      <tp t="s">
        <v>Mtge</v>
        <stp/>
        <stp>##V3_BDPV12</stp>
        <stp>US83162CNW90 Equity ISIN</stp>
        <stp>MARKET_SECTOR_DES</stp>
        <stp>[NY only SBA Bonds_Cashflow Generator_DUB.xlsm]WALs!R13C3</stp>
        <tr r="C13" s="49"/>
      </tp>
      <tp>
        <v>0.26334023429900005</v>
        <stp/>
        <stp>##V3_BDPV12</stp>
        <stp>83162CQY2 Mtge Cusip</stp>
        <stp>MTG_FACTOR</stp>
        <stp>[NY only SBA Bonds_Cashflow Generator_DUB.xlsm]08 - US83162CQY20!R6C2</stp>
        <tr r="B6" s="34"/>
      </tp>
      <tp>
        <v>42401</v>
        <stp/>
        <stp>##V3_BDSV12</stp>
        <stp>83162CQL0 Mtge Cusip</stp>
        <stp>MTG_HIST_FACT</stp>
        <stp>[NY only SBA Bonds_Cashflow Generator_DUB.xlsm]12 - US83162CQL09!R12C1</stp>
        <stp>cols=2;rows=20</stp>
        <tr r="A12" s="37"/>
      </tp>
      <tp>
        <v>42430</v>
        <stp/>
        <stp>##V3_BDSV12</stp>
        <stp>83162CRG0 Mtge Cusip</stp>
        <stp>MTG_HIST_FACT</stp>
        <stp>[NY only SBA Bonds_Cashflow Generator_DUB.xlsm]01 - US83162CRG05!R12C1</stp>
        <stp>cols=2;rows=18</stp>
        <tr r="A12" s="29"/>
      </tp>
      <tp t="s">
        <v>SBAP 2005-20J 1</v>
        <stp/>
        <stp>##V3_BDPV12</stp>
        <stp>83162CPV9 Mtge Cusip</stp>
        <stp>Name</stp>
        <stp>[NY only SBA Bonds_Cashflow Generator_DUB.xlsm]06- US83162CPV99!R2C6</stp>
        <tr r="F2" s="26"/>
      </tp>
      <tp>
        <v>0.24428880671100003</v>
        <stp/>
        <stp>##V3_BDPV12</stp>
        <stp>83162CQS5 Mtge Cusip</stp>
        <stp>MTG_FACTOR</stp>
        <stp>[NY only SBA Bonds_Cashflow Generator_DUB.xlsm]03 - US83162CQS51!R6C2</stp>
        <tr r="B6" s="31"/>
      </tp>
      <tp t="s">
        <v>14/12/2005</v>
        <stp/>
        <stp>##V3_BDPV12</stp>
        <stp>83162CPY3 Mtge Cusip</stp>
        <stp>FIRST_SETTLE_DT</stp>
        <stp>[NY only SBA Bonds_Cashflow Generator_DUB.xlsm]17 - US83162CPY39!R2C10</stp>
        <tr r="J2" s="40"/>
      </tp>
      <tp>
        <v>0.18879330540000003</v>
        <stp/>
        <stp>##V3_BDPV12</stp>
        <stp>83162CQA4 Mtge Cusip</stp>
        <stp>MTG_FACTOR</stp>
        <stp>[NY only SBA Bonds_Cashflow Generator_DUB.xlsm]15 - US83162CQA44!R6C2</stp>
        <tr r="B6" s="38"/>
      </tp>
      <tp>
        <v>0.28061972191000006</v>
        <stp/>
        <stp>##V3_BDPV12</stp>
        <stp>83162CQX4 Mtge Cusip</stp>
        <stp>MTG_FACTOR</stp>
        <stp>[NY only SBA Bonds_Cashflow Generator_DUB.xlsm]04 - US83162CQX47!R6C2</stp>
        <tr r="B6" s="32"/>
      </tp>
      <tp>
        <v>0.17514656361100001</v>
        <stp/>
        <stp>##V3_BDPV12</stp>
        <stp>83162CPX5 Mtge Cusip</stp>
        <stp>MTG_FACTOR</stp>
        <stp>[NY only SBA Bonds_Cashflow Generator_DUB.xlsm]13 - US83162CPX55!R6C2</stp>
        <tr r="B6" s="27"/>
      </tp>
      <tp>
        <v>42461</v>
        <stp/>
        <stp>##V3_BDSV12</stp>
        <stp>83162CQE6 Mtge Cusip</stp>
        <stp>MTG_HIST_FACT</stp>
        <stp>[NY only SBA Bonds_Cashflow Generator_DUB.xlsm]14 - US83162CQE65!R12C1</stp>
        <stp>cols=2;rows=21</stp>
        <tr r="A12" s="28"/>
      </tp>
      <tp t="s">
        <v>14/02/2007</v>
        <stp/>
        <stp>##V3_BDPV12</stp>
        <stp>83162CQV8 Mtge Cusip</stp>
        <stp>FIRST_SETTLE_DT</stp>
        <stp>[NY only SBA Bonds_Cashflow Generator_DUB.xlsm]10 - US83162CQV80!R2C10</stp>
        <tr r="J2" s="36"/>
      </tp>
      <tp>
        <v>42339</v>
        <stp/>
        <stp>##V3_BDSV12</stp>
        <stp>83162CQS5 Mtge Cusip</stp>
        <stp>MTG_HIST_FACT</stp>
        <stp>[NY only SBA Bonds_Cashflow Generator_DUB.xlsm]03 - US83162CQS51!R12C1</stp>
        <stp>cols=2;rows=19</stp>
        <tr r="A12" s="31"/>
      </tp>
      <tp>
        <v>42401</v>
        <stp/>
        <stp>##V3_BDSV12</stp>
        <stp>83162CRE5 Mtge Cusip</stp>
        <stp>MTG_HIST_FACT</stp>
        <stp>[NY only SBA Bonds_Cashflow Generator_DUB.xlsm]20 - US83162CRE56!R12C1</stp>
        <stp>cols=2;rows=18</stp>
        <tr r="A12" s="43"/>
      </tp>
      <tp>
        <v>42309</v>
        <stp/>
        <stp>##V3_BDSV12</stp>
        <stp>83162CPX5 Mtge Cusip</stp>
        <stp>MTG_HIST_FACT</stp>
        <stp>[NY only SBA Bonds_Cashflow Generator_DUB.xlsm]13 - US83162CPX55!R12C1</stp>
        <stp>cols=2;rows=21</stp>
        <tr r="A12" s="27"/>
      </tp>
      <tp t="s">
        <v>14/07/2004</v>
        <stp/>
        <stp>##V3_BDPV12</stp>
        <stp>83162CNW9 Mtge Cusip</stp>
        <stp>FIRST_SETTLE_DT</stp>
        <stp>[NY only SBA Bonds_Cashflow Generator_DUB.xlsm]11 - US83162CNW90!R2C10</stp>
        <tr r="J2" s="25"/>
      </tp>
      <tp>
        <v>0.17303403380300003</v>
        <stp/>
        <stp>##V3_BDPV12</stp>
        <stp>83162CQE6 Mtge Cusip</stp>
        <stp>MTG_FACTOR</stp>
        <stp>[NY only SBA Bonds_Cashflow Generator_DUB.xlsm]14 - US83162CQE65!R6C2</stp>
        <tr r="B6" s="28"/>
      </tp>
      <tp>
        <v>0.28565422639000004</v>
        <stp/>
        <stp>##V3_BDPV12</stp>
        <stp>83162CRE5 Mtge Cusip</stp>
        <stp>MTG_FACTOR</stp>
        <stp>[NY only SBA Bonds_Cashflow Generator_DUB.xlsm]20 - US83162CRE56!R6C2</stp>
        <tr r="B6" s="43"/>
      </tp>
      <tp t="s">
        <v>16/08/2006</v>
        <stp/>
        <stp>##V3_BDPV12</stp>
        <stp>83162CQL0 Mtge Cusip</stp>
        <stp>FIRST_SETTLE_DT</stp>
        <stp>[NY only SBA Bonds_Cashflow Generator_DUB.xlsm]12 - US83162CQL09!R2C10</stp>
        <tr r="J2" s="37"/>
      </tp>
      <tp>
        <v>42430</v>
        <stp/>
        <stp>##V3_BDSV12</stp>
        <stp>83162CQX4 Mtge Cusip</stp>
        <stp>MTG_HIST_FACT</stp>
        <stp>[NY only SBA Bonds_Cashflow Generator_DUB.xlsm]04 - US83162CQX47!R12C1</stp>
        <stp>cols=2;rows=19</stp>
        <tr r="A12" s="32"/>
      </tp>
      <tp>
        <v>42370</v>
        <stp/>
        <stp>##V3_BDSV12</stp>
        <stp>83162CQA4 Mtge Cusip</stp>
        <stp>MTG_HIST_FACT</stp>
        <stp>[NY only SBA Bonds_Cashflow Generator_DUB.xlsm]15 - US83162CQA44!R12C1</stp>
        <stp>cols=2;rows=21</stp>
        <tr r="A12" s="38"/>
      </tp>
      <tp>
        <v>0.18428472440999999</v>
        <stp/>
        <stp>##V3_BDPV12</stp>
        <stp>83162CQH9 Mtge Cusip</stp>
        <stp>MTG_FACTOR</stp>
        <stp>[NY only SBA Bonds_Cashflow Generator_DUB.xlsm]19 - US83162CQH96!R6C2</stp>
        <tr r="B6" s="42"/>
      </tp>
      <tp t="s">
        <v>14/09/2005</v>
        <stp/>
        <stp>##V3_BDPV12</stp>
        <stp>83162CPU1 Mtge Cusip</stp>
        <stp>FIRST_SETTLE_DT</stp>
        <stp>[NY only SBA Bonds_Cashflow Generator_DUB.xlsm]16 - US83162CPU17!R2C10</stp>
        <tr r="J2" s="39"/>
      </tp>
      <tp t="s">
        <v>17/05/2006</v>
        <stp/>
        <stp>##V3_BDPV12</stp>
        <stp>83162CQG1 Mtge Cusip</stp>
        <stp>FIRST_SETTLE_DT</stp>
        <stp>[NY only SBA Bonds_Cashflow Generator_DUB.xlsm]21 - US83162CQG14!R2C10</stp>
        <tr r="J2" s="45"/>
      </tp>
      <tp t="s">
        <v>16/06/2004</v>
        <stp/>
        <stp>##V3_BDPV12</stp>
        <stp>83162CNU3 Mtge Cusip</stp>
        <stp>FIRST_SETTLE_DT</stp>
        <stp>[NY only SBA Bonds_Cashflow Generator_DUB.xlsm]05 - US83162CNU35!R2C10</stp>
        <tr r="J2" s="24"/>
      </tp>
      <tp>
        <v>0.22897288070300001</v>
        <stp/>
        <stp>##V3_BDPV12</stp>
        <stp>83162CQV8 Mtge Cusip</stp>
        <stp>MTG_FACTOR</stp>
        <stp>[NY only SBA Bonds_Cashflow Generator_DUB.xlsm]10 - US83162CQV80!R6C2</stp>
        <tr r="B6" s="36"/>
      </tp>
      <tp t="s">
        <v>16/05/2007</v>
        <stp/>
        <stp>##V3_BDPV12</stp>
        <stp>83162CRA3 Mtge Cusip</stp>
        <stp>FIRST_SETTLE_DT</stp>
        <stp>[NY only SBA Bonds_Cashflow Generator_DUB.xlsm]02 - US83162CRA35!R2C10</stp>
        <tr r="J2" s="30"/>
      </tp>
      <tp t="s">
        <v>Mtge</v>
        <stp/>
        <stp>##V3_BDPV12</stp>
        <stp>US83162CPX55 Equity ISIN</stp>
        <stp>MARKET_SECTOR_DES</stp>
        <stp>[NY only SBA Bonds_Cashflow Generator_DUB.xlsm]WALs!R15C3</stp>
        <tr r="C15" s="49"/>
      </tp>
      <tp t="s">
        <v>12/09/2007</v>
        <stp/>
        <stp>##V3_BDPV12</stp>
        <stp>83162CRG0 Mtge Cusip</stp>
        <stp>FIRST_SETTLE_DT</stp>
        <stp>[NY only SBA Bonds_Cashflow Generator_DUB.xlsm]01 - US83162CRG05!R2C10</stp>
        <tr r="J2" s="29"/>
      </tp>
      <tp>
        <v>42370</v>
        <stp/>
        <stp>##V3_BDSV12</stp>
        <stp>83162CNW9 Mtge Cusip</stp>
        <stp>MTG_HIST_FACT</stp>
        <stp>[NY only SBA Bonds_Cashflow Generator_DUB.xlsm]11 - US83162CNW90!R12C1</stp>
        <stp>cols=2;rows=24</stp>
        <tr r="A12" s="25"/>
      </tp>
      <tp>
        <v>42339</v>
        <stp/>
        <stp>##V3_BDSV12</stp>
        <stp>83162CQH9 Mtge Cusip</stp>
        <stp>MTG_HIST_FACT</stp>
        <stp>[NY only SBA Bonds_Cashflow Generator_DUB.xlsm]19 - US83162CQH96!R12C1</stp>
        <stp>cols=2;rows=20</stp>
        <tr r="A12" s="42"/>
      </tp>
      <tp t="s">
        <v>11/12/2002</v>
        <stp/>
        <stp>##V3_BDPV12</stp>
        <stp>83162CMR1 Mtge Cusip</stp>
        <stp>FIRST_SETTLE_DT</stp>
        <stp>[NY only SBA Bonds_Cashflow Generator_DUB.xlsm]07 - US83162CMR15!R2C10</stp>
        <tr r="J2" s="23"/>
      </tp>
      <tp t="s">
        <v>15/02/2006</v>
        <stp/>
        <stp>##V3_BDPV12</stp>
        <stp>83162CQB2 Mtge Cusip</stp>
        <stp>FIRST_SETTLE_DT</stp>
        <stp>[NY only SBA Bonds_Cashflow Generator_DUB.xlsm]18 - US83162CQB27!R2C10</stp>
        <tr r="J2" s="41"/>
      </tp>
      <tp t="s">
        <v>13/12/2006</v>
        <stp/>
        <stp>##V3_BDPV12</stp>
        <stp>83162CQS5 Mtge Cusip</stp>
        <stp>FIRST_SETTLE_DT</stp>
        <stp>[NY only SBA Bonds_Cashflow Generator_DUB.xlsm]03 - US83162CQS51!R2C10</stp>
        <tr r="J2" s="31"/>
      </tp>
      <tp t="e">
        <v>#N/A</v>
        <stp/>
        <stp>##V3_BDPV12</stp>
        <stp>New WaL from RMC Model Mtge Cusip</stp>
        <stp/>
        <stp>[NY only SBA Bonds_Cashflow Generator_DUB.xlsm]WALs!R2C9</stp>
        <tr r="I2" s="49"/>
      </tp>
      <tp t="e">
        <v>#N/A</v>
        <stp/>
        <stp>##V3_BDPV12</stp>
        <stp>New WaL from RMC Model Mtge Cusip</stp>
        <stp/>
        <stp>[NY only SBA Bonds_Cashflow Generator_DUB.xlsm]WALs!R2C6</stp>
        <tr r="F2" s="49"/>
      </tp>
      <tp>
        <v>42401</v>
        <stp/>
        <stp>##V3_BDSV12</stp>
        <stp>83162CQV8 Mtge Cusip</stp>
        <stp>MTG_HIST_FACT</stp>
        <stp>[NY only SBA Bonds_Cashflow Generator_DUB.xlsm]10 - US83162CQV80!R12C1</stp>
        <stp>cols=2;rows=19</stp>
        <tr r="A12" s="36"/>
      </tp>
      <tp t="s">
        <v>14/03/2007</v>
        <stp/>
        <stp>##V3_BDPV12</stp>
        <stp>83162CQX4 Mtge Cusip</stp>
        <stp>FIRST_SETTLE_DT</stp>
        <stp>[NY only SBA Bonds_Cashflow Generator_DUB.xlsm]04 - US83162CQX47!R2C10</stp>
        <tr r="J2" s="32"/>
      </tp>
      <tp t="s">
        <v>Mtge</v>
        <stp/>
        <stp>##V3_BDPV12</stp>
        <stp>83162CRD7 Equity ISIN</stp>
        <stp>MARKET_SECTOR_DES</stp>
        <stp>[NY only SBA Bonds_Cashflow Generator_DUB.xlsm]WALs!R11C3</stp>
        <tr r="C11" s="49"/>
      </tp>
      <tp t="s">
        <v>11/04/2007</v>
        <stp/>
        <stp>##V3_BDPV12</stp>
        <stp>83162CQY2 Mtge Cusip</stp>
        <stp>FIRST_SETTLE_DT</stp>
        <stp>[NY only SBA Bonds_Cashflow Generator_DUB.xlsm]08 - US83162CQY20!R2C10</stp>
        <tr r="J2" s="34"/>
      </tp>
      <tp t="s">
        <v>12/04/2006</v>
        <stp/>
        <stp>##V3_BDPV12</stp>
        <stp>83162CQE6 Mtge Cusip</stp>
        <stp>FIRST_SETTLE_DT</stp>
        <stp>[NY only SBA Bonds_Cashflow Generator_DUB.xlsm]14 - US83162CQE65!R2C10</stp>
        <tr r="J2" s="28"/>
      </tp>
      <tp t="s">
        <v>11/01/2006</v>
        <stp/>
        <stp>##V3_BDPV12</stp>
        <stp>83162CQA4 Mtge Cusip</stp>
        <stp>FIRST_SETTLE_DT</stp>
        <stp>[NY only SBA Bonds_Cashflow Generator_DUB.xlsm]15 - US83162CQA44!R2C10</stp>
        <tr r="J2" s="38"/>
      </tp>
      <tp t="s">
        <v>Mtge</v>
        <stp/>
        <stp>##V3_BDPV12</stp>
        <stp>US83162CQY20 Equity ISIN</stp>
        <stp>MARKET_SECTOR_DES</stp>
        <stp>[NY only SBA Bonds_Cashflow Generator_DUB.xlsm]WALs!R10C3</stp>
        <tr r="C10" s="49"/>
      </tp>
      <tp t="s">
        <v>15/08/2007</v>
        <stp/>
        <stp>##V3_BDPV12</stp>
        <stp>83162CRE5 Mtge Cusip</stp>
        <stp>FIRST_SETTLE_DT</stp>
        <stp>[NY only SBA Bonds_Cashflow Generator_DUB.xlsm]20 - US83162CRE56!R2C10</stp>
        <tr r="J2" s="43"/>
      </tp>
      <tp t="s">
        <v>16/11/2005</v>
        <stp/>
        <stp>##V3_BDPV12</stp>
        <stp>83162CPX5 Mtge Cusip</stp>
        <stp>FIRST_SETTLE_DT</stp>
        <stp>[NY only SBA Bonds_Cashflow Generator_DUB.xlsm]13 - US83162CPX55!R2C10</stp>
        <tr r="J2" s="27"/>
      </tp>
      <tp>
        <v>0.15544176208700006</v>
        <stp/>
        <stp>##V3_BDPV12</stp>
        <stp>83162CPV9 Mtge Cusip</stp>
        <stp>MTG_FACTOR</stp>
        <stp>[NY only SBA Bonds_Cashflow Generator_DUB.xlsm]06- US83162CPV99!R6C2</stp>
        <tr r="B6" s="26"/>
      </tp>
      <tp t="s">
        <v>12/10/2005</v>
        <stp/>
        <stp>##V3_BDPV12</stp>
        <stp>83162CPV9 Mtge Cusip</stp>
        <stp>FIRST_SETTLE_DT</stp>
        <stp>[NY only SBA Bonds_Cashflow Generator_DUB.xlsm]06- US83162CPV99!R2C10</stp>
        <tr r="J2" s="26"/>
      </tp>
      <tp t="s">
        <v>30/360(104)</v>
        <stp/>
        <stp>##V3_BDPV12</stp>
        <stp>83162CRD7 Mtge Cusip</stp>
        <stp>DAY_CNT_DES</stp>
        <stp>[NY only SBA Bonds_Cashflow Generator_DUB.xlsm]09 - 83162CRD7!R2C14</stp>
        <tr r="N2" s="35"/>
      </tp>
      <tp t="s">
        <v>SBAP 2002-20L 1</v>
        <stp/>
        <stp>##V3_BDPV12</stp>
        <stp>US83162CMR15 Equity ISIN</stp>
        <stp>SECURITY_DES</stp>
        <stp>[NY only SBA Bonds_Cashflow Generator_DUB.xlsm]WALs!R9C4</stp>
        <tr r="D9" s="49"/>
      </tp>
      <tp>
        <v>0.12166788120000001</v>
        <stp/>
        <stp>##V3_BDPV12</stp>
        <stp>83162CNW9 Mtge Cusip</stp>
        <stp>MTG_FACTOR</stp>
        <stp>[NY only SBA Bonds_Cashflow Generator_DUB.xlsm]11 - US83162CNW90!R6C2</stp>
        <tr r="B6" s="25"/>
      </tp>
      <tp t="s">
        <v>SBAP 2004-20F 1</v>
        <stp/>
        <stp>##V3_BDPV12</stp>
        <stp>US83162CNU35 Equity ISIN</stp>
        <stp>SECURITY_DES</stp>
        <stp>[NY only SBA Bonds_Cashflow Generator_DUB.xlsm]WALs!R7C4</stp>
        <tr r="D7" s="49"/>
      </tp>
      <tp t="s">
        <v>SBAP 2007-20E 1</v>
        <stp/>
        <stp>##V3_BDPV12</stp>
        <stp>US83162CRA35 Equity ISIN</stp>
        <stp>SECURITY_DES</stp>
        <stp>[NY only SBA Bonds_Cashflow Generator_DUB.xlsm]WALs!R4C4</stp>
        <tr r="D4" s="49"/>
      </tp>
      <tp t="s">
        <v>SBAP 2005-20J 1</v>
        <stp/>
        <stp>##V3_BDPV12</stp>
        <stp>US83162CPV99 Equity ISIN</stp>
        <stp>SECURITY_DES</stp>
        <stp>[NY only SBA Bonds_Cashflow Generator_DUB.xlsm]WALs!R8C4</stp>
        <tr r="D8" s="49"/>
      </tp>
      <tp t="s">
        <v>SBAP 2007-20C 1</v>
        <stp/>
        <stp>##V3_BDPV12</stp>
        <stp>US83162CQX47 Equity ISIN</stp>
        <stp>SECURITY_DES</stp>
        <stp>[NY only SBA Bonds_Cashflow Generator_DUB.xlsm]WALs!R6C4</stp>
        <tr r="D6" s="49"/>
      </tp>
      <tp>
        <v>8.6265850682000017E-2</v>
        <stp/>
        <stp>##V3_BDPV12</stp>
        <stp>83162CMR1 Mtge Cusip</stp>
        <stp>MTG_FACTOR</stp>
        <stp>[NY only SBA Bonds_Cashflow Generator_DUB.xlsm]07 - US83162CMR15!R6C2</stp>
        <tr r="B6" s="23"/>
      </tp>
      <tp>
        <v>0.11053874818500001</v>
        <stp/>
        <stp>##V3_BDPV12</stp>
        <stp>83162CNU3 Mtge Cusip</stp>
        <stp>MTG_FACTOR</stp>
        <stp>[NY only SBA Bonds_Cashflow Generator_DUB.xlsm]05 - US83162CNU35!R6C2</stp>
        <tr r="B6" s="24"/>
      </tp>
      <tp t="s">
        <v>SBAP 2007-20I 1</v>
        <stp/>
        <stp>##V3_BDPV12</stp>
        <stp>US83162CRG05 Equity ISIN</stp>
        <stp>SECURITY_DES</stp>
        <stp>[NY only SBA Bonds_Cashflow Generator_DUB.xlsm]WALs!R3C4</stp>
        <tr r="D3" s="49"/>
      </tp>
      <tp t="s">
        <v>01/04/2006</v>
        <stp/>
        <stp>##V3_BDPV12</stp>
        <stp>83162CPV9 Mtge Cusip</stp>
        <stp>FIRST_CPN_DT</stp>
        <stp>[NY only SBA Bonds_Cashflow Generator_DUB.xlsm]06- US83162CPV99!R2C11</stp>
        <tr r="K2" s="26"/>
      </tp>
      <tp t="s">
        <v>SBAP 2006-20L 1</v>
        <stp/>
        <stp>##V3_BDPV12</stp>
        <stp>US83162CQS51 Equity ISIN</stp>
        <stp>SECURITY_DES</stp>
        <stp>[NY only SBA Bonds_Cashflow Generator_DUB.xlsm]WALs!R5C4</stp>
        <tr r="D5" s="49"/>
      </tp>
      <tp t="s">
        <v>Mtge</v>
        <stp/>
        <stp>##V3_BDPV12</stp>
        <stp>US83162CQL09 Equity ISIN</stp>
        <stp>MARKET_SECTOR_DES</stp>
        <stp>[NY only SBA Bonds_Cashflow Generator_DUB.xlsm]WALs!R14C3</stp>
        <tr r="C14" s="49"/>
      </tp>
      <tp t="s">
        <v>Mtge</v>
        <stp/>
        <stp>##V3_BDPV12</stp>
        <stp>US83162CRG05 Equity ISIN</stp>
        <stp>MARKET_SECTOR_DES</stp>
        <stp>[NY only SBA Bonds_Cashflow Generator_DUB.xlsm]WALs!R3C3</stp>
        <tr r="C3" s="49"/>
      </tp>
      <tp t="s">
        <v>01/01/2008</v>
        <stp/>
        <stp>##V3_BDPV12</stp>
        <stp>83162CRD7 Mtge Cusip</stp>
        <stp>FIRST_CPN_DT</stp>
        <stp>[NY only SBA Bonds_Cashflow Generator_DUB.xlsm]09 - 83162CRD7!R2C11</stp>
        <tr r="K2" s="35"/>
      </tp>
      <tp t="s">
        <v>11/07/2007</v>
        <stp/>
        <stp>##V3_BDPV12</stp>
        <stp>83162CRD7 Mtge Cusip</stp>
        <stp>ISSUE_DT</stp>
        <stp>[NY only SBA Bonds_Cashflow Generator_DUB.xlsm]09 - 83162CRD7!R2C9</stp>
        <tr r="I2" s="35"/>
      </tp>
      <tp t="s">
        <v>Mtge</v>
        <stp/>
        <stp>##V3_BDPV12</stp>
        <stp>US83162CQX47 Equity ISIN</stp>
        <stp>MARKET_SECTOR_DES</stp>
        <stp>[NY only SBA Bonds_Cashflow Generator_DUB.xlsm]WALs!R6C3</stp>
        <tr r="C6" s="49"/>
      </tp>
      <tp>
        <v>5.09</v>
        <stp/>
        <stp>##V3_BDPV12</stp>
        <stp>83162CPV9 Mtge Cusip</stp>
        <stp>cpn</stp>
        <stp>[NY only SBA Bonds_Cashflow Generator_DUB.xlsm]06- US83162CPV99!R2C15</stp>
        <tr r="O2" s="26"/>
      </tp>
      <tp t="s">
        <v>Mtge</v>
        <stp/>
        <stp>##V3_BDPV12</stp>
        <stp>US83162CRA35 Equity ISIN</stp>
        <stp>MARKET_SECTOR_DES</stp>
        <stp>[NY only SBA Bonds_Cashflow Generator_DUB.xlsm]WALs!R4C3</stp>
        <tr r="C4" s="49"/>
      </tp>
      <tp t="s">
        <v>Mtge</v>
        <stp/>
        <stp>##V3_BDPV12</stp>
        <stp>US83162CQS51 Equity ISIN</stp>
        <stp>MARKET_SECTOR_DES</stp>
        <stp>[NY only SBA Bonds_Cashflow Generator_DUB.xlsm]WALs!R5C3</stp>
        <tr r="C5" s="49"/>
      </tp>
      <tp t="s">
        <v>SBAP 2007-20D 1</v>
        <stp/>
        <stp>##V3_BDPV12</stp>
        <stp>US83162CQY20 Equity ISIN</stp>
        <stp>SECURITY_DES</stp>
        <stp>[NY only SBA Bonds_Cashflow Generator_DUB.xlsm]WALs!R10C4</stp>
        <tr r="D10" s="49"/>
      </tp>
      <tp t="s">
        <v>Mtge</v>
        <stp/>
        <stp>##V3_BDPV12</stp>
        <stp>US83162CPV99 Equity ISIN</stp>
        <stp>MARKET_SECTOR_DES</stp>
        <stp>[NY only SBA Bonds_Cashflow Generator_DUB.xlsm]WALs!R8C3</stp>
        <tr r="C8" s="49"/>
      </tp>
      <tp t="s">
        <v>SBAP 2006-20H 1</v>
        <stp/>
        <stp>##V3_BDPV12</stp>
        <stp>US83162CQL09 Equity ISIN</stp>
        <stp>SECURITY_DES</stp>
        <stp>[NY only SBA Bonds_Cashflow Generator_DUB.xlsm]WALs!R14C4</stp>
        <tr r="D14" s="49"/>
      </tp>
      <tp t="s">
        <v>SBAP 2005-20K 1</v>
        <stp/>
        <stp>##V3_BDPV12</stp>
        <stp>US83162CPX55 Equity ISIN</stp>
        <stp>SECURITY_DES</stp>
        <stp>[NY only SBA Bonds_Cashflow Generator_DUB.xlsm]WALs!R15C4</stp>
        <tr r="D15" s="49"/>
      </tp>
      <tp t="s">
        <v>01/06/2007</v>
        <stp/>
        <stp>##V3_BDPV12</stp>
        <stp>83162CQS5 Mtge Cusip</stp>
        <stp>FIRST_CPN_DT</stp>
        <stp>[NY only SBA Bonds_Cashflow Generator_DUB.xlsm]03 - US83162CQS51!R2C11</stp>
        <tr r="K2" s="31"/>
      </tp>
      <tp t="s">
        <v>01/01/2005</v>
        <stp/>
        <stp>##V3_BDPV12</stp>
        <stp>83162CNW9 Mtge Cusip</stp>
        <stp>FIRST_CPN_DT</stp>
        <stp>[NY only SBA Bonds_Cashflow Generator_DUB.xlsm]11 - US83162CNW90!R2C11</stp>
        <tr r="K2" s="25"/>
      </tp>
      <tp t="s">
        <v>01/08/2007</v>
        <stp/>
        <stp>##V3_BDPV12</stp>
        <stp>83162CQV8 Mtge Cusip</stp>
        <stp>FIRST_CPN_DT</stp>
        <stp>[NY only SBA Bonds_Cashflow Generator_DUB.xlsm]10 - US83162CQV80!R2C11</stp>
        <tr r="K2" s="36"/>
      </tp>
      <tp t="s">
        <v>01/10/2007</v>
        <stp/>
        <stp>##V3_BDPV12</stp>
        <stp>83162CQY2 Mtge Cusip</stp>
        <stp>FIRST_CPN_DT</stp>
        <stp>[NY only SBA Bonds_Cashflow Generator_DUB.xlsm]08 - US83162CQY20!R2C11</stp>
        <tr r="K2" s="34"/>
      </tp>
      <tp t="s">
        <v>01/09/2007</v>
        <stp/>
        <stp>##V3_BDPV12</stp>
        <stp>83162CQX4 Mtge Cusip</stp>
        <stp>FIRST_CPN_DT</stp>
        <stp>[NY only SBA Bonds_Cashflow Generator_DUB.xlsm]04 - US83162CQX47!R2C11</stp>
        <tr r="K2" s="32"/>
      </tp>
      <tp t="s">
        <v>01/12/2006</v>
        <stp/>
        <stp>##V3_BDPV12</stp>
        <stp>83162CQH9 Mtge Cusip</stp>
        <stp>FIRST_CPN_DT</stp>
        <stp>[NY only SBA Bonds_Cashflow Generator_DUB.xlsm]19 - US83162CQH96!R2C11</stp>
        <tr r="K2" s="42"/>
      </tp>
      <tp t="s">
        <v>SBAP 2004-20G 1</v>
        <stp/>
        <stp>##V3_BDPV12</stp>
        <stp>US83162CNW90 Equity ISIN</stp>
        <stp>SECURITY_DES</stp>
        <stp>[NY only SBA Bonds_Cashflow Generator_DUB.xlsm]WALs!R13C4</stp>
        <tr r="D13" s="49"/>
      </tp>
      <tp t="s">
        <v>01/11/2006</v>
        <stp/>
        <stp>##V3_BDPV12</stp>
        <stp>83162CQG1 Mtge Cusip</stp>
        <stp>FIRST_CPN_DT</stp>
        <stp>[NY only SBA Bonds_Cashflow Generator_DUB.xlsm]21 - US83162CQG14!R2C11</stp>
        <tr r="K2" s="45"/>
      </tp>
      <tp t="s">
        <v>01/03/2006</v>
        <stp/>
        <stp>##V3_BDPV12</stp>
        <stp>83162CPU1 Mtge Cusip</stp>
        <stp>FIRST_CPN_DT</stp>
        <stp>[NY only SBA Bonds_Cashflow Generator_DUB.xlsm]16 - US83162CPU17!R2C11</stp>
        <tr r="K2" s="39"/>
      </tp>
      <tp t="s">
        <v>01/08/2006</v>
        <stp/>
        <stp>##V3_BDPV12</stp>
        <stp>83162CQB2 Mtge Cusip</stp>
        <stp>FIRST_CPN_DT</stp>
        <stp>[NY only SBA Bonds_Cashflow Generator_DUB.xlsm]18 - US83162CQB27!R2C11</stp>
        <tr r="K2" s="41"/>
      </tp>
      <tp t="s">
        <v>01/11/2007</v>
        <stp/>
        <stp>##V3_BDPV12</stp>
        <stp>83162CRA3 Mtge Cusip</stp>
        <stp>FIRST_CPN_DT</stp>
        <stp>[NY only SBA Bonds_Cashflow Generator_DUB.xlsm]02 - US83162CRA35!R2C11</stp>
        <tr r="K2" s="30"/>
      </tp>
      <tp t="s">
        <v>01/03/2008</v>
        <stp/>
        <stp>##V3_BDPV12</stp>
        <stp>83162CRG0 Mtge Cusip</stp>
        <stp>FIRST_CPN_DT</stp>
        <stp>[NY only SBA Bonds_Cashflow Generator_DUB.xlsm]01 - US83162CRG05!R2C11</stp>
        <tr r="K2" s="29"/>
      </tp>
      <tp t="s">
        <v>01/06/2003</v>
        <stp/>
        <stp>##V3_BDPV12</stp>
        <stp>83162CMR1 Mtge Cusip</stp>
        <stp>FIRST_CPN_DT</stp>
        <stp>[NY only SBA Bonds_Cashflow Generator_DUB.xlsm]07 - US83162CMR15!R2C11</stp>
        <tr r="K2" s="23"/>
      </tp>
      <tp t="s">
        <v>01/12/2004</v>
        <stp/>
        <stp>##V3_BDPV12</stp>
        <stp>83162CNU3 Mtge Cusip</stp>
        <stp>FIRST_CPN_DT</stp>
        <stp>[NY only SBA Bonds_Cashflow Generator_DUB.xlsm]05 - US83162CNU35!R2C11</stp>
        <tr r="K2" s="24"/>
      </tp>
      <tp t="s">
        <v>01/07/2006</v>
        <stp/>
        <stp>##V3_BDPV12</stp>
        <stp>83162CQA4 Mtge Cusip</stp>
        <stp>FIRST_CPN_DT</stp>
        <stp>[NY only SBA Bonds_Cashflow Generator_DUB.xlsm]15 - US83162CQA44!R2C11</stp>
        <tr r="K2" s="38"/>
      </tp>
      <tp t="s">
        <v>01/05/2006</v>
        <stp/>
        <stp>##V3_BDPV12</stp>
        <stp>83162CPX5 Mtge Cusip</stp>
        <stp>FIRST_CPN_DT</stp>
        <stp>[NY only SBA Bonds_Cashflow Generator_DUB.xlsm]13 - US83162CPX55!R2C11</stp>
        <tr r="K2" s="27"/>
      </tp>
      <tp t="s">
        <v>01/02/2008</v>
        <stp/>
        <stp>##V3_BDPV12</stp>
        <stp>83162CRE5 Mtge Cusip</stp>
        <stp>FIRST_CPN_DT</stp>
        <stp>[NY only SBA Bonds_Cashflow Generator_DUB.xlsm]20 - US83162CRE56!R2C11</stp>
        <tr r="K2" s="43"/>
      </tp>
      <tp t="s">
        <v>01/10/2006</v>
        <stp/>
        <stp>##V3_BDPV12</stp>
        <stp>83162CQE6 Mtge Cusip</stp>
        <stp>FIRST_CPN_DT</stp>
        <stp>[NY only SBA Bonds_Cashflow Generator_DUB.xlsm]14 - US83162CQE65!R2C11</stp>
        <tr r="K2" s="28"/>
      </tp>
      <tp t="s">
        <v>Mtge</v>
        <stp/>
        <stp>##V3_BDPV12</stp>
        <stp>US83162CMR15 Equity ISIN</stp>
        <stp>MARKET_SECTOR_DES</stp>
        <stp>[NY only SBA Bonds_Cashflow Generator_DUB.xlsm]WALs!R9C3</stp>
        <tr r="C9" s="49"/>
      </tp>
      <tp t="s">
        <v>#N/A Invalid Security</v>
        <stp/>
        <stp>##V3_BDPV12</stp>
        <stp>New WaL from RMC Model Mtge Cusip</stp>
        <stp>5.3673179781612</stp>
        <stp>[NY only SBA Bonds_Cashflow Generator_DUB.xlsm]WALs!R6C2</stp>
        <tr r="B6" s="49"/>
      </tp>
      <tp t="e">
        <v>#N/A</v>
        <stp/>
        <stp>##V3_BDPV12</stp>
        <stp>New WaL from RMC Model Mtge Cusip</stp>
        <stp/>
        <stp>[NY only SBA Bonds_Cashflow Generator_DUB.xlsm]WALs!R2C15</stp>
        <tr r="O2" s="49"/>
      </tp>
      <tp t="e">
        <v>#N/A</v>
        <stp/>
        <stp>##V3_BDPV12</stp>
        <stp>New WaL from RMC Model Mtge Cusip</stp>
        <stp/>
        <stp>[NY only SBA Bonds_Cashflow Generator_DUB.xlsm]WALs!R2C14</stp>
        <tr r="N2" s="49"/>
      </tp>
      <tp t="e">
        <v>#N/A</v>
        <stp/>
        <stp>##V3_BDPV12</stp>
        <stp>New WaL from RMC Model Mtge Cusip</stp>
        <stp/>
        <stp>[NY only SBA Bonds_Cashflow Generator_DUB.xlsm]WALs!R2C13</stp>
        <tr r="M2" s="49"/>
      </tp>
      <tp t="e">
        <v>#N/A</v>
        <stp/>
        <stp>##V3_BDPV12</stp>
        <stp>New WaL from RMC Model Mtge Cusip</stp>
        <stp/>
        <stp>[NY only SBA Bonds_Cashflow Generator_DUB.xlsm]WALs!R2C12</stp>
        <tr r="L2" s="49"/>
      </tp>
      <tp t="e">
        <v>#N/A</v>
        <stp/>
        <stp>##V3_BDPV12</stp>
        <stp>New WaL from RMC Model Mtge Cusip</stp>
        <stp/>
        <stp>[NY only SBA Bonds_Cashflow Generator_DUB.xlsm]WALs!R2C11</stp>
        <tr r="K2" s="49"/>
      </tp>
      <tp t="e">
        <v>#N/A</v>
        <stp/>
        <stp>##V3_BDPV12</stp>
        <stp>New WaL from RMC Model Mtge Cusip</stp>
        <stp/>
        <stp>[NY only SBA Bonds_Cashflow Generator_DUB.xlsm]WALs!R2C10</stp>
        <tr r="J2" s="49"/>
      </tp>
      <tp t="s">
        <v>Mtge</v>
        <stp/>
        <stp>##V3_BDPV12</stp>
        <stp>US83162CNU35 Equity ISIN</stp>
        <stp>MARKET_SECTOR_DES</stp>
        <stp>[NY only SBA Bonds_Cashflow Generator_DUB.xlsm]WALs!R7C3</stp>
        <tr r="C7" s="49"/>
      </tp>
      <tp t="s">
        <v>01/02/2007</v>
        <stp/>
        <stp>##V3_BDPV12</stp>
        <stp>83162CQL0 Mtge Cusip</stp>
        <stp>FIRST_CPN_DT</stp>
        <stp>[NY only SBA Bonds_Cashflow Generator_DUB.xlsm]12 - US83162CQL09!R2C11</stp>
        <tr r="K2" s="37"/>
      </tp>
      <tp t="s">
        <v>01/06/2006</v>
        <stp/>
        <stp>##V3_BDPV12</stp>
        <stp>83162CPY3 Mtge Cusip</stp>
        <stp>FIRST_CPN_DT</stp>
        <stp>[NY only SBA Bonds_Cashflow Generator_DUB.xlsm]17 - US83162CPY39!R2C11</stp>
        <tr r="K2" s="40"/>
      </tp>
      <tp>
        <v>5.2</v>
        <stp/>
        <stp>##V3_BDPV12</stp>
        <stp>83162CRD7 mtge ISIN</stp>
        <stp>MTG_WAL</stp>
        <stp>[NY only SBA Bonds_Cashflow Generator_DUB.xlsm]WALs!R11C5</stp>
        <stp xml:space="preserve">ALLOW_DYNAMIC_CASHFLOW_CALCS </stp>
        <stp>Y</stp>
        <stp>MTG PREPAY SPEED</stp>
        <stp>5</stp>
        <stp>MTG PREPAY TYP</stp>
        <stp>CPR</stp>
        <tr r="E11" s="49"/>
      </tp>
      <tp t="s">
        <v>12/10/2005</v>
        <stp/>
        <stp>##V3_BDPV12</stp>
        <stp>83162CPV9 Mtge Cusip</stp>
        <stp>ISSUE_DT</stp>
        <stp>[NY only SBA Bonds_Cashflow Generator_DUB.xlsm]06- US83162CPV99!R2C9</stp>
        <tr r="I2" s="26"/>
      </tp>
      <tp>
        <v>42370</v>
        <stp/>
        <stp>##V3_BDSV12</stp>
        <stp>83162CRD7 Mtge Cusip</stp>
        <stp>MTG_HIST_FACT</stp>
        <stp>[NY only SBA Bonds_Cashflow Generator_DUB.xlsm]09 - 83162CRD7!R12C1</stp>
        <stp>cols=2;rows=18</stp>
        <tr r="A12" s="35"/>
      </tp>
      <tp>
        <v>2</v>
        <stp/>
        <stp>##V3_BDPV12</stp>
        <stp>83162CPV9 Mtge Cusip</stp>
        <stp>CPN_FREQ</stp>
        <stp>[NY only SBA Bonds_Cashflow Generator_DUB.xlsm]06- US83162CPV99!R2C13</stp>
        <tr r="M2" s="26"/>
      </tp>
      <tp t="s">
        <v>01/10/2025</v>
        <stp/>
        <stp>##V3_BDPV12</stp>
        <stp>83162CPV9 Mtge Cusip</stp>
        <stp>MATURITY</stp>
        <stp>[NY only SBA Bonds_Cashflow Generator_DUB.xlsm]06- US83162CPV99!R2C12</stp>
        <tr r="L2" s="26"/>
      </tp>
      <tp>
        <v>0.28581009650000005</v>
        <stp/>
        <stp>##V3_BDPV12</stp>
        <stp>83162CRD7 Mtge Cusip</stp>
        <stp>MTG_FACTOR</stp>
        <stp>[NY only SBA Bonds_Cashflow Generator_DUB.xlsm]09 - 83162CRD7!R6C2</stp>
        <tr r="B6" s="35"/>
      </tp>
      <tp>
        <v>4.58</v>
        <stp/>
        <stp>##V3_BDPV12</stp>
        <stp>US83162CPV99 mtge ISIN</stp>
        <stp>MTG_WAL</stp>
        <stp>[NY only SBA Bonds_Cashflow Generator_DUB.xlsm]WALs!R8C5</stp>
        <stp xml:space="preserve">ALLOW_DYNAMIC_CASHFLOW_CALCS </stp>
        <stp>Y</stp>
        <stp>MTG PREPAY SPEED</stp>
        <stp>5</stp>
        <stp>MTG PREPAY TYP</stp>
        <stp>CPR</stp>
        <tr r="E8" s="49"/>
      </tp>
      <tp>
        <v>4.87</v>
        <stp/>
        <stp>##V3_BDPV12</stp>
        <stp>US83162CQL09 mtge ISIN</stp>
        <stp>MTG_WAL</stp>
        <stp>[NY only SBA Bonds_Cashflow Generator_DUB.xlsm]WALs!R14C5</stp>
        <stp xml:space="preserve">ALLOW_DYNAMIC_CASHFLOW_CALCS </stp>
        <stp>Y</stp>
        <stp>MTG PREPAY SPEED</stp>
        <stp>5</stp>
        <stp>MTG PREPAY TYP</stp>
        <stp>CPR</stp>
        <tr r="E14" s="49"/>
      </tp>
      <tp t="s">
        <v>11/04/2007</v>
        <stp/>
        <stp>##V3_BDPV12</stp>
        <stp>83162CQY2 Mtge Cusip</stp>
        <stp>ISSUE_DT</stp>
        <stp>[NY only SBA Bonds_Cashflow Generator_DUB.xlsm]08 - US83162CQY20!R2C9</stp>
        <tr r="I2" s="34"/>
      </tp>
      <tp t="s">
        <v>13/12/2006</v>
        <stp/>
        <stp>##V3_BDPV12</stp>
        <stp>83162CQS5 Mtge Cusip</stp>
        <stp>ISSUE_DT</stp>
        <stp>[NY only SBA Bonds_Cashflow Generator_DUB.xlsm]03 - US83162CQS51!R2C9</stp>
        <tr r="I2" s="31"/>
      </tp>
      <tp t="s">
        <v>14/02/2007</v>
        <stp/>
        <stp>##V3_BDPV12</stp>
        <stp>83162CQV8 Mtge Cusip</stp>
        <stp>ISSUE_DT</stp>
        <stp>[NY only SBA Bonds_Cashflow Generator_DUB.xlsm]10 - US83162CQV80!R2C9</stp>
        <tr r="I2" s="36"/>
      </tp>
      <tp t="s">
        <v>14/07/2004</v>
        <stp/>
        <stp>##V3_BDPV12</stp>
        <stp>83162CNW9 Mtge Cusip</stp>
        <stp>ISSUE_DT</stp>
        <stp>[NY only SBA Bonds_Cashflow Generator_DUB.xlsm]11 - US83162CNW90!R2C9</stp>
        <tr r="I2" s="25"/>
      </tp>
      <tp t="s">
        <v>12/04/2006</v>
        <stp/>
        <stp>##V3_BDPV12</stp>
        <stp>83162CQE6 Mtge Cusip</stp>
        <stp>ISSUE_DT</stp>
        <stp>[NY only SBA Bonds_Cashflow Generator_DUB.xlsm]14 - US83162CQE65!R2C9</stp>
        <tr r="I2" s="28"/>
      </tp>
      <tp t="s">
        <v>16/11/2005</v>
        <stp/>
        <stp>##V3_BDPV12</stp>
        <stp>83162CPX5 Mtge Cusip</stp>
        <stp>ISSUE_DT</stp>
        <stp>[NY only SBA Bonds_Cashflow Generator_DUB.xlsm]13 - US83162CPX55!R2C9</stp>
        <tr r="I2" s="27"/>
      </tp>
      <tp t="s">
        <v>15/08/2007</v>
        <stp/>
        <stp>##V3_BDPV12</stp>
        <stp>83162CRE5 Mtge Cusip</stp>
        <stp>ISSUE_DT</stp>
        <stp>[NY only SBA Bonds_Cashflow Generator_DUB.xlsm]20 - US83162CRE56!R2C9</stp>
        <tr r="I2" s="43"/>
      </tp>
      <tp t="s">
        <v>11/12/2002</v>
        <stp/>
        <stp>##V3_BDPV12</stp>
        <stp>83162CMR1 Mtge Cusip</stp>
        <stp>ISSUE_DT</stp>
        <stp>[NY only SBA Bonds_Cashflow Generator_DUB.xlsm]07 - US83162CMR15!R2C9</stp>
        <tr r="I2" s="23"/>
      </tp>
      <tp t="s">
        <v>16/06/2004</v>
        <stp/>
        <stp>##V3_BDPV12</stp>
        <stp>83162CNU3 Mtge Cusip</stp>
        <stp>ISSUE_DT</stp>
        <stp>[NY only SBA Bonds_Cashflow Generator_DUB.xlsm]05 - US83162CNU35!R2C9</stp>
        <tr r="I2" s="24"/>
      </tp>
      <tp t="s">
        <v>11/01/2006</v>
        <stp/>
        <stp>##V3_BDPV12</stp>
        <stp>83162CQA4 Mtge Cusip</stp>
        <stp>ISSUE_DT</stp>
        <stp>[NY only SBA Bonds_Cashflow Generator_DUB.xlsm]15 - US83162CQA44!R2C9</stp>
        <tr r="I2" s="38"/>
      </tp>
      <tp t="s">
        <v>16/05/2007</v>
        <stp/>
        <stp>##V3_BDPV12</stp>
        <stp>83162CRA3 Mtge Cusip</stp>
        <stp>ISSUE_DT</stp>
        <stp>[NY only SBA Bonds_Cashflow Generator_DUB.xlsm]02 - US83162CRA35!R2C9</stp>
        <tr r="I2" s="30"/>
      </tp>
      <tp t="s">
        <v>12/09/2007</v>
        <stp/>
        <stp>##V3_BDPV12</stp>
        <stp>83162CRG0 Mtge Cusip</stp>
        <stp>ISSUE_DT</stp>
        <stp>[NY only SBA Bonds_Cashflow Generator_DUB.xlsm]01 - US83162CRG05!R2C9</stp>
        <tr r="I2" s="29"/>
      </tp>
      <tp t="s">
        <v>15/02/2006</v>
        <stp/>
        <stp>##V3_BDPV12</stp>
        <stp>83162CQB2 Mtge Cusip</stp>
        <stp>ISSUE_DT</stp>
        <stp>[NY only SBA Bonds_Cashflow Generator_DUB.xlsm]18 - US83162CQB27!R2C9</stp>
        <tr r="I2" s="41"/>
      </tp>
      <tp t="s">
        <v>14/09/2005</v>
        <stp/>
        <stp>##V3_BDPV12</stp>
        <stp>83162CPU1 Mtge Cusip</stp>
        <stp>ISSUE_DT</stp>
        <stp>[NY only SBA Bonds_Cashflow Generator_DUB.xlsm]16 - US83162CPU17!R2C9</stp>
        <tr r="I2" s="39"/>
      </tp>
      <tp t="s">
        <v>17/05/2006</v>
        <stp/>
        <stp>##V3_BDPV12</stp>
        <stp>83162CQG1 Mtge Cusip</stp>
        <stp>ISSUE_DT</stp>
        <stp>[NY only SBA Bonds_Cashflow Generator_DUB.xlsm]21 - US83162CQG14!R2C9</stp>
        <tr r="I2" s="45"/>
      </tp>
      <tp t="s">
        <v>14/06/2006</v>
        <stp/>
        <stp>##V3_BDPV12</stp>
        <stp>83162CQH9 Mtge Cusip</stp>
        <stp>ISSUE_DT</stp>
        <stp>[NY only SBA Bonds_Cashflow Generator_DUB.xlsm]19 - US83162CQH96!R2C9</stp>
        <tr r="I2" s="42"/>
      </tp>
      <tp t="s">
        <v>14/03/2007</v>
        <stp/>
        <stp>##V3_BDPV12</stp>
        <stp>83162CQX4 Mtge Cusip</stp>
        <stp>ISSUE_DT</stp>
        <stp>[NY only SBA Bonds_Cashflow Generator_DUB.xlsm]04 - US83162CQX47!R2C9</stp>
        <tr r="I2" s="32"/>
      </tp>
      <tp t="s">
        <v>14/12/2005</v>
        <stp/>
        <stp>##V3_BDPV12</stp>
        <stp>83162CPY3 Mtge Cusip</stp>
        <stp>ISSUE_DT</stp>
        <stp>[NY only SBA Bonds_Cashflow Generator_DUB.xlsm]17 - US83162CPY39!R2C9</stp>
        <tr r="I2" s="40"/>
      </tp>
      <tp t="s">
        <v>16/08/2006</v>
        <stp/>
        <stp>##V3_BDPV12</stp>
        <stp>83162CQL0 Mtge Cusip</stp>
        <stp>ISSUE_DT</stp>
        <stp>[NY only SBA Bonds_Cashflow Generator_DUB.xlsm]12 - US83162CQL09!R2C9</stp>
        <tr r="I2" s="37"/>
      </tp>
      <tp>
        <v>4.8599999999999994</v>
        <stp/>
        <stp>##V3_BDPV12</stp>
        <stp>US83162CQS51 mtge ISIN</stp>
        <stp>MTG_WAL</stp>
        <stp>[NY only SBA Bonds_Cashflow Generator_DUB.xlsm]WALs!R5C5</stp>
        <stp xml:space="preserve">ALLOW_DYNAMIC_CASHFLOW_CALCS </stp>
        <stp>Y</stp>
        <stp>MTG PREPAY SPEED</stp>
        <stp>5</stp>
        <stp>MTG PREPAY TYP</stp>
        <stp>CPR</stp>
        <tr r="E5" s="49"/>
      </tp>
      <tp>
        <v>4.3899999999999997</v>
        <stp/>
        <stp>##V3_BDPV12</stp>
        <stp>US83162CPX55 mtge ISIN</stp>
        <stp>MTG_WAL</stp>
        <stp>[NY only SBA Bonds_Cashflow Generator_DUB.xlsm]WALs!R15C5</stp>
        <stp xml:space="preserve">ALLOW_DYNAMIC_CASHFLOW_CALCS </stp>
        <stp>Y</stp>
        <stp>MTG PREPAY SPEED</stp>
        <stp>5</stp>
        <stp>MTG PREPAY TYP</stp>
        <stp>CPR</stp>
        <tr r="E15" s="49"/>
      </tp>
      <tp>
        <v>5.1199999999999992</v>
        <stp/>
        <stp>##V3_BDPV12</stp>
        <stp>US83162CQX47 mtge ISIN</stp>
        <stp>MTG_WAL</stp>
        <stp>[NY only SBA Bonds_Cashflow Generator_DUB.xlsm]WALs!R6C5</stp>
        <stp xml:space="preserve">ALLOW_DYNAMIC_CASHFLOW_CALCS </stp>
        <stp>Y</stp>
        <stp>MTG PREPAY SPEED</stp>
        <stp>5</stp>
        <stp>MTG PREPAY TYP</stp>
        <stp>CPR</stp>
        <tr r="E6" s="49"/>
      </tp>
      <tp>
        <v>5</v>
        <stp/>
        <stp>##V3_BDPV12</stp>
        <stp>US83162CRA35 mtge ISIN</stp>
        <stp>MTG_WAL</stp>
        <stp>[NY only SBA Bonds_Cashflow Generator_DUB.xlsm]WALs!R4C5</stp>
        <stp xml:space="preserve">ALLOW_DYNAMIC_CASHFLOW_CALCS </stp>
        <stp>Y</stp>
        <stp>MTG PREPAY SPEED</stp>
        <stp>5</stp>
        <stp>MTG PREPAY TYP</stp>
        <stp>CPR</stp>
        <tr r="E4" s="49"/>
      </tp>
      <tp>
        <v>3.84</v>
        <stp/>
        <stp>##V3_BDPV12</stp>
        <stp>US83162CNU35 mtge ISIN</stp>
        <stp>MTG_WAL</stp>
        <stp>[NY only SBA Bonds_Cashflow Generator_DUB.xlsm]WALs!R7C5</stp>
        <stp xml:space="preserve">ALLOW_DYNAMIC_CASHFLOW_CALCS </stp>
        <stp>Y</stp>
        <stp>MTG PREPAY SPEED</stp>
        <stp>5</stp>
        <stp>MTG PREPAY TYP</stp>
        <stp>CPR</stp>
        <tr r="E7" s="49"/>
      </tp>
      <tp>
        <v>5.21</v>
        <stp/>
        <stp>##V3_BDPV12</stp>
        <stp>US83162CQY20 mtge ISIN</stp>
        <stp>MTG_WAL</stp>
        <stp>[NY only SBA Bonds_Cashflow Generator_DUB.xlsm]WALs!R10C5</stp>
        <stp xml:space="preserve">ALLOW_DYNAMIC_CASHFLOW_CALCS </stp>
        <stp>Y</stp>
        <stp>MTG PREPAY SPEED</stp>
        <stp>5</stp>
        <stp>MTG PREPAY TYP</stp>
        <stp>CPR</stp>
        <tr r="E10" s="49"/>
      </tp>
      <tp>
        <v>3.17</v>
        <stp/>
        <stp>##V3_BDPV12</stp>
        <stp>US83162CMR15 mtge ISIN</stp>
        <stp>MTG_WAL</stp>
        <stp>[NY only SBA Bonds_Cashflow Generator_DUB.xlsm]WALs!R9C5</stp>
        <stp xml:space="preserve">ALLOW_DYNAMIC_CASHFLOW_CALCS </stp>
        <stp>Y</stp>
        <stp>MTG PREPAY SPEED</stp>
        <stp>5</stp>
        <stp>MTG PREPAY TYP</stp>
        <stp>CPR</stp>
        <tr r="E9" s="49"/>
      </tp>
      <tp>
        <v>3.9099999999999997</v>
        <stp/>
        <stp>##V3_BDPV12</stp>
        <stp>US83162CNW90 mtge ISIN</stp>
        <stp>MTG_WAL</stp>
        <stp>[NY only SBA Bonds_Cashflow Generator_DUB.xlsm]WALs!R13C5</stp>
        <stp xml:space="preserve">ALLOW_DYNAMIC_CASHFLOW_CALCS </stp>
        <stp>Y</stp>
        <stp>MTG PREPAY SPEED</stp>
        <stp>5</stp>
        <stp>MTG PREPAY TYP</stp>
        <stp>CPR</stp>
        <tr r="E13" s="49"/>
      </tp>
      <tp>
        <v>5.35</v>
        <stp/>
        <stp>##V3_BDPV12</stp>
        <stp>US83162CRG05 mtge ISIN</stp>
        <stp>MTG_WAL</stp>
        <stp>[NY only SBA Bonds_Cashflow Generator_DUB.xlsm]WALs!R3C5</stp>
        <stp xml:space="preserve">ALLOW_DYNAMIC_CASHFLOW_CALCS </stp>
        <stp>Y</stp>
        <stp>MTG PREPAY SPEED</stp>
        <stp>5</stp>
        <stp>MTG PREPAY TYP</stp>
        <stp>CPR</stp>
        <tr r="E3" s="49"/>
      </tp>
      <tp t="s">
        <v>11/07/2007</v>
        <stp/>
        <stp>##V3_BDPV12</stp>
        <stp>83162CRD7 Mtge Cusip</stp>
        <stp>FIRST_SETTLE_DT</stp>
        <stp>[NY only SBA Bonds_Cashflow Generator_DUB.xlsm]09 - 83162CRD7!R2C10</stp>
        <tr r="J2" s="35"/>
      </tp>
      <tp t="s">
        <v>30/360(104)</v>
        <stp/>
        <stp>##V3_BDPV12</stp>
        <stp>83162CQL0 Mtge Cusip</stp>
        <stp>DAY_CNT_DES</stp>
        <stp>[NY only SBA Bonds_Cashflow Generator_DUB.xlsm]12 - US83162CQL09!R2C14</stp>
        <tr r="N2" s="37"/>
      </tp>
      <tp t="s">
        <v>30/360(104)</v>
        <stp/>
        <stp>##V3_BDPV12</stp>
        <stp>83162CNW9 Mtge Cusip</stp>
        <stp>DAY_CNT_DES</stp>
        <stp>[NY only SBA Bonds_Cashflow Generator_DUB.xlsm]11 - US83162CNW90!R2C14</stp>
        <tr r="N2" s="25"/>
      </tp>
      <tp>
        <v>5.21</v>
        <stp/>
        <stp>##V3_BDPV12</stp>
        <stp>83162CQA4 Mtge Cusip</stp>
        <stp>cpn</stp>
        <stp>[NY only SBA Bonds_Cashflow Generator_DUB.xlsm]15 - US83162CQA44!R2C15</stp>
        <tr r="O2" s="38"/>
      </tp>
      <tp>
        <v>5.78</v>
        <stp/>
        <stp>##V3_BDPV12</stp>
        <stp>83162CRE5 Mtge Cusip</stp>
        <stp>cpn</stp>
        <stp>[NY only SBA Bonds_Cashflow Generator_DUB.xlsm]20 - US83162CRE56!R2C15</stp>
        <tr r="O2" s="43"/>
      </tp>
      <tp>
        <v>5.3599999999999994</v>
        <stp/>
        <stp>##V3_BDPV12</stp>
        <stp>83162CPX5 Mtge Cusip</stp>
        <stp>cpn</stp>
        <stp>[NY only SBA Bonds_Cashflow Generator_DUB.xlsm]13 - US83162CPX55!R2C15</stp>
        <tr r="O2" s="27"/>
      </tp>
      <tp t="s">
        <v>30/360(104)</v>
        <stp/>
        <stp>##V3_BDPV12</stp>
        <stp>83162CQV8 Mtge Cusip</stp>
        <stp>DAY_CNT_DES</stp>
        <stp>[NY only SBA Bonds_Cashflow Generator_DUB.xlsm]10 - US83162CQV80!R2C14</stp>
        <tr r="N2" s="36"/>
      </tp>
      <tp>
        <v>42461</v>
        <stp/>
        <stp>##V3_BDSV12</stp>
        <stp>83162CPV9 Mtge Cusip</stp>
        <stp>MTG_HIST_FACT</stp>
        <stp>[NY only SBA Bonds_Cashflow Generator_DUB.xlsm]06- US83162CPV99!R12C1</stp>
        <stp>cols=2;rows=22</stp>
        <tr r="A12" s="26"/>
      </tp>
      <tp>
        <v>5.64</v>
        <stp/>
        <stp>##V3_BDPV12</stp>
        <stp>83162CQE6 Mtge Cusip</stp>
        <stp>cpn</stp>
        <stp>[NY only SBA Bonds_Cashflow Generator_DUB.xlsm]14 - US83162CQE65!R2C15</stp>
        <tr r="O2" s="28"/>
      </tp>
      <tp>
        <v>5.3199999999999994</v>
        <stp/>
        <stp>##V3_BDPV12</stp>
        <stp>83162CQY2 Mtge Cusip</stp>
        <stp>cpn</stp>
        <stp>[NY only SBA Bonds_Cashflow Generator_DUB.xlsm]08 - US83162CQY20!R2C15</stp>
        <tr r="O2" s="34"/>
      </tp>
      <tp>
        <v>5.23</v>
        <stp/>
        <stp>##V3_BDPV12</stp>
        <stp>83162CQX4 Mtge Cusip</stp>
        <stp>cpn</stp>
        <stp>[NY only SBA Bonds_Cashflow Generator_DUB.xlsm]04 - US83162CQX47!R2C15</stp>
        <tr r="O2" s="32"/>
      </tp>
      <tp t="s">
        <v>30/360(104)</v>
        <stp/>
        <stp>##V3_BDPV12</stp>
        <stp>83162CPY3 Mtge Cusip</stp>
        <stp>DAY_CNT_DES</stp>
        <stp>[NY only SBA Bonds_Cashflow Generator_DUB.xlsm]17 - US83162CPY39!R2C14</stp>
        <tr r="N2" s="40"/>
      </tp>
      <tp>
        <v>5.1199999999999992</v>
        <stp/>
        <stp>##V3_BDPV12</stp>
        <stp>83162CQS5 Mtge Cusip</stp>
        <stp>cpn</stp>
        <stp>[NY only SBA Bonds_Cashflow Generator_DUB.xlsm]03 - US83162CQS51!R2C15</stp>
        <tr r="O2" s="31"/>
      </tp>
      <tp>
        <v>5.35</v>
        <stp/>
        <stp>##V3_BDPV12</stp>
        <stp>83162CQB2 Mtge Cusip</stp>
        <stp>cpn</stp>
        <stp>[NY only SBA Bonds_Cashflow Generator_DUB.xlsm]18 - US83162CQB27!R2C15</stp>
        <tr r="O2" s="41"/>
      </tp>
      <tp>
        <v>5.0999999999999996</v>
        <stp/>
        <stp>##V3_BDPV12</stp>
        <stp>83162CMR1 Mtge Cusip</stp>
        <stp>cpn</stp>
        <stp>[NY only SBA Bonds_Cashflow Generator_DUB.xlsm]07 - US83162CMR15!R2C15</stp>
        <tr r="O2" s="23"/>
      </tp>
      <tp t="s">
        <v>30/360(104)</v>
        <stp/>
        <stp>##V3_BDPV12</stp>
        <stp>83162CPV9 Mtge Cusip</stp>
        <stp>DAY_CNT_DES</stp>
        <stp>[NY only SBA Bonds_Cashflow Generator_DUB.xlsm]06- US83162CPV99!R2C14</stp>
        <tr r="N2" s="26"/>
      </tp>
      <tp>
        <v>5.56</v>
        <stp/>
        <stp>##V3_BDPV12</stp>
        <stp>83162CRG0 Mtge Cusip</stp>
        <stp>cpn</stp>
        <stp>[NY only SBA Bonds_Cashflow Generator_DUB.xlsm]01 - US83162CRG05!R2C15</stp>
        <tr r="O2" s="29"/>
      </tp>
      <tp>
        <v>5.31</v>
        <stp/>
        <stp>##V3_BDPV12</stp>
        <stp>83162CRA3 Mtge Cusip</stp>
        <stp>cpn</stp>
        <stp>[NY only SBA Bonds_Cashflow Generator_DUB.xlsm]02 - US83162CRA35!R2C15</stp>
        <tr r="O2" s="30"/>
      </tp>
      <tp>
        <v>5.52</v>
        <stp/>
        <stp>##V3_BDPV12</stp>
        <stp>83162CNU3 Mtge Cusip</stp>
        <stp>cpn</stp>
        <stp>[NY only SBA Bonds_Cashflow Generator_DUB.xlsm]05 - US83162CNU35!R2C15</stp>
        <tr r="O2" s="24"/>
      </tp>
      <tp t="s">
        <v>30/360(104)</v>
        <stp/>
        <stp>##V3_BDPV12</stp>
        <stp>83162CQH9 Mtge Cusip</stp>
        <stp>DAY_CNT_DES</stp>
        <stp>[NY only SBA Bonds_Cashflow Generator_DUB.xlsm]19 - US83162CQH96!R2C14</stp>
        <tr r="N2" s="42"/>
      </tp>
      <tp>
        <v>4.76</v>
        <stp/>
        <stp>##V3_BDPV12</stp>
        <stp>83162CPU1 Mtge Cusip</stp>
        <stp>cpn</stp>
        <stp>[NY only SBA Bonds_Cashflow Generator_DUB.xlsm]16 - US83162CPU17!R2C15</stp>
        <tr r="O2" s="39"/>
      </tp>
      <tp>
        <v>5.87</v>
        <stp/>
        <stp>##V3_BDPV12</stp>
        <stp>83162CQG1 Mtge Cusip</stp>
        <stp>cpn</stp>
        <stp>[NY only SBA Bonds_Cashflow Generator_DUB.xlsm]21 - US83162CQG14!R2C15</stp>
        <tr r="O2" s="45"/>
      </tp>
      <tp>
        <v>5.7</v>
        <stp/>
        <stp>##V3_BDPV12</stp>
        <stp>83162CQL0 Mtge Cusip</stp>
        <stp>cpn</stp>
        <stp>[NY only SBA Bonds_Cashflow Generator_DUB.xlsm]12 - US83162CQL09!R2C15</stp>
        <tr r="O2" s="37"/>
      </tp>
      <tp>
        <v>5.1899999999999995</v>
        <stp/>
        <stp>##V3_BDPV12</stp>
        <stp>83162CNW9 Mtge Cusip</stp>
        <stp>cpn</stp>
        <stp>[NY only SBA Bonds_Cashflow Generator_DUB.xlsm]11 - US83162CNW90!R2C15</stp>
        <tr r="O2" s="25"/>
      </tp>
      <tp>
        <v>5.49</v>
        <stp/>
        <stp>##V3_BDPV12</stp>
        <stp>83162CQV8 Mtge Cusip</stp>
        <stp>cpn</stp>
        <stp>[NY only SBA Bonds_Cashflow Generator_DUB.xlsm]10 - US83162CQV80!R2C15</stp>
        <tr r="O2" s="36"/>
      </tp>
      <tp t="s">
        <v>30/360(104)</v>
        <stp/>
        <stp>##V3_BDPV12</stp>
        <stp>83162CQA4 Mtge Cusip</stp>
        <stp>DAY_CNT_DES</stp>
        <stp>[NY only SBA Bonds_Cashflow Generator_DUB.xlsm]15 - US83162CQA44!R2C14</stp>
        <tr r="N2" s="38"/>
      </tp>
      <tp t="s">
        <v>30/360(104)</v>
        <stp/>
        <stp>##V3_BDPV12</stp>
        <stp>83162CRE5 Mtge Cusip</stp>
        <stp>DAY_CNT_DES</stp>
        <stp>[NY only SBA Bonds_Cashflow Generator_DUB.xlsm]20 - US83162CRE56!R2C14</stp>
        <tr r="N2" s="43"/>
      </tp>
      <tp t="s">
        <v>30/360(104)</v>
        <stp/>
        <stp>##V3_BDPV12</stp>
        <stp>83162CPX5 Mtge Cusip</stp>
        <stp>DAY_CNT_DES</stp>
        <stp>[NY only SBA Bonds_Cashflow Generator_DUB.xlsm]13 - US83162CPX55!R2C14</stp>
        <tr r="N2" s="27"/>
      </tp>
      <tp t="s">
        <v>30/360(104)</v>
        <stp/>
        <stp>##V3_BDPV12</stp>
        <stp>83162CQE6 Mtge Cusip</stp>
        <stp>DAY_CNT_DES</stp>
        <stp>[NY only SBA Bonds_Cashflow Generator_DUB.xlsm]14 - US83162CQE65!R2C14</stp>
        <tr r="N2" s="28"/>
      </tp>
      <tp t="s">
        <v>30/360(104)</v>
        <stp/>
        <stp>##V3_BDPV12</stp>
        <stp>83162CQY2 Mtge Cusip</stp>
        <stp>DAY_CNT_DES</stp>
        <stp>[NY only SBA Bonds_Cashflow Generator_DUB.xlsm]08 - US83162CQY20!R2C14</stp>
        <tr r="N2" s="34"/>
      </tp>
      <tp>
        <v>5.39</v>
        <stp/>
        <stp>##V3_BDPV12</stp>
        <stp>83162CPY3 Mtge Cusip</stp>
        <stp>cpn</stp>
        <stp>[NY only SBA Bonds_Cashflow Generator_DUB.xlsm]17 - US83162CPY39!R2C15</stp>
        <tr r="O2" s="40"/>
      </tp>
      <tp t="s">
        <v>30/360(104)</v>
        <stp/>
        <stp>##V3_BDPV12</stp>
        <stp>83162CQX4 Mtge Cusip</stp>
        <stp>DAY_CNT_DES</stp>
        <stp>[NY only SBA Bonds_Cashflow Generator_DUB.xlsm]04 - US83162CQX47!R2C14</stp>
        <tr r="N2" s="32"/>
      </tp>
      <tp t="s">
        <v>30/360(104)</v>
        <stp/>
        <stp>##V3_BDPV12</stp>
        <stp>83162CQS5 Mtge Cusip</stp>
        <stp>DAY_CNT_DES</stp>
        <stp>[NY only SBA Bonds_Cashflow Generator_DUB.xlsm]03 - US83162CQS51!R2C14</stp>
        <tr r="N2" s="31"/>
      </tp>
      <tp t="s">
        <v>30/360(104)</v>
        <stp/>
        <stp>##V3_BDPV12</stp>
        <stp>83162CQB2 Mtge Cusip</stp>
        <stp>DAY_CNT_DES</stp>
        <stp>[NY only SBA Bonds_Cashflow Generator_DUB.xlsm]18 - US83162CQB27!R2C14</stp>
        <tr r="N2" s="41"/>
      </tp>
      <tp t="s">
        <v>30/360(104)</v>
        <stp/>
        <stp>##V3_BDPV12</stp>
        <stp>83162CMR1 Mtge Cusip</stp>
        <stp>DAY_CNT_DES</stp>
        <stp>[NY only SBA Bonds_Cashflow Generator_DUB.xlsm]07 - US83162CMR15!R2C14</stp>
        <tr r="N2" s="23"/>
      </tp>
      <tp t="s">
        <v>30/360(104)</v>
        <stp/>
        <stp>##V3_BDPV12</stp>
        <stp>83162CRG0 Mtge Cusip</stp>
        <stp>DAY_CNT_DES</stp>
        <stp>[NY only SBA Bonds_Cashflow Generator_DUB.xlsm]01 - US83162CRG05!R2C14</stp>
        <tr r="N2" s="29"/>
      </tp>
      <tp>
        <v>5.8199999999999994</v>
        <stp/>
        <stp>##V3_BDPV12</stp>
        <stp>83162CQH9 Mtge Cusip</stp>
        <stp>cpn</stp>
        <stp>[NY only SBA Bonds_Cashflow Generator_DUB.xlsm]19 - US83162CQH96!R2C15</stp>
        <tr r="O2" s="42"/>
      </tp>
      <tp t="s">
        <v>30/360(104)</v>
        <stp/>
        <stp>##V3_BDPV12</stp>
        <stp>83162CRA3 Mtge Cusip</stp>
        <stp>DAY_CNT_DES</stp>
        <stp>[NY only SBA Bonds_Cashflow Generator_DUB.xlsm]02 - US83162CRA35!R2C14</stp>
        <tr r="N2" s="30"/>
      </tp>
      <tp t="s">
        <v>30/360(104)</v>
        <stp/>
        <stp>##V3_BDPV12</stp>
        <stp>83162CNU3 Mtge Cusip</stp>
        <stp>DAY_CNT_DES</stp>
        <stp>[NY only SBA Bonds_Cashflow Generator_DUB.xlsm]05 - US83162CNU35!R2C14</stp>
        <tr r="N2" s="24"/>
      </tp>
      <tp t="s">
        <v>30/360(104)</v>
        <stp/>
        <stp>##V3_BDPV12</stp>
        <stp>83162CPU1 Mtge Cusip</stp>
        <stp>DAY_CNT_DES</stp>
        <stp>[NY only SBA Bonds_Cashflow Generator_DUB.xlsm]16 - US83162CPU17!R2C14</stp>
        <tr r="N2" s="39"/>
      </tp>
      <tp t="s">
        <v>30/360(104)</v>
        <stp/>
        <stp>##V3_BDPV12</stp>
        <stp>83162CQG1 Mtge Cusip</stp>
        <stp>DAY_CNT_DES</stp>
        <stp>[NY only SBA Bonds_Cashflow Generator_DUB.xlsm]21 - US83162CQG14!R2C14</stp>
        <tr r="N2" s="4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95250</xdr:rowOff>
    </xdr:from>
    <xdr:to>
      <xdr:col>0</xdr:col>
      <xdr:colOff>0</xdr:colOff>
      <xdr:row>23</xdr:row>
      <xdr:rowOff>123825</xdr:rowOff>
    </xdr:to>
    <xdr:sp macro="[0]!COVER" textlink="">
      <xdr:nvSpPr>
        <xdr:cNvPr id="19457" name="AutoShape 1"/>
        <xdr:cNvSpPr>
          <a:spLocks noChangeArrowheads="1"/>
        </xdr:cNvSpPr>
      </xdr:nvSpPr>
      <xdr:spPr bwMode="auto">
        <a:xfrm>
          <a:off x="0" y="4181475"/>
          <a:ext cx="0" cy="19050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0</xdr:colOff>
      <xdr:row>23</xdr:row>
      <xdr:rowOff>123825</xdr:rowOff>
    </xdr:to>
    <xdr:sp macro="[0]!COVER" textlink="">
      <xdr:nvSpPr>
        <xdr:cNvPr id="19458" name="AutoShape 2"/>
        <xdr:cNvSpPr>
          <a:spLocks noChangeArrowheads="1"/>
        </xdr:cNvSpPr>
      </xdr:nvSpPr>
      <xdr:spPr bwMode="auto">
        <a:xfrm>
          <a:off x="0" y="4181475"/>
          <a:ext cx="0" cy="19050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0</xdr:col>
      <xdr:colOff>0</xdr:colOff>
      <xdr:row>22</xdr:row>
      <xdr:rowOff>47625</xdr:rowOff>
    </xdr:from>
    <xdr:to>
      <xdr:col>0</xdr:col>
      <xdr:colOff>0</xdr:colOff>
      <xdr:row>23</xdr:row>
      <xdr:rowOff>85725</xdr:rowOff>
    </xdr:to>
    <xdr:sp macro="[0]!COVER" textlink="">
      <xdr:nvSpPr>
        <xdr:cNvPr id="19461" name="AutoShape 5"/>
        <xdr:cNvSpPr>
          <a:spLocks noChangeArrowheads="1"/>
        </xdr:cNvSpPr>
      </xdr:nvSpPr>
      <xdr:spPr bwMode="auto">
        <a:xfrm>
          <a:off x="0" y="4133850"/>
          <a:ext cx="0" cy="200025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0</xdr:col>
      <xdr:colOff>0</xdr:colOff>
      <xdr:row>22</xdr:row>
      <xdr:rowOff>47625</xdr:rowOff>
    </xdr:from>
    <xdr:to>
      <xdr:col>0</xdr:col>
      <xdr:colOff>0</xdr:colOff>
      <xdr:row>23</xdr:row>
      <xdr:rowOff>85725</xdr:rowOff>
    </xdr:to>
    <xdr:sp macro="[0]!COVER" textlink="">
      <xdr:nvSpPr>
        <xdr:cNvPr id="19462" name="AutoShape 6"/>
        <xdr:cNvSpPr>
          <a:spLocks noChangeArrowheads="1"/>
        </xdr:cNvSpPr>
      </xdr:nvSpPr>
      <xdr:spPr bwMode="auto">
        <a:xfrm>
          <a:off x="0" y="4133850"/>
          <a:ext cx="0" cy="200025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0</xdr:col>
      <xdr:colOff>0</xdr:colOff>
      <xdr:row>22</xdr:row>
      <xdr:rowOff>47625</xdr:rowOff>
    </xdr:from>
    <xdr:to>
      <xdr:col>0</xdr:col>
      <xdr:colOff>0</xdr:colOff>
      <xdr:row>23</xdr:row>
      <xdr:rowOff>85725</xdr:rowOff>
    </xdr:to>
    <xdr:sp macro="[0]!COVER" textlink="">
      <xdr:nvSpPr>
        <xdr:cNvPr id="19463" name="AutoShape 7"/>
        <xdr:cNvSpPr>
          <a:spLocks noChangeArrowheads="1"/>
        </xdr:cNvSpPr>
      </xdr:nvSpPr>
      <xdr:spPr bwMode="auto">
        <a:xfrm>
          <a:off x="0" y="4133850"/>
          <a:ext cx="0" cy="200025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0</xdr:col>
      <xdr:colOff>0</xdr:colOff>
      <xdr:row>22</xdr:row>
      <xdr:rowOff>47625</xdr:rowOff>
    </xdr:from>
    <xdr:to>
      <xdr:col>0</xdr:col>
      <xdr:colOff>0</xdr:colOff>
      <xdr:row>23</xdr:row>
      <xdr:rowOff>85725</xdr:rowOff>
    </xdr:to>
    <xdr:sp macro="[0]!COVER" textlink="">
      <xdr:nvSpPr>
        <xdr:cNvPr id="19464" name="AutoShape 8"/>
        <xdr:cNvSpPr>
          <a:spLocks noChangeArrowheads="1"/>
        </xdr:cNvSpPr>
      </xdr:nvSpPr>
      <xdr:spPr bwMode="auto">
        <a:xfrm>
          <a:off x="0" y="4133850"/>
          <a:ext cx="0" cy="200025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0</xdr:col>
      <xdr:colOff>0</xdr:colOff>
      <xdr:row>22</xdr:row>
      <xdr:rowOff>47625</xdr:rowOff>
    </xdr:from>
    <xdr:to>
      <xdr:col>0</xdr:col>
      <xdr:colOff>0</xdr:colOff>
      <xdr:row>23</xdr:row>
      <xdr:rowOff>85725</xdr:rowOff>
    </xdr:to>
    <xdr:sp macro="[0]!COVER" textlink="">
      <xdr:nvSpPr>
        <xdr:cNvPr id="19465" name="AutoShape 9"/>
        <xdr:cNvSpPr>
          <a:spLocks noChangeArrowheads="1"/>
        </xdr:cNvSpPr>
      </xdr:nvSpPr>
      <xdr:spPr bwMode="auto">
        <a:xfrm>
          <a:off x="0" y="4133850"/>
          <a:ext cx="0" cy="200025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0</xdr:col>
      <xdr:colOff>0</xdr:colOff>
      <xdr:row>22</xdr:row>
      <xdr:rowOff>47625</xdr:rowOff>
    </xdr:from>
    <xdr:to>
      <xdr:col>0</xdr:col>
      <xdr:colOff>0</xdr:colOff>
      <xdr:row>23</xdr:row>
      <xdr:rowOff>85725</xdr:rowOff>
    </xdr:to>
    <xdr:sp macro="[0]!COVER" textlink="">
      <xdr:nvSpPr>
        <xdr:cNvPr id="19466" name="AutoShape 10"/>
        <xdr:cNvSpPr>
          <a:spLocks noChangeArrowheads="1"/>
        </xdr:cNvSpPr>
      </xdr:nvSpPr>
      <xdr:spPr bwMode="auto">
        <a:xfrm>
          <a:off x="0" y="4133850"/>
          <a:ext cx="0" cy="200025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0</xdr:col>
      <xdr:colOff>0</xdr:colOff>
      <xdr:row>22</xdr:row>
      <xdr:rowOff>47625</xdr:rowOff>
    </xdr:from>
    <xdr:to>
      <xdr:col>0</xdr:col>
      <xdr:colOff>0</xdr:colOff>
      <xdr:row>23</xdr:row>
      <xdr:rowOff>85725</xdr:rowOff>
    </xdr:to>
    <xdr:sp macro="[0]!COVER" textlink="">
      <xdr:nvSpPr>
        <xdr:cNvPr id="19467" name="AutoShape 11"/>
        <xdr:cNvSpPr>
          <a:spLocks noChangeArrowheads="1"/>
        </xdr:cNvSpPr>
      </xdr:nvSpPr>
      <xdr:spPr bwMode="auto">
        <a:xfrm>
          <a:off x="0" y="4133850"/>
          <a:ext cx="0" cy="200025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10</xdr:row>
          <xdr:rowOff>76200</xdr:rowOff>
        </xdr:from>
        <xdr:to>
          <xdr:col>11</xdr:col>
          <xdr:colOff>371475</xdr:colOff>
          <xdr:row>12</xdr:row>
          <xdr:rowOff>95250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6</xdr:row>
          <xdr:rowOff>85725</xdr:rowOff>
        </xdr:from>
        <xdr:to>
          <xdr:col>11</xdr:col>
          <xdr:colOff>400050</xdr:colOff>
          <xdr:row>8</xdr:row>
          <xdr:rowOff>104775</xdr:rowOff>
        </xdr:to>
        <xdr:sp macro="" textlink="">
          <xdr:nvSpPr>
            <xdr:cNvPr id="41986" name="CommandButton21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</xdr:row>
          <xdr:rowOff>66675</xdr:rowOff>
        </xdr:from>
        <xdr:to>
          <xdr:col>13</xdr:col>
          <xdr:colOff>133350</xdr:colOff>
          <xdr:row>3</xdr:row>
          <xdr:rowOff>95250</xdr:rowOff>
        </xdr:to>
        <xdr:sp macro="" textlink="">
          <xdr:nvSpPr>
            <xdr:cNvPr id="20496" name="CommandButton1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49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0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1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2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3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4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5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6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7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8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59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60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61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7662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73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74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75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76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77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78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79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80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81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82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83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84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85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8686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697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698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699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0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1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2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3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4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5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6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7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8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09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9710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1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2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3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4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5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6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7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8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29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30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31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32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33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0734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29" name="AutoShape 1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0" name="AutoShape 2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1" name="AutoShape 3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2" name="AutoShape 4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3" name="AutoShape 5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4" name="AutoShape 6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5" name="AutoShape 7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6" name="AutoShape 8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7" name="AutoShape 9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8" name="AutoShape 10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39" name="AutoShape 11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40" name="AutoShape 12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41" name="AutoShape 13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2542" name="AutoShape 14"/>
        <xdr:cNvSpPr>
          <a:spLocks noChangeArrowheads="1"/>
        </xdr:cNvSpPr>
      </xdr:nvSpPr>
      <xdr:spPr bwMode="auto">
        <a:xfrm>
          <a:off x="3343275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77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78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79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0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1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2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3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4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5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6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7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8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89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4590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53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54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55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56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57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58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59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60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61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62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63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64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65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3566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45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46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47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48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49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0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1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2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3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4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5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6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7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1758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1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2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3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4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5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6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7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8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09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10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11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12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13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5614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25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26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27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28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29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0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1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2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3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4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5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6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7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26638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69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0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1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2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3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4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5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6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7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8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79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80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81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2782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793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794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795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796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797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798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799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800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801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802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803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804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805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3806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17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18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19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0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1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2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3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4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5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6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7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8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29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4830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1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2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3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4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5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6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7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8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49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50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51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52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53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5854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65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66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67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68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69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0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1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2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3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4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5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6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7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6878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89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0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1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2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3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4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5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6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7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8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899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900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901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7902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37" name="AutoShape 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38" name="AutoShape 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39" name="AutoShape 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0" name="AutoShape 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1" name="AutoShape 5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2" name="AutoShape 6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3" name="AutoShape 7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4" name="AutoShape 8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5" name="AutoShape 9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6" name="AutoShape 10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7" name="AutoShape 11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8" name="AutoShape 12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49" name="AutoShape 13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  <xdr:twoCellAnchor>
    <xdr:from>
      <xdr:col>3</xdr:col>
      <xdr:colOff>304800</xdr:colOff>
      <xdr:row>0</xdr:row>
      <xdr:rowOff>0</xdr:rowOff>
    </xdr:from>
    <xdr:to>
      <xdr:col>3</xdr:col>
      <xdr:colOff>933450</xdr:colOff>
      <xdr:row>0</xdr:row>
      <xdr:rowOff>0</xdr:rowOff>
    </xdr:to>
    <xdr:sp macro="[0]!COVER" textlink="">
      <xdr:nvSpPr>
        <xdr:cNvPr id="39950" name="AutoShape 14"/>
        <xdr:cNvSpPr>
          <a:spLocks noChangeArrowheads="1"/>
        </xdr:cNvSpPr>
      </xdr:nvSpPr>
      <xdr:spPr bwMode="auto">
        <a:xfrm>
          <a:off x="3543300" y="0"/>
          <a:ext cx="628650" cy="0"/>
        </a:xfrm>
        <a:prstGeom prst="bevel">
          <a:avLst>
            <a:gd name="adj" fmla="val 12500"/>
          </a:avLst>
        </a:prstGeom>
        <a:solidFill>
          <a:srgbClr val="E7E7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COVER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kennedy" refreshedDate="40521.582116203703" createdVersion="1" refreshedVersion="2" recordCount="496" upgradeOnRefresh="1">
  <cacheSource type="worksheet">
    <worksheetSource ref="H6:N90" sheet="Bond Position per Summit"/>
  </cacheSource>
  <cacheFields count="11">
    <cacheField name="TradeId" numFmtId="0">
      <sharedItems containsString="0" containsBlank="1" containsNumber="1" containsInteger="1" minValue="24778" maxValue="155137"/>
    </cacheField>
    <cacheField name="Type" numFmtId="0">
      <sharedItems containsBlank="1" count="2">
        <s v="BOND"/>
        <m/>
      </sharedItems>
    </cacheField>
    <cacheField name="Company" numFmtId="0">
      <sharedItems containsBlank="1" count="4">
        <s v="DEPFAPLC_NY"/>
        <s v="DEPFA_EUR"/>
        <s v="DEPFA_ACS"/>
        <m/>
      </sharedItems>
    </cacheField>
    <cacheField name="PorS" numFmtId="0">
      <sharedItems containsBlank="1" count="3">
        <s v="P"/>
        <s v="S"/>
        <m/>
      </sharedItems>
    </cacheField>
    <cacheField name="Book" numFmtId="0">
      <sharedItems containsBlank="1" count="9">
        <s v="AFS_GEN_U"/>
        <s v="LN_DES_GEN_U"/>
        <s v="BANKING_H_A"/>
        <s v="LN_RC_GEN_H"/>
        <s v="LN_RC_GEN_U"/>
        <s v="LIAB_LINK_U"/>
        <s v="LN_RC_LINK_U"/>
        <s v="LN_RC_PD1"/>
        <m/>
      </sharedItems>
    </cacheField>
    <cacheField name="Desk" numFmtId="0">
      <sharedItems containsBlank="1" count="8">
        <s v="FE_GIC"/>
        <s v="AM_GICS_F"/>
        <s v="BANK"/>
        <s v="TR_ASSETS"/>
        <s v="DEPTRANS"/>
        <s v="UP_AGCYSBA_L"/>
        <s v="TR_OPEN"/>
        <m/>
      </sharedItems>
    </cacheField>
    <cacheField name="Currency" numFmtId="0">
      <sharedItems containsBlank="1" count="2">
        <s v="USD"/>
        <m/>
      </sharedItems>
    </cacheField>
    <cacheField name="InitialNotional" numFmtId="0">
      <sharedItems containsString="0" containsBlank="1" containsNumber="1" containsInteger="1" minValue="-91000000" maxValue="91000000"/>
    </cacheField>
    <cacheField name="CurrentNotional" numFmtId="0">
      <sharedItems containsString="0" containsBlank="1" containsNumber="1" minValue="-66435950.490000002" maxValue="66435950.490000002"/>
    </cacheField>
    <cacheField name="ISIN" numFmtId="0">
      <sharedItems containsBlank="1" count="23">
        <s v="US83162CQL09"/>
        <s v="83162CRD7"/>
        <s v="US83162CMR15"/>
        <s v="US83162CNU35"/>
        <s v="US83162CPV99"/>
        <s v="US83162CPX55"/>
        <s v="US83162CPY39"/>
        <s v="US83162CQA44"/>
        <s v="US83162CQB27"/>
        <s v="US83162CQE65"/>
        <s v="US83162CQG14"/>
        <s v="US83162CQH96"/>
        <s v="US83162CQV80"/>
        <s v="US83162CQX47"/>
        <s v="US83162CQY20"/>
        <s v="US83162CRA35"/>
        <s v="US83162CRE56"/>
        <s v="US83162CRG05"/>
        <s v="US831641DJ17"/>
        <s v="US83162CPU17"/>
        <s v="US83162CNW90"/>
        <s v="US83162CQS51"/>
        <m/>
      </sharedItems>
    </cacheField>
    <cacheField name="SubType" numFmtId="0">
      <sharedItems containsBlank="1" count="5">
        <s v="GOVT"/>
        <s v="QGOV"/>
        <s v="OTHE"/>
        <s v="MUN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kennedy" refreshedDate="40521.582117245373" createdVersion="1" refreshedVersion="2" recordCount="496" upgradeOnRefresh="1">
  <cacheSource type="worksheet">
    <worksheetSource ref="H6:N90" sheet="Bond Position per Summit"/>
  </cacheSource>
  <cacheFields count="11">
    <cacheField name="TradeId" numFmtId="0">
      <sharedItems containsString="0" containsBlank="1" containsNumber="1" containsInteger="1" minValue="24778" maxValue="155137"/>
    </cacheField>
    <cacheField name="Type" numFmtId="0">
      <sharedItems containsBlank="1" count="2">
        <s v="BOND"/>
        <m/>
      </sharedItems>
    </cacheField>
    <cacheField name="Company" numFmtId="0">
      <sharedItems containsBlank="1" count="4">
        <s v="DEPFAPLC_NY"/>
        <s v="DEPFA_EUR"/>
        <s v="DEPFA_ACS"/>
        <m/>
      </sharedItems>
    </cacheField>
    <cacheField name="PorS" numFmtId="0">
      <sharedItems containsBlank="1" count="3">
        <s v="P"/>
        <s v="S"/>
        <m/>
      </sharedItems>
    </cacheField>
    <cacheField name="Book" numFmtId="0">
      <sharedItems containsBlank="1" count="9">
        <s v="AFS_GEN_U"/>
        <s v="LN_DES_GEN_U"/>
        <s v="BANKING_H_A"/>
        <s v="LN_RC_GEN_H"/>
        <s v="LN_RC_GEN_U"/>
        <s v="LIAB_LINK_U"/>
        <s v="LN_RC_LINK_U"/>
        <s v="LN_RC_PD1"/>
        <m/>
      </sharedItems>
    </cacheField>
    <cacheField name="Desk" numFmtId="0">
      <sharedItems containsBlank="1" count="8">
        <s v="FE_GIC"/>
        <s v="AM_GICS_F"/>
        <s v="BANK"/>
        <s v="TR_ASSETS"/>
        <s v="DEPTRANS"/>
        <s v="UP_AGCYSBA_L"/>
        <s v="TR_OPEN"/>
        <m/>
      </sharedItems>
    </cacheField>
    <cacheField name="Currency" numFmtId="0">
      <sharedItems containsBlank="1" count="2">
        <s v="USD"/>
        <m/>
      </sharedItems>
    </cacheField>
    <cacheField name="InitialNotional" numFmtId="0">
      <sharedItems containsString="0" containsBlank="1" containsNumber="1" containsInteger="1" minValue="-91000000" maxValue="91000000"/>
    </cacheField>
    <cacheField name="CurrentNotional" numFmtId="0">
      <sharedItems containsString="0" containsBlank="1" containsNumber="1" minValue="-66435950.490000002" maxValue="66435950.490000002"/>
    </cacheField>
    <cacheField name="ISIN" numFmtId="0">
      <sharedItems containsBlank="1" count="23">
        <s v="US83162CQL09"/>
        <s v="83162CRD7"/>
        <s v="US83162CMR15"/>
        <s v="US83162CNU35"/>
        <s v="US83162CPV99"/>
        <s v="US83162CPX55"/>
        <s v="US83162CPY39"/>
        <s v="US83162CQA44"/>
        <s v="US83162CQB27"/>
        <s v="US83162CQE65"/>
        <s v="US83162CQG14"/>
        <s v="US83162CQH96"/>
        <s v="US83162CQV80"/>
        <s v="US83162CQX47"/>
        <s v="US83162CQY20"/>
        <s v="US83162CRA35"/>
        <s v="US83162CRE56"/>
        <s v="US83162CRG05"/>
        <s v="US831641DJ17"/>
        <s v="US83162CPU17"/>
        <s v="US83162CNW90"/>
        <s v="US83162CQS51"/>
        <m/>
      </sharedItems>
    </cacheField>
    <cacheField name="SubType" numFmtId="0">
      <sharedItems containsBlank="1" count="5">
        <s v="GOVT"/>
        <s v="QGOV"/>
        <s v="OTHE"/>
        <s v="MUN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kennedy" refreshedDate="40521.582118402781" createdVersion="1" refreshedVersion="2" recordCount="496" upgradeOnRefresh="1">
  <cacheSource type="worksheet">
    <worksheetSource ref="H6:N90" sheet="Bond Position per Summit"/>
  </cacheSource>
  <cacheFields count="11">
    <cacheField name="TradeId" numFmtId="0">
      <sharedItems containsString="0" containsBlank="1" containsNumber="1" containsInteger="1" minValue="24778" maxValue="155137"/>
    </cacheField>
    <cacheField name="Type" numFmtId="0">
      <sharedItems containsBlank="1" count="2">
        <s v="BOND"/>
        <m/>
      </sharedItems>
    </cacheField>
    <cacheField name="Company" numFmtId="0">
      <sharedItems containsBlank="1" count="4">
        <s v="DEPFAPLC_NY"/>
        <s v="DEPFA_EUR"/>
        <s v="DEPFA_ACS"/>
        <m/>
      </sharedItems>
    </cacheField>
    <cacheField name="PorS" numFmtId="0">
      <sharedItems containsBlank="1" count="3">
        <s v="P"/>
        <s v="S"/>
        <m/>
      </sharedItems>
    </cacheField>
    <cacheField name="Book" numFmtId="0">
      <sharedItems containsBlank="1" count="9">
        <s v="AFS_GEN_U"/>
        <s v="LN_DES_GEN_U"/>
        <s v="BANKING_H_A"/>
        <s v="LN_RC_GEN_H"/>
        <s v="LN_RC_GEN_U"/>
        <s v="LIAB_LINK_U"/>
        <s v="LN_RC_LINK_U"/>
        <s v="LN_RC_PD1"/>
        <m/>
      </sharedItems>
    </cacheField>
    <cacheField name="Desk" numFmtId="0">
      <sharedItems containsBlank="1" count="8">
        <s v="FE_GIC"/>
        <s v="AM_GICS_F"/>
        <s v="BANK"/>
        <s v="TR_ASSETS"/>
        <s v="DEPTRANS"/>
        <s v="UP_AGCYSBA_L"/>
        <s v="TR_OPEN"/>
        <m/>
      </sharedItems>
    </cacheField>
    <cacheField name="Currency" numFmtId="0">
      <sharedItems containsBlank="1" count="2">
        <s v="USD"/>
        <m/>
      </sharedItems>
    </cacheField>
    <cacheField name="InitialNotional" numFmtId="0">
      <sharedItems containsString="0" containsBlank="1" containsNumber="1" containsInteger="1" minValue="-91000000" maxValue="91000000"/>
    </cacheField>
    <cacheField name="CurrentNotional" numFmtId="0">
      <sharedItems containsString="0" containsBlank="1" containsNumber="1" minValue="-66435950.490000002" maxValue="66435950.490000002"/>
    </cacheField>
    <cacheField name="ISIN" numFmtId="0">
      <sharedItems containsBlank="1" count="23">
        <s v="US83162CQL09"/>
        <s v="83162CRD7"/>
        <s v="US83162CMR15"/>
        <s v="US83162CNU35"/>
        <s v="US83162CPV99"/>
        <s v="US83162CPX55"/>
        <s v="US83162CPY39"/>
        <s v="US83162CQA44"/>
        <s v="US83162CQB27"/>
        <s v="US83162CQE65"/>
        <s v="US83162CQG14"/>
        <s v="US83162CQH96"/>
        <s v="US83162CQV80"/>
        <s v="US83162CQX47"/>
        <s v="US83162CQY20"/>
        <s v="US83162CRA35"/>
        <s v="US83162CRE56"/>
        <s v="US83162CRG05"/>
        <s v="US831641DJ17"/>
        <s v="US83162CPU17"/>
        <s v="US83162CNW90"/>
        <s v="US83162CQS51"/>
        <m/>
      </sharedItems>
    </cacheField>
    <cacheField name="SubType" numFmtId="0">
      <sharedItems containsBlank="1" count="5">
        <s v="GOVT"/>
        <s v="QGOV"/>
        <s v="OTHE"/>
        <s v="MUN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nkennedy" refreshedDate="40521.582119444443" createdVersion="1" refreshedVersion="2" recordCount="496" upgradeOnRefresh="1">
  <cacheSource type="worksheet">
    <worksheetSource ref="H6:N90" sheet="Bond Position per Summit"/>
  </cacheSource>
  <cacheFields count="11">
    <cacheField name="TradeId" numFmtId="0">
      <sharedItems containsString="0" containsBlank="1" containsNumber="1" containsInteger="1" minValue="24778" maxValue="155137"/>
    </cacheField>
    <cacheField name="Type" numFmtId="0">
      <sharedItems containsBlank="1" count="2">
        <s v="BOND"/>
        <m/>
      </sharedItems>
    </cacheField>
    <cacheField name="Company" numFmtId="0">
      <sharedItems containsBlank="1" count="4">
        <s v="DEPFAPLC_NY"/>
        <s v="DEPFA_EUR"/>
        <s v="DEPFA_ACS"/>
        <m/>
      </sharedItems>
    </cacheField>
    <cacheField name="PorS" numFmtId="0">
      <sharedItems containsBlank="1" count="3">
        <s v="P"/>
        <s v="S"/>
        <m/>
      </sharedItems>
    </cacheField>
    <cacheField name="Book" numFmtId="0">
      <sharedItems containsBlank="1" count="9">
        <s v="AFS_GEN_U"/>
        <s v="LN_DES_GEN_U"/>
        <s v="BANKING_H_A"/>
        <s v="LN_RC_GEN_H"/>
        <s v="LN_RC_GEN_U"/>
        <s v="LIAB_LINK_U"/>
        <s v="LN_RC_LINK_U"/>
        <s v="LN_RC_PD1"/>
        <m/>
      </sharedItems>
    </cacheField>
    <cacheField name="Desk" numFmtId="0">
      <sharedItems containsBlank="1" count="8">
        <s v="FE_GIC"/>
        <s v="AM_GICS_F"/>
        <s v="BANK"/>
        <s v="TR_ASSETS"/>
        <s v="DEPTRANS"/>
        <s v="UP_AGCYSBA_L"/>
        <s v="TR_OPEN"/>
        <m/>
      </sharedItems>
    </cacheField>
    <cacheField name="Currency" numFmtId="0">
      <sharedItems containsBlank="1" count="2">
        <s v="USD"/>
        <m/>
      </sharedItems>
    </cacheField>
    <cacheField name="InitialNotional" numFmtId="0">
      <sharedItems containsString="0" containsBlank="1" containsNumber="1" containsInteger="1" minValue="-91000000" maxValue="91000000"/>
    </cacheField>
    <cacheField name="CurrentNotional" numFmtId="0">
      <sharedItems containsString="0" containsBlank="1" containsNumber="1" minValue="-66435950.490000002" maxValue="66435950.490000002"/>
    </cacheField>
    <cacheField name="ISIN" numFmtId="0">
      <sharedItems containsBlank="1" count="23">
        <s v="US83162CQL09"/>
        <s v="83162CRD7"/>
        <s v="US83162CMR15"/>
        <s v="US83162CNU35"/>
        <s v="US83162CPV99"/>
        <s v="US83162CPX55"/>
        <s v="US83162CPY39"/>
        <s v="US83162CQA44"/>
        <s v="US83162CQB27"/>
        <s v="US83162CQE65"/>
        <s v="US83162CQG14"/>
        <s v="US83162CQH96"/>
        <s v="US83162CQV80"/>
        <s v="US83162CQX47"/>
        <s v="US83162CQY20"/>
        <s v="US83162CRA35"/>
        <s v="US83162CRE56"/>
        <s v="US83162CRG05"/>
        <s v="US831641DJ17"/>
        <s v="US83162CPU17"/>
        <s v="US83162CNW90"/>
        <s v="US83162CQS51"/>
        <m/>
      </sharedItems>
    </cacheField>
    <cacheField name="SubType" numFmtId="0">
      <sharedItems containsBlank="1" count="5">
        <s v="GOVT"/>
        <s v="QGOV"/>
        <s v="OTHE"/>
        <s v="MUN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6">
  <r>
    <n v="55050"/>
    <x v="0"/>
    <x v="0"/>
    <x v="0"/>
    <x v="0"/>
    <x v="0"/>
    <x v="0"/>
    <n v="5000000"/>
    <n v="3389743.3"/>
    <x v="0"/>
    <x v="0"/>
  </r>
  <r>
    <n v="130099"/>
    <x v="0"/>
    <x v="0"/>
    <x v="1"/>
    <x v="0"/>
    <x v="0"/>
    <x v="0"/>
    <n v="-5000000"/>
    <n v="-3389743.3"/>
    <x v="0"/>
    <x v="0"/>
  </r>
  <r>
    <n v="130128"/>
    <x v="0"/>
    <x v="0"/>
    <x v="0"/>
    <x v="1"/>
    <x v="0"/>
    <x v="0"/>
    <n v="5000000"/>
    <n v="3389743.3"/>
    <x v="0"/>
    <x v="0"/>
  </r>
  <r>
    <n v="148452"/>
    <x v="0"/>
    <x v="0"/>
    <x v="1"/>
    <x v="1"/>
    <x v="0"/>
    <x v="0"/>
    <n v="-5000000"/>
    <n v="-3389743.3"/>
    <x v="0"/>
    <x v="0"/>
  </r>
  <r>
    <n v="148917"/>
    <x v="0"/>
    <x v="0"/>
    <x v="0"/>
    <x v="1"/>
    <x v="1"/>
    <x v="0"/>
    <n v="5000000"/>
    <n v="3389743.3"/>
    <x v="0"/>
    <x v="0"/>
  </r>
  <r>
    <n v="58985"/>
    <x v="0"/>
    <x v="0"/>
    <x v="0"/>
    <x v="0"/>
    <x v="0"/>
    <x v="0"/>
    <n v="20000000"/>
    <n v="14689918.4"/>
    <x v="1"/>
    <x v="1"/>
  </r>
  <r>
    <n v="130077"/>
    <x v="0"/>
    <x v="0"/>
    <x v="1"/>
    <x v="0"/>
    <x v="0"/>
    <x v="0"/>
    <n v="-20000000"/>
    <n v="-14689918.4"/>
    <x v="1"/>
    <x v="1"/>
  </r>
  <r>
    <n v="130106"/>
    <x v="0"/>
    <x v="0"/>
    <x v="0"/>
    <x v="1"/>
    <x v="0"/>
    <x v="0"/>
    <n v="20000000"/>
    <n v="14689918.4"/>
    <x v="1"/>
    <x v="1"/>
  </r>
  <r>
    <n v="148289"/>
    <x v="0"/>
    <x v="0"/>
    <x v="1"/>
    <x v="1"/>
    <x v="0"/>
    <x v="0"/>
    <n v="-20000000"/>
    <n v="-14689918.4"/>
    <x v="1"/>
    <x v="1"/>
  </r>
  <r>
    <n v="148877"/>
    <x v="0"/>
    <x v="0"/>
    <x v="0"/>
    <x v="1"/>
    <x v="1"/>
    <x v="0"/>
    <n v="20000000"/>
    <n v="14689918.4"/>
    <x v="1"/>
    <x v="1"/>
  </r>
  <r>
    <n v="54871"/>
    <x v="0"/>
    <x v="0"/>
    <x v="0"/>
    <x v="0"/>
    <x v="0"/>
    <x v="0"/>
    <n v="29200000"/>
    <n v="11948720.880000001"/>
    <x v="2"/>
    <x v="1"/>
  </r>
  <r>
    <n v="54989"/>
    <x v="0"/>
    <x v="0"/>
    <x v="0"/>
    <x v="0"/>
    <x v="0"/>
    <x v="0"/>
    <n v="13000000"/>
    <n v="5319636.01"/>
    <x v="2"/>
    <x v="1"/>
  </r>
  <r>
    <n v="130092"/>
    <x v="0"/>
    <x v="0"/>
    <x v="1"/>
    <x v="0"/>
    <x v="0"/>
    <x v="0"/>
    <n v="-29200000"/>
    <n v="-11948720.880000001"/>
    <x v="2"/>
    <x v="1"/>
  </r>
  <r>
    <n v="130093"/>
    <x v="0"/>
    <x v="0"/>
    <x v="1"/>
    <x v="0"/>
    <x v="0"/>
    <x v="0"/>
    <n v="-13000000"/>
    <n v="-5319636.01"/>
    <x v="2"/>
    <x v="1"/>
  </r>
  <r>
    <n v="130121"/>
    <x v="0"/>
    <x v="0"/>
    <x v="0"/>
    <x v="1"/>
    <x v="0"/>
    <x v="0"/>
    <n v="29200000"/>
    <n v="11948720.880000001"/>
    <x v="2"/>
    <x v="1"/>
  </r>
  <r>
    <n v="130122"/>
    <x v="0"/>
    <x v="0"/>
    <x v="0"/>
    <x v="1"/>
    <x v="0"/>
    <x v="0"/>
    <n v="13000000"/>
    <n v="5319636.01"/>
    <x v="2"/>
    <x v="1"/>
  </r>
  <r>
    <n v="148445"/>
    <x v="0"/>
    <x v="0"/>
    <x v="1"/>
    <x v="1"/>
    <x v="0"/>
    <x v="0"/>
    <n v="-42200000"/>
    <n v="-17268356.890000001"/>
    <x v="2"/>
    <x v="1"/>
  </r>
  <r>
    <n v="148903"/>
    <x v="0"/>
    <x v="0"/>
    <x v="0"/>
    <x v="1"/>
    <x v="1"/>
    <x v="0"/>
    <n v="42200000"/>
    <n v="17268356.890000001"/>
    <x v="2"/>
    <x v="1"/>
  </r>
  <r>
    <n v="55708"/>
    <x v="0"/>
    <x v="0"/>
    <x v="0"/>
    <x v="0"/>
    <x v="0"/>
    <x v="0"/>
    <n v="33860000"/>
    <n v="18007850.140000001"/>
    <x v="3"/>
    <x v="1"/>
  </r>
  <r>
    <n v="130094"/>
    <x v="0"/>
    <x v="0"/>
    <x v="1"/>
    <x v="0"/>
    <x v="0"/>
    <x v="0"/>
    <n v="-33860000"/>
    <n v="-18007850.140000001"/>
    <x v="3"/>
    <x v="1"/>
  </r>
  <r>
    <n v="130123"/>
    <x v="0"/>
    <x v="0"/>
    <x v="0"/>
    <x v="1"/>
    <x v="0"/>
    <x v="0"/>
    <n v="33860000"/>
    <n v="18007850.140000001"/>
    <x v="3"/>
    <x v="1"/>
  </r>
  <r>
    <n v="148446"/>
    <x v="0"/>
    <x v="0"/>
    <x v="1"/>
    <x v="1"/>
    <x v="0"/>
    <x v="0"/>
    <n v="-33860000"/>
    <n v="-18007850.140000001"/>
    <x v="3"/>
    <x v="1"/>
  </r>
  <r>
    <n v="148905"/>
    <x v="0"/>
    <x v="0"/>
    <x v="0"/>
    <x v="1"/>
    <x v="1"/>
    <x v="0"/>
    <n v="33860000"/>
    <n v="18007850.140000001"/>
    <x v="3"/>
    <x v="1"/>
  </r>
  <r>
    <n v="55003"/>
    <x v="0"/>
    <x v="0"/>
    <x v="0"/>
    <x v="0"/>
    <x v="0"/>
    <x v="0"/>
    <n v="8350000"/>
    <n v="5041956.79"/>
    <x v="4"/>
    <x v="1"/>
  </r>
  <r>
    <n v="59093"/>
    <x v="0"/>
    <x v="0"/>
    <x v="0"/>
    <x v="0"/>
    <x v="0"/>
    <x v="0"/>
    <n v="21000000"/>
    <n v="12680370.359999999"/>
    <x v="4"/>
    <x v="1"/>
  </r>
  <r>
    <n v="130096"/>
    <x v="0"/>
    <x v="0"/>
    <x v="1"/>
    <x v="0"/>
    <x v="0"/>
    <x v="0"/>
    <n v="-29350000"/>
    <n v="-17722327.149999999"/>
    <x v="4"/>
    <x v="1"/>
  </r>
  <r>
    <n v="130125"/>
    <x v="0"/>
    <x v="0"/>
    <x v="0"/>
    <x v="1"/>
    <x v="0"/>
    <x v="0"/>
    <n v="29350000"/>
    <n v="17722327.149999999"/>
    <x v="4"/>
    <x v="1"/>
  </r>
  <r>
    <n v="148448"/>
    <x v="0"/>
    <x v="0"/>
    <x v="1"/>
    <x v="1"/>
    <x v="0"/>
    <x v="0"/>
    <n v="-29350000"/>
    <n v="-17722327.149999999"/>
    <x v="4"/>
    <x v="1"/>
  </r>
  <r>
    <n v="148909"/>
    <x v="0"/>
    <x v="0"/>
    <x v="0"/>
    <x v="1"/>
    <x v="1"/>
    <x v="0"/>
    <n v="29350000"/>
    <n v="17722327.149999999"/>
    <x v="4"/>
    <x v="1"/>
  </r>
  <r>
    <n v="54908"/>
    <x v="0"/>
    <x v="0"/>
    <x v="0"/>
    <x v="0"/>
    <x v="0"/>
    <x v="0"/>
    <n v="4950000"/>
    <n v="3109805.57"/>
    <x v="5"/>
    <x v="1"/>
  </r>
  <r>
    <n v="130097"/>
    <x v="0"/>
    <x v="0"/>
    <x v="1"/>
    <x v="0"/>
    <x v="0"/>
    <x v="0"/>
    <n v="-4950000"/>
    <n v="-3109805.57"/>
    <x v="5"/>
    <x v="1"/>
  </r>
  <r>
    <n v="130126"/>
    <x v="0"/>
    <x v="0"/>
    <x v="0"/>
    <x v="1"/>
    <x v="0"/>
    <x v="0"/>
    <n v="4950000"/>
    <n v="3109805.57"/>
    <x v="5"/>
    <x v="1"/>
  </r>
  <r>
    <n v="148449"/>
    <x v="0"/>
    <x v="0"/>
    <x v="1"/>
    <x v="1"/>
    <x v="0"/>
    <x v="0"/>
    <n v="-4950000"/>
    <n v="-3109805.57"/>
    <x v="5"/>
    <x v="1"/>
  </r>
  <r>
    <n v="148911"/>
    <x v="0"/>
    <x v="0"/>
    <x v="0"/>
    <x v="1"/>
    <x v="1"/>
    <x v="0"/>
    <n v="4950000"/>
    <n v="3109805.57"/>
    <x v="5"/>
    <x v="1"/>
  </r>
  <r>
    <n v="45688"/>
    <x v="0"/>
    <x v="1"/>
    <x v="0"/>
    <x v="2"/>
    <x v="2"/>
    <x v="0"/>
    <n v="82571000"/>
    <n v="50976576.700000003"/>
    <x v="6"/>
    <x v="1"/>
  </r>
  <r>
    <n v="50504"/>
    <x v="0"/>
    <x v="1"/>
    <x v="1"/>
    <x v="2"/>
    <x v="2"/>
    <x v="0"/>
    <n v="-82571000"/>
    <n v="-50976576.700000003"/>
    <x v="6"/>
    <x v="1"/>
  </r>
  <r>
    <n v="50607"/>
    <x v="0"/>
    <x v="1"/>
    <x v="0"/>
    <x v="3"/>
    <x v="3"/>
    <x v="0"/>
    <n v="82571000"/>
    <n v="50976576.700000003"/>
    <x v="6"/>
    <x v="1"/>
  </r>
  <r>
    <n v="52730"/>
    <x v="0"/>
    <x v="2"/>
    <x v="0"/>
    <x v="3"/>
    <x v="3"/>
    <x v="0"/>
    <n v="82571000"/>
    <n v="50976576.700000003"/>
    <x v="6"/>
    <x v="1"/>
  </r>
  <r>
    <n v="52731"/>
    <x v="0"/>
    <x v="1"/>
    <x v="1"/>
    <x v="3"/>
    <x v="3"/>
    <x v="0"/>
    <n v="-82571000"/>
    <n v="-50976576.700000003"/>
    <x v="6"/>
    <x v="1"/>
  </r>
  <r>
    <n v="56691"/>
    <x v="0"/>
    <x v="2"/>
    <x v="1"/>
    <x v="0"/>
    <x v="3"/>
    <x v="0"/>
    <n v="-82571000"/>
    <n v="-50976576.700000003"/>
    <x v="6"/>
    <x v="1"/>
  </r>
  <r>
    <n v="77373"/>
    <x v="0"/>
    <x v="2"/>
    <x v="0"/>
    <x v="4"/>
    <x v="4"/>
    <x v="0"/>
    <n v="82571000"/>
    <n v="50976576.700000003"/>
    <x v="6"/>
    <x v="1"/>
  </r>
  <r>
    <n v="149070"/>
    <x v="0"/>
    <x v="2"/>
    <x v="1"/>
    <x v="3"/>
    <x v="3"/>
    <x v="0"/>
    <n v="-82571000"/>
    <n v="-50976576.700000003"/>
    <x v="6"/>
    <x v="1"/>
  </r>
  <r>
    <n v="150859"/>
    <x v="0"/>
    <x v="2"/>
    <x v="0"/>
    <x v="3"/>
    <x v="5"/>
    <x v="0"/>
    <n v="82571000"/>
    <n v="50976576.700000003"/>
    <x v="6"/>
    <x v="1"/>
  </r>
  <r>
    <n v="51128"/>
    <x v="0"/>
    <x v="1"/>
    <x v="0"/>
    <x v="3"/>
    <x v="3"/>
    <x v="0"/>
    <n v="20000000"/>
    <n v="13480796.4"/>
    <x v="7"/>
    <x v="1"/>
  </r>
  <r>
    <n v="52170"/>
    <x v="0"/>
    <x v="2"/>
    <x v="0"/>
    <x v="3"/>
    <x v="3"/>
    <x v="0"/>
    <n v="20000000"/>
    <n v="13480796.4"/>
    <x v="7"/>
    <x v="1"/>
  </r>
  <r>
    <n v="52171"/>
    <x v="0"/>
    <x v="1"/>
    <x v="1"/>
    <x v="3"/>
    <x v="3"/>
    <x v="0"/>
    <n v="-20000000"/>
    <n v="-13480796.4"/>
    <x v="7"/>
    <x v="1"/>
  </r>
  <r>
    <n v="53610"/>
    <x v="0"/>
    <x v="2"/>
    <x v="1"/>
    <x v="3"/>
    <x v="3"/>
    <x v="0"/>
    <n v="-20000000"/>
    <n v="-13480796.4"/>
    <x v="7"/>
    <x v="1"/>
  </r>
  <r>
    <n v="53611"/>
    <x v="0"/>
    <x v="1"/>
    <x v="0"/>
    <x v="3"/>
    <x v="3"/>
    <x v="0"/>
    <n v="20000000"/>
    <n v="13480796.4"/>
    <x v="7"/>
    <x v="1"/>
  </r>
  <r>
    <n v="61667"/>
    <x v="0"/>
    <x v="0"/>
    <x v="0"/>
    <x v="4"/>
    <x v="0"/>
    <x v="0"/>
    <n v="4925000"/>
    <n v="3319646.11"/>
    <x v="7"/>
    <x v="1"/>
  </r>
  <r>
    <n v="136919"/>
    <x v="0"/>
    <x v="1"/>
    <x v="1"/>
    <x v="3"/>
    <x v="3"/>
    <x v="0"/>
    <n v="-20000000"/>
    <n v="-13480796.4"/>
    <x v="7"/>
    <x v="1"/>
  </r>
  <r>
    <n v="136920"/>
    <x v="0"/>
    <x v="2"/>
    <x v="0"/>
    <x v="3"/>
    <x v="3"/>
    <x v="0"/>
    <n v="20000000"/>
    <n v="13480796.4"/>
    <x v="7"/>
    <x v="1"/>
  </r>
  <r>
    <n v="148450"/>
    <x v="0"/>
    <x v="0"/>
    <x v="1"/>
    <x v="4"/>
    <x v="0"/>
    <x v="0"/>
    <n v="-4925000"/>
    <n v="-3319646.11"/>
    <x v="7"/>
    <x v="1"/>
  </r>
  <r>
    <n v="148913"/>
    <x v="0"/>
    <x v="0"/>
    <x v="0"/>
    <x v="4"/>
    <x v="1"/>
    <x v="0"/>
    <n v="4925000"/>
    <n v="3319646.11"/>
    <x v="7"/>
    <x v="1"/>
  </r>
  <r>
    <n v="149371"/>
    <x v="0"/>
    <x v="2"/>
    <x v="1"/>
    <x v="3"/>
    <x v="3"/>
    <x v="0"/>
    <n v="-20000000"/>
    <n v="-13480796.4"/>
    <x v="7"/>
    <x v="1"/>
  </r>
  <r>
    <n v="151736"/>
    <x v="0"/>
    <x v="2"/>
    <x v="0"/>
    <x v="3"/>
    <x v="5"/>
    <x v="0"/>
    <n v="20000000"/>
    <n v="13480796.4"/>
    <x v="7"/>
    <x v="1"/>
  </r>
  <r>
    <n v="155022"/>
    <x v="0"/>
    <x v="1"/>
    <x v="1"/>
    <x v="5"/>
    <x v="5"/>
    <x v="0"/>
    <n v="-20000000"/>
    <n v="-13480796.4"/>
    <x v="7"/>
    <x v="1"/>
  </r>
  <r>
    <n v="155023"/>
    <x v="0"/>
    <x v="1"/>
    <x v="0"/>
    <x v="3"/>
    <x v="5"/>
    <x v="0"/>
    <n v="20000000"/>
    <n v="13480796.4"/>
    <x v="7"/>
    <x v="1"/>
  </r>
  <r>
    <n v="155130"/>
    <x v="0"/>
    <x v="2"/>
    <x v="1"/>
    <x v="3"/>
    <x v="5"/>
    <x v="0"/>
    <n v="-20000000"/>
    <n v="-13480796.4"/>
    <x v="7"/>
    <x v="1"/>
  </r>
  <r>
    <n v="155132"/>
    <x v="0"/>
    <x v="2"/>
    <x v="0"/>
    <x v="6"/>
    <x v="5"/>
    <x v="0"/>
    <n v="20000000"/>
    <n v="13480796.4"/>
    <x v="7"/>
    <x v="1"/>
  </r>
  <r>
    <n v="51412"/>
    <x v="0"/>
    <x v="1"/>
    <x v="0"/>
    <x v="3"/>
    <x v="3"/>
    <x v="0"/>
    <n v="40000000"/>
    <n v="26607626.399999999"/>
    <x v="8"/>
    <x v="1"/>
  </r>
  <r>
    <n v="52174"/>
    <x v="0"/>
    <x v="2"/>
    <x v="0"/>
    <x v="3"/>
    <x v="3"/>
    <x v="0"/>
    <n v="40000000"/>
    <n v="26607626.399999999"/>
    <x v="8"/>
    <x v="1"/>
  </r>
  <r>
    <n v="52175"/>
    <x v="0"/>
    <x v="1"/>
    <x v="1"/>
    <x v="3"/>
    <x v="3"/>
    <x v="0"/>
    <n v="-40000000"/>
    <n v="-26607626.399999999"/>
    <x v="8"/>
    <x v="1"/>
  </r>
  <r>
    <n v="56692"/>
    <x v="0"/>
    <x v="2"/>
    <x v="1"/>
    <x v="0"/>
    <x v="3"/>
    <x v="0"/>
    <n v="-40000000"/>
    <n v="-26607626.399999999"/>
    <x v="8"/>
    <x v="1"/>
  </r>
  <r>
    <n v="77371"/>
    <x v="0"/>
    <x v="2"/>
    <x v="0"/>
    <x v="4"/>
    <x v="4"/>
    <x v="0"/>
    <n v="40000000"/>
    <n v="26607626.399999999"/>
    <x v="8"/>
    <x v="1"/>
  </r>
  <r>
    <n v="149235"/>
    <x v="0"/>
    <x v="2"/>
    <x v="1"/>
    <x v="3"/>
    <x v="3"/>
    <x v="0"/>
    <n v="-40000000"/>
    <n v="-26607626.399999999"/>
    <x v="8"/>
    <x v="1"/>
  </r>
  <r>
    <n v="151328"/>
    <x v="0"/>
    <x v="2"/>
    <x v="0"/>
    <x v="3"/>
    <x v="5"/>
    <x v="0"/>
    <n v="40000000"/>
    <n v="26607626.399999999"/>
    <x v="8"/>
    <x v="1"/>
  </r>
  <r>
    <n v="58219"/>
    <x v="0"/>
    <x v="0"/>
    <x v="0"/>
    <x v="0"/>
    <x v="0"/>
    <x v="0"/>
    <n v="34125000"/>
    <n v="20641820.059999999"/>
    <x v="9"/>
    <x v="1"/>
  </r>
  <r>
    <n v="67880"/>
    <x v="0"/>
    <x v="1"/>
    <x v="0"/>
    <x v="3"/>
    <x v="3"/>
    <x v="0"/>
    <n v="20000000"/>
    <n v="12097770"/>
    <x v="9"/>
    <x v="1"/>
  </r>
  <r>
    <n v="130098"/>
    <x v="0"/>
    <x v="0"/>
    <x v="1"/>
    <x v="0"/>
    <x v="0"/>
    <x v="0"/>
    <n v="-34125000"/>
    <n v="-20641820.059999999"/>
    <x v="9"/>
    <x v="1"/>
  </r>
  <r>
    <n v="130127"/>
    <x v="0"/>
    <x v="0"/>
    <x v="0"/>
    <x v="1"/>
    <x v="0"/>
    <x v="0"/>
    <n v="34125000"/>
    <n v="20641820.059999999"/>
    <x v="9"/>
    <x v="1"/>
  </r>
  <r>
    <n v="138574"/>
    <x v="0"/>
    <x v="1"/>
    <x v="1"/>
    <x v="3"/>
    <x v="3"/>
    <x v="0"/>
    <n v="-20000000"/>
    <n v="-12097770"/>
    <x v="9"/>
    <x v="1"/>
  </r>
  <r>
    <n v="138575"/>
    <x v="0"/>
    <x v="2"/>
    <x v="0"/>
    <x v="3"/>
    <x v="3"/>
    <x v="0"/>
    <n v="20000000"/>
    <n v="12097770"/>
    <x v="9"/>
    <x v="1"/>
  </r>
  <r>
    <n v="148451"/>
    <x v="0"/>
    <x v="0"/>
    <x v="1"/>
    <x v="1"/>
    <x v="0"/>
    <x v="0"/>
    <n v="-34125000"/>
    <n v="-20641820.059999999"/>
    <x v="9"/>
    <x v="1"/>
  </r>
  <r>
    <n v="148915"/>
    <x v="0"/>
    <x v="0"/>
    <x v="0"/>
    <x v="1"/>
    <x v="1"/>
    <x v="0"/>
    <n v="34125000"/>
    <n v="20641820.059999999"/>
    <x v="9"/>
    <x v="1"/>
  </r>
  <r>
    <n v="149372"/>
    <x v="0"/>
    <x v="2"/>
    <x v="1"/>
    <x v="3"/>
    <x v="3"/>
    <x v="0"/>
    <n v="-20000000"/>
    <n v="-12097770"/>
    <x v="9"/>
    <x v="1"/>
  </r>
  <r>
    <n v="151739"/>
    <x v="0"/>
    <x v="2"/>
    <x v="0"/>
    <x v="3"/>
    <x v="5"/>
    <x v="0"/>
    <n v="20000000"/>
    <n v="12097770"/>
    <x v="9"/>
    <x v="1"/>
  </r>
  <r>
    <n v="155014"/>
    <x v="0"/>
    <x v="1"/>
    <x v="0"/>
    <x v="3"/>
    <x v="5"/>
    <x v="0"/>
    <n v="20000000"/>
    <n v="12097770"/>
    <x v="9"/>
    <x v="1"/>
  </r>
  <r>
    <n v="155015"/>
    <x v="0"/>
    <x v="1"/>
    <x v="1"/>
    <x v="5"/>
    <x v="5"/>
    <x v="0"/>
    <n v="-20000000"/>
    <n v="-12097770"/>
    <x v="9"/>
    <x v="1"/>
  </r>
  <r>
    <n v="155133"/>
    <x v="0"/>
    <x v="2"/>
    <x v="1"/>
    <x v="3"/>
    <x v="5"/>
    <x v="0"/>
    <n v="-20000000"/>
    <n v="-12097770"/>
    <x v="9"/>
    <x v="1"/>
  </r>
  <r>
    <n v="155135"/>
    <x v="0"/>
    <x v="2"/>
    <x v="0"/>
    <x v="6"/>
    <x v="5"/>
    <x v="0"/>
    <n v="20000000"/>
    <n v="12097770"/>
    <x v="9"/>
    <x v="1"/>
  </r>
  <r>
    <n v="52305"/>
    <x v="0"/>
    <x v="1"/>
    <x v="0"/>
    <x v="4"/>
    <x v="6"/>
    <x v="0"/>
    <n v="20000000"/>
    <n v="12631793"/>
    <x v="10"/>
    <x v="1"/>
  </r>
  <r>
    <n v="52306"/>
    <x v="0"/>
    <x v="1"/>
    <x v="0"/>
    <x v="3"/>
    <x v="3"/>
    <x v="0"/>
    <n v="30000000"/>
    <n v="18947689.5"/>
    <x v="10"/>
    <x v="1"/>
  </r>
  <r>
    <n v="54015"/>
    <x v="0"/>
    <x v="1"/>
    <x v="1"/>
    <x v="4"/>
    <x v="6"/>
    <x v="0"/>
    <n v="-20000000"/>
    <n v="-12631793"/>
    <x v="10"/>
    <x v="1"/>
  </r>
  <r>
    <n v="54016"/>
    <x v="0"/>
    <x v="1"/>
    <x v="0"/>
    <x v="3"/>
    <x v="6"/>
    <x v="0"/>
    <n v="20000000"/>
    <n v="12631793"/>
    <x v="10"/>
    <x v="1"/>
  </r>
  <r>
    <n v="57640"/>
    <x v="0"/>
    <x v="1"/>
    <x v="1"/>
    <x v="0"/>
    <x v="3"/>
    <x v="0"/>
    <n v="-50000000"/>
    <n v="-31579482.5"/>
    <x v="10"/>
    <x v="1"/>
  </r>
  <r>
    <n v="129181"/>
    <x v="0"/>
    <x v="1"/>
    <x v="1"/>
    <x v="3"/>
    <x v="3"/>
    <x v="0"/>
    <n v="-30000000"/>
    <n v="-18947689.5"/>
    <x v="10"/>
    <x v="1"/>
  </r>
  <r>
    <n v="129182"/>
    <x v="0"/>
    <x v="2"/>
    <x v="0"/>
    <x v="3"/>
    <x v="3"/>
    <x v="0"/>
    <n v="30000000"/>
    <n v="18947689.5"/>
    <x v="10"/>
    <x v="1"/>
  </r>
  <r>
    <n v="129189"/>
    <x v="0"/>
    <x v="1"/>
    <x v="1"/>
    <x v="3"/>
    <x v="6"/>
    <x v="0"/>
    <n v="-20000000"/>
    <n v="-12631793"/>
    <x v="10"/>
    <x v="1"/>
  </r>
  <r>
    <n v="129190"/>
    <x v="0"/>
    <x v="2"/>
    <x v="0"/>
    <x v="3"/>
    <x v="6"/>
    <x v="0"/>
    <n v="20000000"/>
    <n v="12631793"/>
    <x v="10"/>
    <x v="1"/>
  </r>
  <r>
    <n v="149285"/>
    <x v="0"/>
    <x v="2"/>
    <x v="1"/>
    <x v="3"/>
    <x v="3"/>
    <x v="0"/>
    <n v="-30000000"/>
    <n v="-18947689.5"/>
    <x v="10"/>
    <x v="1"/>
  </r>
  <r>
    <n v="149373"/>
    <x v="0"/>
    <x v="2"/>
    <x v="1"/>
    <x v="3"/>
    <x v="6"/>
    <x v="0"/>
    <n v="-20000000"/>
    <n v="-12631793"/>
    <x v="10"/>
    <x v="1"/>
  </r>
  <r>
    <n v="151478"/>
    <x v="0"/>
    <x v="2"/>
    <x v="0"/>
    <x v="3"/>
    <x v="5"/>
    <x v="0"/>
    <n v="30000000"/>
    <n v="18947689.5"/>
    <x v="10"/>
    <x v="1"/>
  </r>
  <r>
    <n v="151742"/>
    <x v="0"/>
    <x v="2"/>
    <x v="0"/>
    <x v="3"/>
    <x v="5"/>
    <x v="0"/>
    <n v="20000000"/>
    <n v="12631793"/>
    <x v="10"/>
    <x v="1"/>
  </r>
  <r>
    <n v="52865"/>
    <x v="0"/>
    <x v="1"/>
    <x v="0"/>
    <x v="3"/>
    <x v="3"/>
    <x v="0"/>
    <n v="35000000"/>
    <n v="21667218.649999999"/>
    <x v="11"/>
    <x v="1"/>
  </r>
  <r>
    <n v="129177"/>
    <x v="0"/>
    <x v="2"/>
    <x v="0"/>
    <x v="3"/>
    <x v="3"/>
    <x v="0"/>
    <n v="35000000"/>
    <n v="21667218.649999999"/>
    <x v="11"/>
    <x v="1"/>
  </r>
  <r>
    <n v="129178"/>
    <x v="0"/>
    <x v="1"/>
    <x v="1"/>
    <x v="3"/>
    <x v="3"/>
    <x v="0"/>
    <n v="-35000000"/>
    <n v="-21667218.649999999"/>
    <x v="11"/>
    <x v="1"/>
  </r>
  <r>
    <n v="149257"/>
    <x v="0"/>
    <x v="2"/>
    <x v="1"/>
    <x v="3"/>
    <x v="3"/>
    <x v="0"/>
    <n v="-35000000"/>
    <n v="-21667218.649999999"/>
    <x v="11"/>
    <x v="1"/>
  </r>
  <r>
    <n v="151394"/>
    <x v="0"/>
    <x v="2"/>
    <x v="0"/>
    <x v="3"/>
    <x v="5"/>
    <x v="0"/>
    <n v="35000000"/>
    <n v="21667218.649999999"/>
    <x v="11"/>
    <x v="1"/>
  </r>
  <r>
    <n v="61877"/>
    <x v="0"/>
    <x v="0"/>
    <x v="0"/>
    <x v="0"/>
    <x v="0"/>
    <x v="0"/>
    <n v="16000000"/>
    <n v="11073373.76"/>
    <x v="12"/>
    <x v="1"/>
  </r>
  <r>
    <n v="130101"/>
    <x v="0"/>
    <x v="0"/>
    <x v="1"/>
    <x v="0"/>
    <x v="0"/>
    <x v="0"/>
    <n v="-16000000"/>
    <n v="-11073373.76"/>
    <x v="12"/>
    <x v="1"/>
  </r>
  <r>
    <n v="130130"/>
    <x v="0"/>
    <x v="0"/>
    <x v="0"/>
    <x v="1"/>
    <x v="0"/>
    <x v="0"/>
    <n v="16000000"/>
    <n v="11073373.76"/>
    <x v="12"/>
    <x v="1"/>
  </r>
  <r>
    <n v="148454"/>
    <x v="0"/>
    <x v="0"/>
    <x v="1"/>
    <x v="1"/>
    <x v="0"/>
    <x v="0"/>
    <n v="-16000000"/>
    <n v="-11073373.76"/>
    <x v="12"/>
    <x v="1"/>
  </r>
  <r>
    <n v="148921"/>
    <x v="0"/>
    <x v="0"/>
    <x v="0"/>
    <x v="1"/>
    <x v="1"/>
    <x v="0"/>
    <n v="16000000"/>
    <n v="11073373.76"/>
    <x v="12"/>
    <x v="1"/>
  </r>
  <r>
    <n v="61878"/>
    <x v="0"/>
    <x v="0"/>
    <x v="0"/>
    <x v="0"/>
    <x v="0"/>
    <x v="0"/>
    <n v="20000000"/>
    <n v="14649547.199999999"/>
    <x v="13"/>
    <x v="1"/>
  </r>
  <r>
    <n v="61879"/>
    <x v="0"/>
    <x v="0"/>
    <x v="0"/>
    <x v="0"/>
    <x v="0"/>
    <x v="0"/>
    <n v="6684000"/>
    <n v="4895878.67"/>
    <x v="13"/>
    <x v="1"/>
  </r>
  <r>
    <n v="130102"/>
    <x v="0"/>
    <x v="0"/>
    <x v="1"/>
    <x v="0"/>
    <x v="0"/>
    <x v="0"/>
    <n v="-26684000"/>
    <n v="-19545425.870000001"/>
    <x v="13"/>
    <x v="1"/>
  </r>
  <r>
    <n v="130131"/>
    <x v="0"/>
    <x v="0"/>
    <x v="0"/>
    <x v="1"/>
    <x v="0"/>
    <x v="0"/>
    <n v="26684000"/>
    <n v="19545425.870000001"/>
    <x v="13"/>
    <x v="1"/>
  </r>
  <r>
    <n v="148455"/>
    <x v="0"/>
    <x v="0"/>
    <x v="1"/>
    <x v="1"/>
    <x v="0"/>
    <x v="0"/>
    <n v="-26684000"/>
    <n v="-19545425.870000001"/>
    <x v="13"/>
    <x v="1"/>
  </r>
  <r>
    <n v="148923"/>
    <x v="0"/>
    <x v="0"/>
    <x v="0"/>
    <x v="1"/>
    <x v="1"/>
    <x v="0"/>
    <n v="26684000"/>
    <n v="19545425.870000001"/>
    <x v="13"/>
    <x v="1"/>
  </r>
  <r>
    <n v="62797"/>
    <x v="0"/>
    <x v="0"/>
    <x v="0"/>
    <x v="0"/>
    <x v="0"/>
    <x v="0"/>
    <n v="24000000"/>
    <n v="17386942.800000001"/>
    <x v="14"/>
    <x v="1"/>
  </r>
  <r>
    <n v="130103"/>
    <x v="0"/>
    <x v="0"/>
    <x v="1"/>
    <x v="0"/>
    <x v="0"/>
    <x v="0"/>
    <n v="-24000000"/>
    <n v="-17386942.800000001"/>
    <x v="14"/>
    <x v="1"/>
  </r>
  <r>
    <n v="130132"/>
    <x v="0"/>
    <x v="0"/>
    <x v="0"/>
    <x v="1"/>
    <x v="0"/>
    <x v="0"/>
    <n v="24000000"/>
    <n v="17386942.800000001"/>
    <x v="14"/>
    <x v="1"/>
  </r>
  <r>
    <n v="148456"/>
    <x v="0"/>
    <x v="0"/>
    <x v="1"/>
    <x v="1"/>
    <x v="0"/>
    <x v="0"/>
    <n v="-24000000"/>
    <n v="-17386942.800000001"/>
    <x v="14"/>
    <x v="1"/>
  </r>
  <r>
    <n v="148925"/>
    <x v="0"/>
    <x v="0"/>
    <x v="0"/>
    <x v="1"/>
    <x v="1"/>
    <x v="0"/>
    <n v="24000000"/>
    <n v="17386942.800000001"/>
    <x v="14"/>
    <x v="1"/>
  </r>
  <r>
    <n v="58200"/>
    <x v="0"/>
    <x v="0"/>
    <x v="0"/>
    <x v="0"/>
    <x v="0"/>
    <x v="0"/>
    <n v="38000000"/>
    <n v="26124610.879999999"/>
    <x v="15"/>
    <x v="1"/>
  </r>
  <r>
    <n v="59613"/>
    <x v="0"/>
    <x v="0"/>
    <x v="0"/>
    <x v="0"/>
    <x v="0"/>
    <x v="0"/>
    <n v="17961000"/>
    <n v="12348003.58"/>
    <x v="15"/>
    <x v="1"/>
  </r>
  <r>
    <n v="130104"/>
    <x v="0"/>
    <x v="0"/>
    <x v="1"/>
    <x v="0"/>
    <x v="0"/>
    <x v="0"/>
    <n v="-55961000"/>
    <n v="-38472614.460000001"/>
    <x v="15"/>
    <x v="1"/>
  </r>
  <r>
    <n v="130133"/>
    <x v="0"/>
    <x v="0"/>
    <x v="0"/>
    <x v="1"/>
    <x v="0"/>
    <x v="0"/>
    <n v="55961000"/>
    <n v="38472614.460000001"/>
    <x v="15"/>
    <x v="1"/>
  </r>
  <r>
    <n v="148457"/>
    <x v="0"/>
    <x v="0"/>
    <x v="1"/>
    <x v="1"/>
    <x v="0"/>
    <x v="0"/>
    <n v="-55961000"/>
    <n v="-38472614.460000001"/>
    <x v="15"/>
    <x v="1"/>
  </r>
  <r>
    <n v="148927"/>
    <x v="0"/>
    <x v="0"/>
    <x v="0"/>
    <x v="1"/>
    <x v="1"/>
    <x v="0"/>
    <n v="55961000"/>
    <n v="38472614.460000001"/>
    <x v="15"/>
    <x v="1"/>
  </r>
  <r>
    <n v="59303"/>
    <x v="0"/>
    <x v="1"/>
    <x v="0"/>
    <x v="3"/>
    <x v="3"/>
    <x v="0"/>
    <n v="60000000"/>
    <n v="42941247.600000001"/>
    <x v="16"/>
    <x v="1"/>
  </r>
  <r>
    <n v="142881"/>
    <x v="0"/>
    <x v="2"/>
    <x v="0"/>
    <x v="3"/>
    <x v="3"/>
    <x v="0"/>
    <n v="60000000"/>
    <n v="42941247.600000001"/>
    <x v="16"/>
    <x v="1"/>
  </r>
  <r>
    <n v="142882"/>
    <x v="0"/>
    <x v="1"/>
    <x v="1"/>
    <x v="3"/>
    <x v="3"/>
    <x v="0"/>
    <n v="-60000000"/>
    <n v="-42941247.600000001"/>
    <x v="16"/>
    <x v="1"/>
  </r>
  <r>
    <n v="149133"/>
    <x v="0"/>
    <x v="2"/>
    <x v="1"/>
    <x v="3"/>
    <x v="3"/>
    <x v="0"/>
    <n v="-60000000"/>
    <n v="-42941247.600000001"/>
    <x v="16"/>
    <x v="1"/>
  </r>
  <r>
    <n v="151040"/>
    <x v="0"/>
    <x v="2"/>
    <x v="0"/>
    <x v="3"/>
    <x v="5"/>
    <x v="0"/>
    <n v="60000000"/>
    <n v="42941247.600000001"/>
    <x v="16"/>
    <x v="1"/>
  </r>
  <r>
    <n v="155004"/>
    <x v="0"/>
    <x v="1"/>
    <x v="0"/>
    <x v="3"/>
    <x v="5"/>
    <x v="0"/>
    <n v="60000000"/>
    <n v="42941247.600000001"/>
    <x v="16"/>
    <x v="1"/>
  </r>
  <r>
    <n v="155008"/>
    <x v="0"/>
    <x v="1"/>
    <x v="1"/>
    <x v="5"/>
    <x v="5"/>
    <x v="0"/>
    <n v="-60000000"/>
    <n v="-42941247.600000001"/>
    <x v="16"/>
    <x v="1"/>
  </r>
  <r>
    <n v="155136"/>
    <x v="0"/>
    <x v="2"/>
    <x v="1"/>
    <x v="3"/>
    <x v="5"/>
    <x v="0"/>
    <n v="-60000000"/>
    <n v="-42941247.600000001"/>
    <x v="16"/>
    <x v="1"/>
  </r>
  <r>
    <n v="155137"/>
    <x v="0"/>
    <x v="2"/>
    <x v="0"/>
    <x v="6"/>
    <x v="5"/>
    <x v="0"/>
    <n v="60000000"/>
    <n v="42941247.600000001"/>
    <x v="16"/>
    <x v="1"/>
  </r>
  <r>
    <n v="59759"/>
    <x v="0"/>
    <x v="0"/>
    <x v="0"/>
    <x v="0"/>
    <x v="0"/>
    <x v="0"/>
    <n v="91000000"/>
    <n v="66435950.490000002"/>
    <x v="17"/>
    <x v="1"/>
  </r>
  <r>
    <n v="130105"/>
    <x v="0"/>
    <x v="0"/>
    <x v="1"/>
    <x v="0"/>
    <x v="0"/>
    <x v="0"/>
    <n v="-91000000"/>
    <n v="-66435950.490000002"/>
    <x v="17"/>
    <x v="1"/>
  </r>
  <r>
    <n v="130134"/>
    <x v="0"/>
    <x v="0"/>
    <x v="0"/>
    <x v="1"/>
    <x v="0"/>
    <x v="0"/>
    <n v="91000000"/>
    <n v="66435950.490000002"/>
    <x v="17"/>
    <x v="1"/>
  </r>
  <r>
    <n v="148458"/>
    <x v="0"/>
    <x v="0"/>
    <x v="1"/>
    <x v="1"/>
    <x v="0"/>
    <x v="0"/>
    <n v="-91000000"/>
    <n v="-66435950.490000002"/>
    <x v="17"/>
    <x v="1"/>
  </r>
  <r>
    <n v="148929"/>
    <x v="0"/>
    <x v="0"/>
    <x v="0"/>
    <x v="1"/>
    <x v="1"/>
    <x v="0"/>
    <n v="91000000"/>
    <n v="66435950.490000002"/>
    <x v="17"/>
    <x v="1"/>
  </r>
  <r>
    <n v="24778"/>
    <x v="0"/>
    <x v="1"/>
    <x v="0"/>
    <x v="2"/>
    <x v="2"/>
    <x v="0"/>
    <n v="15000000"/>
    <n v="13902414.35"/>
    <x v="18"/>
    <x v="1"/>
  </r>
  <r>
    <n v="35472"/>
    <x v="0"/>
    <x v="2"/>
    <x v="0"/>
    <x v="2"/>
    <x v="2"/>
    <x v="0"/>
    <n v="15000000"/>
    <n v="13902414.35"/>
    <x v="18"/>
    <x v="1"/>
  </r>
  <r>
    <n v="35473"/>
    <x v="0"/>
    <x v="1"/>
    <x v="1"/>
    <x v="2"/>
    <x v="2"/>
    <x v="0"/>
    <n v="-15000000"/>
    <n v="-13902414.35"/>
    <x v="18"/>
    <x v="1"/>
  </r>
  <r>
    <n v="36739"/>
    <x v="0"/>
    <x v="2"/>
    <x v="1"/>
    <x v="2"/>
    <x v="2"/>
    <x v="0"/>
    <n v="-15000000"/>
    <n v="-13902414.35"/>
    <x v="18"/>
    <x v="1"/>
  </r>
  <r>
    <n v="45789"/>
    <x v="0"/>
    <x v="1"/>
    <x v="0"/>
    <x v="2"/>
    <x v="2"/>
    <x v="0"/>
    <n v="31500000"/>
    <n v="18612160.879999999"/>
    <x v="19"/>
    <x v="2"/>
  </r>
  <r>
    <n v="50503"/>
    <x v="0"/>
    <x v="1"/>
    <x v="1"/>
    <x v="2"/>
    <x v="2"/>
    <x v="0"/>
    <n v="-31500000"/>
    <n v="-18612160.879999999"/>
    <x v="19"/>
    <x v="2"/>
  </r>
  <r>
    <n v="50606"/>
    <x v="0"/>
    <x v="1"/>
    <x v="0"/>
    <x v="7"/>
    <x v="3"/>
    <x v="0"/>
    <n v="31500000"/>
    <n v="18612160.879999999"/>
    <x v="19"/>
    <x v="2"/>
  </r>
  <r>
    <n v="52172"/>
    <x v="0"/>
    <x v="2"/>
    <x v="0"/>
    <x v="7"/>
    <x v="3"/>
    <x v="0"/>
    <n v="21500000"/>
    <n v="12703538.380000001"/>
    <x v="19"/>
    <x v="2"/>
  </r>
  <r>
    <n v="52173"/>
    <x v="0"/>
    <x v="1"/>
    <x v="1"/>
    <x v="7"/>
    <x v="3"/>
    <x v="0"/>
    <n v="-31500000"/>
    <n v="-18612160.879999999"/>
    <x v="19"/>
    <x v="2"/>
  </r>
  <r>
    <n v="56690"/>
    <x v="0"/>
    <x v="2"/>
    <x v="1"/>
    <x v="0"/>
    <x v="3"/>
    <x v="0"/>
    <n v="-31500000"/>
    <n v="-18612160.879999999"/>
    <x v="19"/>
    <x v="2"/>
  </r>
  <r>
    <n v="77372"/>
    <x v="0"/>
    <x v="2"/>
    <x v="0"/>
    <x v="4"/>
    <x v="4"/>
    <x v="0"/>
    <n v="31500000"/>
    <n v="18612160.879999999"/>
    <x v="19"/>
    <x v="2"/>
  </r>
  <r>
    <n v="130804"/>
    <x v="0"/>
    <x v="2"/>
    <x v="0"/>
    <x v="7"/>
    <x v="3"/>
    <x v="0"/>
    <n v="10000000"/>
    <n v="5908622.5"/>
    <x v="19"/>
    <x v="2"/>
  </r>
  <r>
    <n v="149276"/>
    <x v="0"/>
    <x v="2"/>
    <x v="1"/>
    <x v="7"/>
    <x v="3"/>
    <x v="0"/>
    <n v="-31500000"/>
    <n v="-18612160.879999999"/>
    <x v="19"/>
    <x v="2"/>
  </r>
  <r>
    <n v="151451"/>
    <x v="0"/>
    <x v="2"/>
    <x v="0"/>
    <x v="7"/>
    <x v="5"/>
    <x v="0"/>
    <n v="31500000"/>
    <n v="18612160.879999999"/>
    <x v="19"/>
    <x v="2"/>
  </r>
  <r>
    <n v="54861"/>
    <x v="0"/>
    <x v="0"/>
    <x v="0"/>
    <x v="0"/>
    <x v="0"/>
    <x v="0"/>
    <n v="15000000"/>
    <n v="8125759.0499999998"/>
    <x v="20"/>
    <x v="3"/>
  </r>
  <r>
    <n v="130095"/>
    <x v="0"/>
    <x v="0"/>
    <x v="1"/>
    <x v="0"/>
    <x v="0"/>
    <x v="0"/>
    <n v="-15000000"/>
    <n v="-8125759.0499999998"/>
    <x v="20"/>
    <x v="3"/>
  </r>
  <r>
    <n v="130124"/>
    <x v="0"/>
    <x v="0"/>
    <x v="0"/>
    <x v="1"/>
    <x v="0"/>
    <x v="0"/>
    <n v="15000000"/>
    <n v="8125759.0499999998"/>
    <x v="20"/>
    <x v="3"/>
  </r>
  <r>
    <n v="148447"/>
    <x v="0"/>
    <x v="0"/>
    <x v="1"/>
    <x v="1"/>
    <x v="0"/>
    <x v="0"/>
    <n v="-15000000"/>
    <n v="-8125759.0499999998"/>
    <x v="20"/>
    <x v="3"/>
  </r>
  <r>
    <n v="148907"/>
    <x v="0"/>
    <x v="0"/>
    <x v="0"/>
    <x v="1"/>
    <x v="1"/>
    <x v="0"/>
    <n v="15000000"/>
    <n v="8125759.0499999998"/>
    <x v="20"/>
    <x v="3"/>
  </r>
  <r>
    <n v="54890"/>
    <x v="0"/>
    <x v="0"/>
    <x v="0"/>
    <x v="0"/>
    <x v="0"/>
    <x v="0"/>
    <n v="35000000"/>
    <n v="23149337.399999999"/>
    <x v="21"/>
    <x v="3"/>
  </r>
  <r>
    <n v="130100"/>
    <x v="0"/>
    <x v="0"/>
    <x v="1"/>
    <x v="0"/>
    <x v="0"/>
    <x v="0"/>
    <n v="-35000000"/>
    <n v="-23149337.399999999"/>
    <x v="21"/>
    <x v="3"/>
  </r>
  <r>
    <n v="130129"/>
    <x v="0"/>
    <x v="0"/>
    <x v="0"/>
    <x v="1"/>
    <x v="0"/>
    <x v="0"/>
    <n v="35000000"/>
    <n v="23149337.399999999"/>
    <x v="21"/>
    <x v="3"/>
  </r>
  <r>
    <n v="148453"/>
    <x v="0"/>
    <x v="0"/>
    <x v="1"/>
    <x v="1"/>
    <x v="0"/>
    <x v="0"/>
    <n v="-35000000"/>
    <n v="-23149337.399999999"/>
    <x v="21"/>
    <x v="3"/>
  </r>
  <r>
    <n v="148919"/>
    <x v="0"/>
    <x v="0"/>
    <x v="0"/>
    <x v="1"/>
    <x v="1"/>
    <x v="0"/>
    <n v="35000000"/>
    <n v="23149337.399999999"/>
    <x v="21"/>
    <x v="3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6">
  <r>
    <n v="55050"/>
    <x v="0"/>
    <x v="0"/>
    <x v="0"/>
    <x v="0"/>
    <x v="0"/>
    <x v="0"/>
    <n v="5000000"/>
    <n v="3389743.3"/>
    <x v="0"/>
    <x v="0"/>
  </r>
  <r>
    <n v="130099"/>
    <x v="0"/>
    <x v="0"/>
    <x v="1"/>
    <x v="0"/>
    <x v="0"/>
    <x v="0"/>
    <n v="-5000000"/>
    <n v="-3389743.3"/>
    <x v="0"/>
    <x v="0"/>
  </r>
  <r>
    <n v="130128"/>
    <x v="0"/>
    <x v="0"/>
    <x v="0"/>
    <x v="1"/>
    <x v="0"/>
    <x v="0"/>
    <n v="5000000"/>
    <n v="3389743.3"/>
    <x v="0"/>
    <x v="0"/>
  </r>
  <r>
    <n v="148452"/>
    <x v="0"/>
    <x v="0"/>
    <x v="1"/>
    <x v="1"/>
    <x v="0"/>
    <x v="0"/>
    <n v="-5000000"/>
    <n v="-3389743.3"/>
    <x v="0"/>
    <x v="0"/>
  </r>
  <r>
    <n v="148917"/>
    <x v="0"/>
    <x v="0"/>
    <x v="0"/>
    <x v="1"/>
    <x v="1"/>
    <x v="0"/>
    <n v="5000000"/>
    <n v="3389743.3"/>
    <x v="0"/>
    <x v="0"/>
  </r>
  <r>
    <n v="58985"/>
    <x v="0"/>
    <x v="0"/>
    <x v="0"/>
    <x v="0"/>
    <x v="0"/>
    <x v="0"/>
    <n v="20000000"/>
    <n v="14689918.4"/>
    <x v="1"/>
    <x v="1"/>
  </r>
  <r>
    <n v="130077"/>
    <x v="0"/>
    <x v="0"/>
    <x v="1"/>
    <x v="0"/>
    <x v="0"/>
    <x v="0"/>
    <n v="-20000000"/>
    <n v="-14689918.4"/>
    <x v="1"/>
    <x v="1"/>
  </r>
  <r>
    <n v="130106"/>
    <x v="0"/>
    <x v="0"/>
    <x v="0"/>
    <x v="1"/>
    <x v="0"/>
    <x v="0"/>
    <n v="20000000"/>
    <n v="14689918.4"/>
    <x v="1"/>
    <x v="1"/>
  </r>
  <r>
    <n v="148289"/>
    <x v="0"/>
    <x v="0"/>
    <x v="1"/>
    <x v="1"/>
    <x v="0"/>
    <x v="0"/>
    <n v="-20000000"/>
    <n v="-14689918.4"/>
    <x v="1"/>
    <x v="1"/>
  </r>
  <r>
    <n v="148877"/>
    <x v="0"/>
    <x v="0"/>
    <x v="0"/>
    <x v="1"/>
    <x v="1"/>
    <x v="0"/>
    <n v="20000000"/>
    <n v="14689918.4"/>
    <x v="1"/>
    <x v="1"/>
  </r>
  <r>
    <n v="54871"/>
    <x v="0"/>
    <x v="0"/>
    <x v="0"/>
    <x v="0"/>
    <x v="0"/>
    <x v="0"/>
    <n v="29200000"/>
    <n v="11948720.880000001"/>
    <x v="2"/>
    <x v="1"/>
  </r>
  <r>
    <n v="54989"/>
    <x v="0"/>
    <x v="0"/>
    <x v="0"/>
    <x v="0"/>
    <x v="0"/>
    <x v="0"/>
    <n v="13000000"/>
    <n v="5319636.01"/>
    <x v="2"/>
    <x v="1"/>
  </r>
  <r>
    <n v="130092"/>
    <x v="0"/>
    <x v="0"/>
    <x v="1"/>
    <x v="0"/>
    <x v="0"/>
    <x v="0"/>
    <n v="-29200000"/>
    <n v="-11948720.880000001"/>
    <x v="2"/>
    <x v="1"/>
  </r>
  <r>
    <n v="130093"/>
    <x v="0"/>
    <x v="0"/>
    <x v="1"/>
    <x v="0"/>
    <x v="0"/>
    <x v="0"/>
    <n v="-13000000"/>
    <n v="-5319636.01"/>
    <x v="2"/>
    <x v="1"/>
  </r>
  <r>
    <n v="130121"/>
    <x v="0"/>
    <x v="0"/>
    <x v="0"/>
    <x v="1"/>
    <x v="0"/>
    <x v="0"/>
    <n v="29200000"/>
    <n v="11948720.880000001"/>
    <x v="2"/>
    <x v="1"/>
  </r>
  <r>
    <n v="130122"/>
    <x v="0"/>
    <x v="0"/>
    <x v="0"/>
    <x v="1"/>
    <x v="0"/>
    <x v="0"/>
    <n v="13000000"/>
    <n v="5319636.01"/>
    <x v="2"/>
    <x v="1"/>
  </r>
  <r>
    <n v="148445"/>
    <x v="0"/>
    <x v="0"/>
    <x v="1"/>
    <x v="1"/>
    <x v="0"/>
    <x v="0"/>
    <n v="-42200000"/>
    <n v="-17268356.890000001"/>
    <x v="2"/>
    <x v="1"/>
  </r>
  <r>
    <n v="148903"/>
    <x v="0"/>
    <x v="0"/>
    <x v="0"/>
    <x v="1"/>
    <x v="1"/>
    <x v="0"/>
    <n v="42200000"/>
    <n v="17268356.890000001"/>
    <x v="2"/>
    <x v="1"/>
  </r>
  <r>
    <n v="55708"/>
    <x v="0"/>
    <x v="0"/>
    <x v="0"/>
    <x v="0"/>
    <x v="0"/>
    <x v="0"/>
    <n v="33860000"/>
    <n v="18007850.140000001"/>
    <x v="3"/>
    <x v="1"/>
  </r>
  <r>
    <n v="130094"/>
    <x v="0"/>
    <x v="0"/>
    <x v="1"/>
    <x v="0"/>
    <x v="0"/>
    <x v="0"/>
    <n v="-33860000"/>
    <n v="-18007850.140000001"/>
    <x v="3"/>
    <x v="1"/>
  </r>
  <r>
    <n v="130123"/>
    <x v="0"/>
    <x v="0"/>
    <x v="0"/>
    <x v="1"/>
    <x v="0"/>
    <x v="0"/>
    <n v="33860000"/>
    <n v="18007850.140000001"/>
    <x v="3"/>
    <x v="1"/>
  </r>
  <r>
    <n v="148446"/>
    <x v="0"/>
    <x v="0"/>
    <x v="1"/>
    <x v="1"/>
    <x v="0"/>
    <x v="0"/>
    <n v="-33860000"/>
    <n v="-18007850.140000001"/>
    <x v="3"/>
    <x v="1"/>
  </r>
  <r>
    <n v="148905"/>
    <x v="0"/>
    <x v="0"/>
    <x v="0"/>
    <x v="1"/>
    <x v="1"/>
    <x v="0"/>
    <n v="33860000"/>
    <n v="18007850.140000001"/>
    <x v="3"/>
    <x v="1"/>
  </r>
  <r>
    <n v="55003"/>
    <x v="0"/>
    <x v="0"/>
    <x v="0"/>
    <x v="0"/>
    <x v="0"/>
    <x v="0"/>
    <n v="8350000"/>
    <n v="5041956.79"/>
    <x v="4"/>
    <x v="1"/>
  </r>
  <r>
    <n v="59093"/>
    <x v="0"/>
    <x v="0"/>
    <x v="0"/>
    <x v="0"/>
    <x v="0"/>
    <x v="0"/>
    <n v="21000000"/>
    <n v="12680370.359999999"/>
    <x v="4"/>
    <x v="1"/>
  </r>
  <r>
    <n v="130096"/>
    <x v="0"/>
    <x v="0"/>
    <x v="1"/>
    <x v="0"/>
    <x v="0"/>
    <x v="0"/>
    <n v="-29350000"/>
    <n v="-17722327.149999999"/>
    <x v="4"/>
    <x v="1"/>
  </r>
  <r>
    <n v="130125"/>
    <x v="0"/>
    <x v="0"/>
    <x v="0"/>
    <x v="1"/>
    <x v="0"/>
    <x v="0"/>
    <n v="29350000"/>
    <n v="17722327.149999999"/>
    <x v="4"/>
    <x v="1"/>
  </r>
  <r>
    <n v="148448"/>
    <x v="0"/>
    <x v="0"/>
    <x v="1"/>
    <x v="1"/>
    <x v="0"/>
    <x v="0"/>
    <n v="-29350000"/>
    <n v="-17722327.149999999"/>
    <x v="4"/>
    <x v="1"/>
  </r>
  <r>
    <n v="148909"/>
    <x v="0"/>
    <x v="0"/>
    <x v="0"/>
    <x v="1"/>
    <x v="1"/>
    <x v="0"/>
    <n v="29350000"/>
    <n v="17722327.149999999"/>
    <x v="4"/>
    <x v="1"/>
  </r>
  <r>
    <n v="54908"/>
    <x v="0"/>
    <x v="0"/>
    <x v="0"/>
    <x v="0"/>
    <x v="0"/>
    <x v="0"/>
    <n v="4950000"/>
    <n v="3109805.57"/>
    <x v="5"/>
    <x v="1"/>
  </r>
  <r>
    <n v="130097"/>
    <x v="0"/>
    <x v="0"/>
    <x v="1"/>
    <x v="0"/>
    <x v="0"/>
    <x v="0"/>
    <n v="-4950000"/>
    <n v="-3109805.57"/>
    <x v="5"/>
    <x v="1"/>
  </r>
  <r>
    <n v="130126"/>
    <x v="0"/>
    <x v="0"/>
    <x v="0"/>
    <x v="1"/>
    <x v="0"/>
    <x v="0"/>
    <n v="4950000"/>
    <n v="3109805.57"/>
    <x v="5"/>
    <x v="1"/>
  </r>
  <r>
    <n v="148449"/>
    <x v="0"/>
    <x v="0"/>
    <x v="1"/>
    <x v="1"/>
    <x v="0"/>
    <x v="0"/>
    <n v="-4950000"/>
    <n v="-3109805.57"/>
    <x v="5"/>
    <x v="1"/>
  </r>
  <r>
    <n v="148911"/>
    <x v="0"/>
    <x v="0"/>
    <x v="0"/>
    <x v="1"/>
    <x v="1"/>
    <x v="0"/>
    <n v="4950000"/>
    <n v="3109805.57"/>
    <x v="5"/>
    <x v="1"/>
  </r>
  <r>
    <n v="45688"/>
    <x v="0"/>
    <x v="1"/>
    <x v="0"/>
    <x v="2"/>
    <x v="2"/>
    <x v="0"/>
    <n v="82571000"/>
    <n v="50976576.700000003"/>
    <x v="6"/>
    <x v="1"/>
  </r>
  <r>
    <n v="50504"/>
    <x v="0"/>
    <x v="1"/>
    <x v="1"/>
    <x v="2"/>
    <x v="2"/>
    <x v="0"/>
    <n v="-82571000"/>
    <n v="-50976576.700000003"/>
    <x v="6"/>
    <x v="1"/>
  </r>
  <r>
    <n v="50607"/>
    <x v="0"/>
    <x v="1"/>
    <x v="0"/>
    <x v="3"/>
    <x v="3"/>
    <x v="0"/>
    <n v="82571000"/>
    <n v="50976576.700000003"/>
    <x v="6"/>
    <x v="1"/>
  </r>
  <r>
    <n v="52730"/>
    <x v="0"/>
    <x v="2"/>
    <x v="0"/>
    <x v="3"/>
    <x v="3"/>
    <x v="0"/>
    <n v="82571000"/>
    <n v="50976576.700000003"/>
    <x v="6"/>
    <x v="1"/>
  </r>
  <r>
    <n v="52731"/>
    <x v="0"/>
    <x v="1"/>
    <x v="1"/>
    <x v="3"/>
    <x v="3"/>
    <x v="0"/>
    <n v="-82571000"/>
    <n v="-50976576.700000003"/>
    <x v="6"/>
    <x v="1"/>
  </r>
  <r>
    <n v="56691"/>
    <x v="0"/>
    <x v="2"/>
    <x v="1"/>
    <x v="0"/>
    <x v="3"/>
    <x v="0"/>
    <n v="-82571000"/>
    <n v="-50976576.700000003"/>
    <x v="6"/>
    <x v="1"/>
  </r>
  <r>
    <n v="77373"/>
    <x v="0"/>
    <x v="2"/>
    <x v="0"/>
    <x v="4"/>
    <x v="4"/>
    <x v="0"/>
    <n v="82571000"/>
    <n v="50976576.700000003"/>
    <x v="6"/>
    <x v="1"/>
  </r>
  <r>
    <n v="149070"/>
    <x v="0"/>
    <x v="2"/>
    <x v="1"/>
    <x v="3"/>
    <x v="3"/>
    <x v="0"/>
    <n v="-82571000"/>
    <n v="-50976576.700000003"/>
    <x v="6"/>
    <x v="1"/>
  </r>
  <r>
    <n v="150859"/>
    <x v="0"/>
    <x v="2"/>
    <x v="0"/>
    <x v="3"/>
    <x v="5"/>
    <x v="0"/>
    <n v="82571000"/>
    <n v="50976576.700000003"/>
    <x v="6"/>
    <x v="1"/>
  </r>
  <r>
    <n v="51128"/>
    <x v="0"/>
    <x v="1"/>
    <x v="0"/>
    <x v="3"/>
    <x v="3"/>
    <x v="0"/>
    <n v="20000000"/>
    <n v="13480796.4"/>
    <x v="7"/>
    <x v="1"/>
  </r>
  <r>
    <n v="52170"/>
    <x v="0"/>
    <x v="2"/>
    <x v="0"/>
    <x v="3"/>
    <x v="3"/>
    <x v="0"/>
    <n v="20000000"/>
    <n v="13480796.4"/>
    <x v="7"/>
    <x v="1"/>
  </r>
  <r>
    <n v="52171"/>
    <x v="0"/>
    <x v="1"/>
    <x v="1"/>
    <x v="3"/>
    <x v="3"/>
    <x v="0"/>
    <n v="-20000000"/>
    <n v="-13480796.4"/>
    <x v="7"/>
    <x v="1"/>
  </r>
  <r>
    <n v="53610"/>
    <x v="0"/>
    <x v="2"/>
    <x v="1"/>
    <x v="3"/>
    <x v="3"/>
    <x v="0"/>
    <n v="-20000000"/>
    <n v="-13480796.4"/>
    <x v="7"/>
    <x v="1"/>
  </r>
  <r>
    <n v="53611"/>
    <x v="0"/>
    <x v="1"/>
    <x v="0"/>
    <x v="3"/>
    <x v="3"/>
    <x v="0"/>
    <n v="20000000"/>
    <n v="13480796.4"/>
    <x v="7"/>
    <x v="1"/>
  </r>
  <r>
    <n v="61667"/>
    <x v="0"/>
    <x v="0"/>
    <x v="0"/>
    <x v="4"/>
    <x v="0"/>
    <x v="0"/>
    <n v="4925000"/>
    <n v="3319646.11"/>
    <x v="7"/>
    <x v="1"/>
  </r>
  <r>
    <n v="136919"/>
    <x v="0"/>
    <x v="1"/>
    <x v="1"/>
    <x v="3"/>
    <x v="3"/>
    <x v="0"/>
    <n v="-20000000"/>
    <n v="-13480796.4"/>
    <x v="7"/>
    <x v="1"/>
  </r>
  <r>
    <n v="136920"/>
    <x v="0"/>
    <x v="2"/>
    <x v="0"/>
    <x v="3"/>
    <x v="3"/>
    <x v="0"/>
    <n v="20000000"/>
    <n v="13480796.4"/>
    <x v="7"/>
    <x v="1"/>
  </r>
  <r>
    <n v="148450"/>
    <x v="0"/>
    <x v="0"/>
    <x v="1"/>
    <x v="4"/>
    <x v="0"/>
    <x v="0"/>
    <n v="-4925000"/>
    <n v="-3319646.11"/>
    <x v="7"/>
    <x v="1"/>
  </r>
  <r>
    <n v="148913"/>
    <x v="0"/>
    <x v="0"/>
    <x v="0"/>
    <x v="4"/>
    <x v="1"/>
    <x v="0"/>
    <n v="4925000"/>
    <n v="3319646.11"/>
    <x v="7"/>
    <x v="1"/>
  </r>
  <r>
    <n v="149371"/>
    <x v="0"/>
    <x v="2"/>
    <x v="1"/>
    <x v="3"/>
    <x v="3"/>
    <x v="0"/>
    <n v="-20000000"/>
    <n v="-13480796.4"/>
    <x v="7"/>
    <x v="1"/>
  </r>
  <r>
    <n v="151736"/>
    <x v="0"/>
    <x v="2"/>
    <x v="0"/>
    <x v="3"/>
    <x v="5"/>
    <x v="0"/>
    <n v="20000000"/>
    <n v="13480796.4"/>
    <x v="7"/>
    <x v="1"/>
  </r>
  <r>
    <n v="155022"/>
    <x v="0"/>
    <x v="1"/>
    <x v="1"/>
    <x v="5"/>
    <x v="5"/>
    <x v="0"/>
    <n v="-20000000"/>
    <n v="-13480796.4"/>
    <x v="7"/>
    <x v="1"/>
  </r>
  <r>
    <n v="155023"/>
    <x v="0"/>
    <x v="1"/>
    <x v="0"/>
    <x v="3"/>
    <x v="5"/>
    <x v="0"/>
    <n v="20000000"/>
    <n v="13480796.4"/>
    <x v="7"/>
    <x v="1"/>
  </r>
  <r>
    <n v="155130"/>
    <x v="0"/>
    <x v="2"/>
    <x v="1"/>
    <x v="3"/>
    <x v="5"/>
    <x v="0"/>
    <n v="-20000000"/>
    <n v="-13480796.4"/>
    <x v="7"/>
    <x v="1"/>
  </r>
  <r>
    <n v="155132"/>
    <x v="0"/>
    <x v="2"/>
    <x v="0"/>
    <x v="6"/>
    <x v="5"/>
    <x v="0"/>
    <n v="20000000"/>
    <n v="13480796.4"/>
    <x v="7"/>
    <x v="1"/>
  </r>
  <r>
    <n v="51412"/>
    <x v="0"/>
    <x v="1"/>
    <x v="0"/>
    <x v="3"/>
    <x v="3"/>
    <x v="0"/>
    <n v="40000000"/>
    <n v="26607626.399999999"/>
    <x v="8"/>
    <x v="1"/>
  </r>
  <r>
    <n v="52174"/>
    <x v="0"/>
    <x v="2"/>
    <x v="0"/>
    <x v="3"/>
    <x v="3"/>
    <x v="0"/>
    <n v="40000000"/>
    <n v="26607626.399999999"/>
    <x v="8"/>
    <x v="1"/>
  </r>
  <r>
    <n v="52175"/>
    <x v="0"/>
    <x v="1"/>
    <x v="1"/>
    <x v="3"/>
    <x v="3"/>
    <x v="0"/>
    <n v="-40000000"/>
    <n v="-26607626.399999999"/>
    <x v="8"/>
    <x v="1"/>
  </r>
  <r>
    <n v="56692"/>
    <x v="0"/>
    <x v="2"/>
    <x v="1"/>
    <x v="0"/>
    <x v="3"/>
    <x v="0"/>
    <n v="-40000000"/>
    <n v="-26607626.399999999"/>
    <x v="8"/>
    <x v="1"/>
  </r>
  <r>
    <n v="77371"/>
    <x v="0"/>
    <x v="2"/>
    <x v="0"/>
    <x v="4"/>
    <x v="4"/>
    <x v="0"/>
    <n v="40000000"/>
    <n v="26607626.399999999"/>
    <x v="8"/>
    <x v="1"/>
  </r>
  <r>
    <n v="149235"/>
    <x v="0"/>
    <x v="2"/>
    <x v="1"/>
    <x v="3"/>
    <x v="3"/>
    <x v="0"/>
    <n v="-40000000"/>
    <n v="-26607626.399999999"/>
    <x v="8"/>
    <x v="1"/>
  </r>
  <r>
    <n v="151328"/>
    <x v="0"/>
    <x v="2"/>
    <x v="0"/>
    <x v="3"/>
    <x v="5"/>
    <x v="0"/>
    <n v="40000000"/>
    <n v="26607626.399999999"/>
    <x v="8"/>
    <x v="1"/>
  </r>
  <r>
    <n v="58219"/>
    <x v="0"/>
    <x v="0"/>
    <x v="0"/>
    <x v="0"/>
    <x v="0"/>
    <x v="0"/>
    <n v="34125000"/>
    <n v="20641820.059999999"/>
    <x v="9"/>
    <x v="1"/>
  </r>
  <r>
    <n v="67880"/>
    <x v="0"/>
    <x v="1"/>
    <x v="0"/>
    <x v="3"/>
    <x v="3"/>
    <x v="0"/>
    <n v="20000000"/>
    <n v="12097770"/>
    <x v="9"/>
    <x v="1"/>
  </r>
  <r>
    <n v="130098"/>
    <x v="0"/>
    <x v="0"/>
    <x v="1"/>
    <x v="0"/>
    <x v="0"/>
    <x v="0"/>
    <n v="-34125000"/>
    <n v="-20641820.059999999"/>
    <x v="9"/>
    <x v="1"/>
  </r>
  <r>
    <n v="130127"/>
    <x v="0"/>
    <x v="0"/>
    <x v="0"/>
    <x v="1"/>
    <x v="0"/>
    <x v="0"/>
    <n v="34125000"/>
    <n v="20641820.059999999"/>
    <x v="9"/>
    <x v="1"/>
  </r>
  <r>
    <n v="138574"/>
    <x v="0"/>
    <x v="1"/>
    <x v="1"/>
    <x v="3"/>
    <x v="3"/>
    <x v="0"/>
    <n v="-20000000"/>
    <n v="-12097770"/>
    <x v="9"/>
    <x v="1"/>
  </r>
  <r>
    <n v="138575"/>
    <x v="0"/>
    <x v="2"/>
    <x v="0"/>
    <x v="3"/>
    <x v="3"/>
    <x v="0"/>
    <n v="20000000"/>
    <n v="12097770"/>
    <x v="9"/>
    <x v="1"/>
  </r>
  <r>
    <n v="148451"/>
    <x v="0"/>
    <x v="0"/>
    <x v="1"/>
    <x v="1"/>
    <x v="0"/>
    <x v="0"/>
    <n v="-34125000"/>
    <n v="-20641820.059999999"/>
    <x v="9"/>
    <x v="1"/>
  </r>
  <r>
    <n v="148915"/>
    <x v="0"/>
    <x v="0"/>
    <x v="0"/>
    <x v="1"/>
    <x v="1"/>
    <x v="0"/>
    <n v="34125000"/>
    <n v="20641820.059999999"/>
    <x v="9"/>
    <x v="1"/>
  </r>
  <r>
    <n v="149372"/>
    <x v="0"/>
    <x v="2"/>
    <x v="1"/>
    <x v="3"/>
    <x v="3"/>
    <x v="0"/>
    <n v="-20000000"/>
    <n v="-12097770"/>
    <x v="9"/>
    <x v="1"/>
  </r>
  <r>
    <n v="151739"/>
    <x v="0"/>
    <x v="2"/>
    <x v="0"/>
    <x v="3"/>
    <x v="5"/>
    <x v="0"/>
    <n v="20000000"/>
    <n v="12097770"/>
    <x v="9"/>
    <x v="1"/>
  </r>
  <r>
    <n v="155014"/>
    <x v="0"/>
    <x v="1"/>
    <x v="0"/>
    <x v="3"/>
    <x v="5"/>
    <x v="0"/>
    <n v="20000000"/>
    <n v="12097770"/>
    <x v="9"/>
    <x v="1"/>
  </r>
  <r>
    <n v="155015"/>
    <x v="0"/>
    <x v="1"/>
    <x v="1"/>
    <x v="5"/>
    <x v="5"/>
    <x v="0"/>
    <n v="-20000000"/>
    <n v="-12097770"/>
    <x v="9"/>
    <x v="1"/>
  </r>
  <r>
    <n v="155133"/>
    <x v="0"/>
    <x v="2"/>
    <x v="1"/>
    <x v="3"/>
    <x v="5"/>
    <x v="0"/>
    <n v="-20000000"/>
    <n v="-12097770"/>
    <x v="9"/>
    <x v="1"/>
  </r>
  <r>
    <n v="155135"/>
    <x v="0"/>
    <x v="2"/>
    <x v="0"/>
    <x v="6"/>
    <x v="5"/>
    <x v="0"/>
    <n v="20000000"/>
    <n v="12097770"/>
    <x v="9"/>
    <x v="1"/>
  </r>
  <r>
    <n v="52305"/>
    <x v="0"/>
    <x v="1"/>
    <x v="0"/>
    <x v="4"/>
    <x v="6"/>
    <x v="0"/>
    <n v="20000000"/>
    <n v="12631793"/>
    <x v="10"/>
    <x v="1"/>
  </r>
  <r>
    <n v="52306"/>
    <x v="0"/>
    <x v="1"/>
    <x v="0"/>
    <x v="3"/>
    <x v="3"/>
    <x v="0"/>
    <n v="30000000"/>
    <n v="18947689.5"/>
    <x v="10"/>
    <x v="1"/>
  </r>
  <r>
    <n v="54015"/>
    <x v="0"/>
    <x v="1"/>
    <x v="1"/>
    <x v="4"/>
    <x v="6"/>
    <x v="0"/>
    <n v="-20000000"/>
    <n v="-12631793"/>
    <x v="10"/>
    <x v="1"/>
  </r>
  <r>
    <n v="54016"/>
    <x v="0"/>
    <x v="1"/>
    <x v="0"/>
    <x v="3"/>
    <x v="6"/>
    <x v="0"/>
    <n v="20000000"/>
    <n v="12631793"/>
    <x v="10"/>
    <x v="1"/>
  </r>
  <r>
    <n v="57640"/>
    <x v="0"/>
    <x v="1"/>
    <x v="1"/>
    <x v="0"/>
    <x v="3"/>
    <x v="0"/>
    <n v="-50000000"/>
    <n v="-31579482.5"/>
    <x v="10"/>
    <x v="1"/>
  </r>
  <r>
    <n v="129181"/>
    <x v="0"/>
    <x v="1"/>
    <x v="1"/>
    <x v="3"/>
    <x v="3"/>
    <x v="0"/>
    <n v="-30000000"/>
    <n v="-18947689.5"/>
    <x v="10"/>
    <x v="1"/>
  </r>
  <r>
    <n v="129182"/>
    <x v="0"/>
    <x v="2"/>
    <x v="0"/>
    <x v="3"/>
    <x v="3"/>
    <x v="0"/>
    <n v="30000000"/>
    <n v="18947689.5"/>
    <x v="10"/>
    <x v="1"/>
  </r>
  <r>
    <n v="129189"/>
    <x v="0"/>
    <x v="1"/>
    <x v="1"/>
    <x v="3"/>
    <x v="6"/>
    <x v="0"/>
    <n v="-20000000"/>
    <n v="-12631793"/>
    <x v="10"/>
    <x v="1"/>
  </r>
  <r>
    <n v="129190"/>
    <x v="0"/>
    <x v="2"/>
    <x v="0"/>
    <x v="3"/>
    <x v="6"/>
    <x v="0"/>
    <n v="20000000"/>
    <n v="12631793"/>
    <x v="10"/>
    <x v="1"/>
  </r>
  <r>
    <n v="149285"/>
    <x v="0"/>
    <x v="2"/>
    <x v="1"/>
    <x v="3"/>
    <x v="3"/>
    <x v="0"/>
    <n v="-30000000"/>
    <n v="-18947689.5"/>
    <x v="10"/>
    <x v="1"/>
  </r>
  <r>
    <n v="149373"/>
    <x v="0"/>
    <x v="2"/>
    <x v="1"/>
    <x v="3"/>
    <x v="6"/>
    <x v="0"/>
    <n v="-20000000"/>
    <n v="-12631793"/>
    <x v="10"/>
    <x v="1"/>
  </r>
  <r>
    <n v="151478"/>
    <x v="0"/>
    <x v="2"/>
    <x v="0"/>
    <x v="3"/>
    <x v="5"/>
    <x v="0"/>
    <n v="30000000"/>
    <n v="18947689.5"/>
    <x v="10"/>
    <x v="1"/>
  </r>
  <r>
    <n v="151742"/>
    <x v="0"/>
    <x v="2"/>
    <x v="0"/>
    <x v="3"/>
    <x v="5"/>
    <x v="0"/>
    <n v="20000000"/>
    <n v="12631793"/>
    <x v="10"/>
    <x v="1"/>
  </r>
  <r>
    <n v="52865"/>
    <x v="0"/>
    <x v="1"/>
    <x v="0"/>
    <x v="3"/>
    <x v="3"/>
    <x v="0"/>
    <n v="35000000"/>
    <n v="21667218.649999999"/>
    <x v="11"/>
    <x v="1"/>
  </r>
  <r>
    <n v="129177"/>
    <x v="0"/>
    <x v="2"/>
    <x v="0"/>
    <x v="3"/>
    <x v="3"/>
    <x v="0"/>
    <n v="35000000"/>
    <n v="21667218.649999999"/>
    <x v="11"/>
    <x v="1"/>
  </r>
  <r>
    <n v="129178"/>
    <x v="0"/>
    <x v="1"/>
    <x v="1"/>
    <x v="3"/>
    <x v="3"/>
    <x v="0"/>
    <n v="-35000000"/>
    <n v="-21667218.649999999"/>
    <x v="11"/>
    <x v="1"/>
  </r>
  <r>
    <n v="149257"/>
    <x v="0"/>
    <x v="2"/>
    <x v="1"/>
    <x v="3"/>
    <x v="3"/>
    <x v="0"/>
    <n v="-35000000"/>
    <n v="-21667218.649999999"/>
    <x v="11"/>
    <x v="1"/>
  </r>
  <r>
    <n v="151394"/>
    <x v="0"/>
    <x v="2"/>
    <x v="0"/>
    <x v="3"/>
    <x v="5"/>
    <x v="0"/>
    <n v="35000000"/>
    <n v="21667218.649999999"/>
    <x v="11"/>
    <x v="1"/>
  </r>
  <r>
    <n v="61877"/>
    <x v="0"/>
    <x v="0"/>
    <x v="0"/>
    <x v="0"/>
    <x v="0"/>
    <x v="0"/>
    <n v="16000000"/>
    <n v="11073373.76"/>
    <x v="12"/>
    <x v="1"/>
  </r>
  <r>
    <n v="130101"/>
    <x v="0"/>
    <x v="0"/>
    <x v="1"/>
    <x v="0"/>
    <x v="0"/>
    <x v="0"/>
    <n v="-16000000"/>
    <n v="-11073373.76"/>
    <x v="12"/>
    <x v="1"/>
  </r>
  <r>
    <n v="130130"/>
    <x v="0"/>
    <x v="0"/>
    <x v="0"/>
    <x v="1"/>
    <x v="0"/>
    <x v="0"/>
    <n v="16000000"/>
    <n v="11073373.76"/>
    <x v="12"/>
    <x v="1"/>
  </r>
  <r>
    <n v="148454"/>
    <x v="0"/>
    <x v="0"/>
    <x v="1"/>
    <x v="1"/>
    <x v="0"/>
    <x v="0"/>
    <n v="-16000000"/>
    <n v="-11073373.76"/>
    <x v="12"/>
    <x v="1"/>
  </r>
  <r>
    <n v="148921"/>
    <x v="0"/>
    <x v="0"/>
    <x v="0"/>
    <x v="1"/>
    <x v="1"/>
    <x v="0"/>
    <n v="16000000"/>
    <n v="11073373.76"/>
    <x v="12"/>
    <x v="1"/>
  </r>
  <r>
    <n v="61878"/>
    <x v="0"/>
    <x v="0"/>
    <x v="0"/>
    <x v="0"/>
    <x v="0"/>
    <x v="0"/>
    <n v="20000000"/>
    <n v="14649547.199999999"/>
    <x v="13"/>
    <x v="1"/>
  </r>
  <r>
    <n v="61879"/>
    <x v="0"/>
    <x v="0"/>
    <x v="0"/>
    <x v="0"/>
    <x v="0"/>
    <x v="0"/>
    <n v="6684000"/>
    <n v="4895878.67"/>
    <x v="13"/>
    <x v="1"/>
  </r>
  <r>
    <n v="130102"/>
    <x v="0"/>
    <x v="0"/>
    <x v="1"/>
    <x v="0"/>
    <x v="0"/>
    <x v="0"/>
    <n v="-26684000"/>
    <n v="-19545425.870000001"/>
    <x v="13"/>
    <x v="1"/>
  </r>
  <r>
    <n v="130131"/>
    <x v="0"/>
    <x v="0"/>
    <x v="0"/>
    <x v="1"/>
    <x v="0"/>
    <x v="0"/>
    <n v="26684000"/>
    <n v="19545425.870000001"/>
    <x v="13"/>
    <x v="1"/>
  </r>
  <r>
    <n v="148455"/>
    <x v="0"/>
    <x v="0"/>
    <x v="1"/>
    <x v="1"/>
    <x v="0"/>
    <x v="0"/>
    <n v="-26684000"/>
    <n v="-19545425.870000001"/>
    <x v="13"/>
    <x v="1"/>
  </r>
  <r>
    <n v="148923"/>
    <x v="0"/>
    <x v="0"/>
    <x v="0"/>
    <x v="1"/>
    <x v="1"/>
    <x v="0"/>
    <n v="26684000"/>
    <n v="19545425.870000001"/>
    <x v="13"/>
    <x v="1"/>
  </r>
  <r>
    <n v="62797"/>
    <x v="0"/>
    <x v="0"/>
    <x v="0"/>
    <x v="0"/>
    <x v="0"/>
    <x v="0"/>
    <n v="24000000"/>
    <n v="17386942.800000001"/>
    <x v="14"/>
    <x v="1"/>
  </r>
  <r>
    <n v="130103"/>
    <x v="0"/>
    <x v="0"/>
    <x v="1"/>
    <x v="0"/>
    <x v="0"/>
    <x v="0"/>
    <n v="-24000000"/>
    <n v="-17386942.800000001"/>
    <x v="14"/>
    <x v="1"/>
  </r>
  <r>
    <n v="130132"/>
    <x v="0"/>
    <x v="0"/>
    <x v="0"/>
    <x v="1"/>
    <x v="0"/>
    <x v="0"/>
    <n v="24000000"/>
    <n v="17386942.800000001"/>
    <x v="14"/>
    <x v="1"/>
  </r>
  <r>
    <n v="148456"/>
    <x v="0"/>
    <x v="0"/>
    <x v="1"/>
    <x v="1"/>
    <x v="0"/>
    <x v="0"/>
    <n v="-24000000"/>
    <n v="-17386942.800000001"/>
    <x v="14"/>
    <x v="1"/>
  </r>
  <r>
    <n v="148925"/>
    <x v="0"/>
    <x v="0"/>
    <x v="0"/>
    <x v="1"/>
    <x v="1"/>
    <x v="0"/>
    <n v="24000000"/>
    <n v="17386942.800000001"/>
    <x v="14"/>
    <x v="1"/>
  </r>
  <r>
    <n v="58200"/>
    <x v="0"/>
    <x v="0"/>
    <x v="0"/>
    <x v="0"/>
    <x v="0"/>
    <x v="0"/>
    <n v="38000000"/>
    <n v="26124610.879999999"/>
    <x v="15"/>
    <x v="1"/>
  </r>
  <r>
    <n v="59613"/>
    <x v="0"/>
    <x v="0"/>
    <x v="0"/>
    <x v="0"/>
    <x v="0"/>
    <x v="0"/>
    <n v="17961000"/>
    <n v="12348003.58"/>
    <x v="15"/>
    <x v="1"/>
  </r>
  <r>
    <n v="130104"/>
    <x v="0"/>
    <x v="0"/>
    <x v="1"/>
    <x v="0"/>
    <x v="0"/>
    <x v="0"/>
    <n v="-55961000"/>
    <n v="-38472614.460000001"/>
    <x v="15"/>
    <x v="1"/>
  </r>
  <r>
    <n v="130133"/>
    <x v="0"/>
    <x v="0"/>
    <x v="0"/>
    <x v="1"/>
    <x v="0"/>
    <x v="0"/>
    <n v="55961000"/>
    <n v="38472614.460000001"/>
    <x v="15"/>
    <x v="1"/>
  </r>
  <r>
    <n v="148457"/>
    <x v="0"/>
    <x v="0"/>
    <x v="1"/>
    <x v="1"/>
    <x v="0"/>
    <x v="0"/>
    <n v="-55961000"/>
    <n v="-38472614.460000001"/>
    <x v="15"/>
    <x v="1"/>
  </r>
  <r>
    <n v="148927"/>
    <x v="0"/>
    <x v="0"/>
    <x v="0"/>
    <x v="1"/>
    <x v="1"/>
    <x v="0"/>
    <n v="55961000"/>
    <n v="38472614.460000001"/>
    <x v="15"/>
    <x v="1"/>
  </r>
  <r>
    <n v="59303"/>
    <x v="0"/>
    <x v="1"/>
    <x v="0"/>
    <x v="3"/>
    <x v="3"/>
    <x v="0"/>
    <n v="60000000"/>
    <n v="42941247.600000001"/>
    <x v="16"/>
    <x v="1"/>
  </r>
  <r>
    <n v="142881"/>
    <x v="0"/>
    <x v="2"/>
    <x v="0"/>
    <x v="3"/>
    <x v="3"/>
    <x v="0"/>
    <n v="60000000"/>
    <n v="42941247.600000001"/>
    <x v="16"/>
    <x v="1"/>
  </r>
  <r>
    <n v="142882"/>
    <x v="0"/>
    <x v="1"/>
    <x v="1"/>
    <x v="3"/>
    <x v="3"/>
    <x v="0"/>
    <n v="-60000000"/>
    <n v="-42941247.600000001"/>
    <x v="16"/>
    <x v="1"/>
  </r>
  <r>
    <n v="149133"/>
    <x v="0"/>
    <x v="2"/>
    <x v="1"/>
    <x v="3"/>
    <x v="3"/>
    <x v="0"/>
    <n v="-60000000"/>
    <n v="-42941247.600000001"/>
    <x v="16"/>
    <x v="1"/>
  </r>
  <r>
    <n v="151040"/>
    <x v="0"/>
    <x v="2"/>
    <x v="0"/>
    <x v="3"/>
    <x v="5"/>
    <x v="0"/>
    <n v="60000000"/>
    <n v="42941247.600000001"/>
    <x v="16"/>
    <x v="1"/>
  </r>
  <r>
    <n v="155004"/>
    <x v="0"/>
    <x v="1"/>
    <x v="0"/>
    <x v="3"/>
    <x v="5"/>
    <x v="0"/>
    <n v="60000000"/>
    <n v="42941247.600000001"/>
    <x v="16"/>
    <x v="1"/>
  </r>
  <r>
    <n v="155008"/>
    <x v="0"/>
    <x v="1"/>
    <x v="1"/>
    <x v="5"/>
    <x v="5"/>
    <x v="0"/>
    <n v="-60000000"/>
    <n v="-42941247.600000001"/>
    <x v="16"/>
    <x v="1"/>
  </r>
  <r>
    <n v="155136"/>
    <x v="0"/>
    <x v="2"/>
    <x v="1"/>
    <x v="3"/>
    <x v="5"/>
    <x v="0"/>
    <n v="-60000000"/>
    <n v="-42941247.600000001"/>
    <x v="16"/>
    <x v="1"/>
  </r>
  <r>
    <n v="155137"/>
    <x v="0"/>
    <x v="2"/>
    <x v="0"/>
    <x v="6"/>
    <x v="5"/>
    <x v="0"/>
    <n v="60000000"/>
    <n v="42941247.600000001"/>
    <x v="16"/>
    <x v="1"/>
  </r>
  <r>
    <n v="59759"/>
    <x v="0"/>
    <x v="0"/>
    <x v="0"/>
    <x v="0"/>
    <x v="0"/>
    <x v="0"/>
    <n v="91000000"/>
    <n v="66435950.490000002"/>
    <x v="17"/>
    <x v="1"/>
  </r>
  <r>
    <n v="130105"/>
    <x v="0"/>
    <x v="0"/>
    <x v="1"/>
    <x v="0"/>
    <x v="0"/>
    <x v="0"/>
    <n v="-91000000"/>
    <n v="-66435950.490000002"/>
    <x v="17"/>
    <x v="1"/>
  </r>
  <r>
    <n v="130134"/>
    <x v="0"/>
    <x v="0"/>
    <x v="0"/>
    <x v="1"/>
    <x v="0"/>
    <x v="0"/>
    <n v="91000000"/>
    <n v="66435950.490000002"/>
    <x v="17"/>
    <x v="1"/>
  </r>
  <r>
    <n v="148458"/>
    <x v="0"/>
    <x v="0"/>
    <x v="1"/>
    <x v="1"/>
    <x v="0"/>
    <x v="0"/>
    <n v="-91000000"/>
    <n v="-66435950.490000002"/>
    <x v="17"/>
    <x v="1"/>
  </r>
  <r>
    <n v="148929"/>
    <x v="0"/>
    <x v="0"/>
    <x v="0"/>
    <x v="1"/>
    <x v="1"/>
    <x v="0"/>
    <n v="91000000"/>
    <n v="66435950.490000002"/>
    <x v="17"/>
    <x v="1"/>
  </r>
  <r>
    <n v="24778"/>
    <x v="0"/>
    <x v="1"/>
    <x v="0"/>
    <x v="2"/>
    <x v="2"/>
    <x v="0"/>
    <n v="15000000"/>
    <n v="13902414.35"/>
    <x v="18"/>
    <x v="1"/>
  </r>
  <r>
    <n v="35472"/>
    <x v="0"/>
    <x v="2"/>
    <x v="0"/>
    <x v="2"/>
    <x v="2"/>
    <x v="0"/>
    <n v="15000000"/>
    <n v="13902414.35"/>
    <x v="18"/>
    <x v="1"/>
  </r>
  <r>
    <n v="35473"/>
    <x v="0"/>
    <x v="1"/>
    <x v="1"/>
    <x v="2"/>
    <x v="2"/>
    <x v="0"/>
    <n v="-15000000"/>
    <n v="-13902414.35"/>
    <x v="18"/>
    <x v="1"/>
  </r>
  <r>
    <n v="36739"/>
    <x v="0"/>
    <x v="2"/>
    <x v="1"/>
    <x v="2"/>
    <x v="2"/>
    <x v="0"/>
    <n v="-15000000"/>
    <n v="-13902414.35"/>
    <x v="18"/>
    <x v="1"/>
  </r>
  <r>
    <n v="45789"/>
    <x v="0"/>
    <x v="1"/>
    <x v="0"/>
    <x v="2"/>
    <x v="2"/>
    <x v="0"/>
    <n v="31500000"/>
    <n v="18612160.879999999"/>
    <x v="19"/>
    <x v="2"/>
  </r>
  <r>
    <n v="50503"/>
    <x v="0"/>
    <x v="1"/>
    <x v="1"/>
    <x v="2"/>
    <x v="2"/>
    <x v="0"/>
    <n v="-31500000"/>
    <n v="-18612160.879999999"/>
    <x v="19"/>
    <x v="2"/>
  </r>
  <r>
    <n v="50606"/>
    <x v="0"/>
    <x v="1"/>
    <x v="0"/>
    <x v="7"/>
    <x v="3"/>
    <x v="0"/>
    <n v="31500000"/>
    <n v="18612160.879999999"/>
    <x v="19"/>
    <x v="2"/>
  </r>
  <r>
    <n v="52172"/>
    <x v="0"/>
    <x v="2"/>
    <x v="0"/>
    <x v="7"/>
    <x v="3"/>
    <x v="0"/>
    <n v="21500000"/>
    <n v="12703538.380000001"/>
    <x v="19"/>
    <x v="2"/>
  </r>
  <r>
    <n v="52173"/>
    <x v="0"/>
    <x v="1"/>
    <x v="1"/>
    <x v="7"/>
    <x v="3"/>
    <x v="0"/>
    <n v="-31500000"/>
    <n v="-18612160.879999999"/>
    <x v="19"/>
    <x v="2"/>
  </r>
  <r>
    <n v="56690"/>
    <x v="0"/>
    <x v="2"/>
    <x v="1"/>
    <x v="0"/>
    <x v="3"/>
    <x v="0"/>
    <n v="-31500000"/>
    <n v="-18612160.879999999"/>
    <x v="19"/>
    <x v="2"/>
  </r>
  <r>
    <n v="77372"/>
    <x v="0"/>
    <x v="2"/>
    <x v="0"/>
    <x v="4"/>
    <x v="4"/>
    <x v="0"/>
    <n v="31500000"/>
    <n v="18612160.879999999"/>
    <x v="19"/>
    <x v="2"/>
  </r>
  <r>
    <n v="130804"/>
    <x v="0"/>
    <x v="2"/>
    <x v="0"/>
    <x v="7"/>
    <x v="3"/>
    <x v="0"/>
    <n v="10000000"/>
    <n v="5908622.5"/>
    <x v="19"/>
    <x v="2"/>
  </r>
  <r>
    <n v="149276"/>
    <x v="0"/>
    <x v="2"/>
    <x v="1"/>
    <x v="7"/>
    <x v="3"/>
    <x v="0"/>
    <n v="-31500000"/>
    <n v="-18612160.879999999"/>
    <x v="19"/>
    <x v="2"/>
  </r>
  <r>
    <n v="151451"/>
    <x v="0"/>
    <x v="2"/>
    <x v="0"/>
    <x v="7"/>
    <x v="5"/>
    <x v="0"/>
    <n v="31500000"/>
    <n v="18612160.879999999"/>
    <x v="19"/>
    <x v="2"/>
  </r>
  <r>
    <n v="54861"/>
    <x v="0"/>
    <x v="0"/>
    <x v="0"/>
    <x v="0"/>
    <x v="0"/>
    <x v="0"/>
    <n v="15000000"/>
    <n v="8125759.0499999998"/>
    <x v="20"/>
    <x v="3"/>
  </r>
  <r>
    <n v="130095"/>
    <x v="0"/>
    <x v="0"/>
    <x v="1"/>
    <x v="0"/>
    <x v="0"/>
    <x v="0"/>
    <n v="-15000000"/>
    <n v="-8125759.0499999998"/>
    <x v="20"/>
    <x v="3"/>
  </r>
  <r>
    <n v="130124"/>
    <x v="0"/>
    <x v="0"/>
    <x v="0"/>
    <x v="1"/>
    <x v="0"/>
    <x v="0"/>
    <n v="15000000"/>
    <n v="8125759.0499999998"/>
    <x v="20"/>
    <x v="3"/>
  </r>
  <r>
    <n v="148447"/>
    <x v="0"/>
    <x v="0"/>
    <x v="1"/>
    <x v="1"/>
    <x v="0"/>
    <x v="0"/>
    <n v="-15000000"/>
    <n v="-8125759.0499999998"/>
    <x v="20"/>
    <x v="3"/>
  </r>
  <r>
    <n v="148907"/>
    <x v="0"/>
    <x v="0"/>
    <x v="0"/>
    <x v="1"/>
    <x v="1"/>
    <x v="0"/>
    <n v="15000000"/>
    <n v="8125759.0499999998"/>
    <x v="20"/>
    <x v="3"/>
  </r>
  <r>
    <n v="54890"/>
    <x v="0"/>
    <x v="0"/>
    <x v="0"/>
    <x v="0"/>
    <x v="0"/>
    <x v="0"/>
    <n v="35000000"/>
    <n v="23149337.399999999"/>
    <x v="21"/>
    <x v="3"/>
  </r>
  <r>
    <n v="130100"/>
    <x v="0"/>
    <x v="0"/>
    <x v="1"/>
    <x v="0"/>
    <x v="0"/>
    <x v="0"/>
    <n v="-35000000"/>
    <n v="-23149337.399999999"/>
    <x v="21"/>
    <x v="3"/>
  </r>
  <r>
    <n v="130129"/>
    <x v="0"/>
    <x v="0"/>
    <x v="0"/>
    <x v="1"/>
    <x v="0"/>
    <x v="0"/>
    <n v="35000000"/>
    <n v="23149337.399999999"/>
    <x v="21"/>
    <x v="3"/>
  </r>
  <r>
    <n v="148453"/>
    <x v="0"/>
    <x v="0"/>
    <x v="1"/>
    <x v="1"/>
    <x v="0"/>
    <x v="0"/>
    <n v="-35000000"/>
    <n v="-23149337.399999999"/>
    <x v="21"/>
    <x v="3"/>
  </r>
  <r>
    <n v="148919"/>
    <x v="0"/>
    <x v="0"/>
    <x v="0"/>
    <x v="1"/>
    <x v="1"/>
    <x v="0"/>
    <n v="35000000"/>
    <n v="23149337.399999999"/>
    <x v="21"/>
    <x v="3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6">
  <r>
    <n v="55050"/>
    <x v="0"/>
    <x v="0"/>
    <x v="0"/>
    <x v="0"/>
    <x v="0"/>
    <x v="0"/>
    <n v="5000000"/>
    <n v="3389743.3"/>
    <x v="0"/>
    <x v="0"/>
  </r>
  <r>
    <n v="130099"/>
    <x v="0"/>
    <x v="0"/>
    <x v="1"/>
    <x v="0"/>
    <x v="0"/>
    <x v="0"/>
    <n v="-5000000"/>
    <n v="-3389743.3"/>
    <x v="0"/>
    <x v="0"/>
  </r>
  <r>
    <n v="130128"/>
    <x v="0"/>
    <x v="0"/>
    <x v="0"/>
    <x v="1"/>
    <x v="0"/>
    <x v="0"/>
    <n v="5000000"/>
    <n v="3389743.3"/>
    <x v="0"/>
    <x v="0"/>
  </r>
  <r>
    <n v="148452"/>
    <x v="0"/>
    <x v="0"/>
    <x v="1"/>
    <x v="1"/>
    <x v="0"/>
    <x v="0"/>
    <n v="-5000000"/>
    <n v="-3389743.3"/>
    <x v="0"/>
    <x v="0"/>
  </r>
  <r>
    <n v="148917"/>
    <x v="0"/>
    <x v="0"/>
    <x v="0"/>
    <x v="1"/>
    <x v="1"/>
    <x v="0"/>
    <n v="5000000"/>
    <n v="3389743.3"/>
    <x v="0"/>
    <x v="0"/>
  </r>
  <r>
    <n v="58985"/>
    <x v="0"/>
    <x v="0"/>
    <x v="0"/>
    <x v="0"/>
    <x v="0"/>
    <x v="0"/>
    <n v="20000000"/>
    <n v="14689918.4"/>
    <x v="1"/>
    <x v="1"/>
  </r>
  <r>
    <n v="130077"/>
    <x v="0"/>
    <x v="0"/>
    <x v="1"/>
    <x v="0"/>
    <x v="0"/>
    <x v="0"/>
    <n v="-20000000"/>
    <n v="-14689918.4"/>
    <x v="1"/>
    <x v="1"/>
  </r>
  <r>
    <n v="130106"/>
    <x v="0"/>
    <x v="0"/>
    <x v="0"/>
    <x v="1"/>
    <x v="0"/>
    <x v="0"/>
    <n v="20000000"/>
    <n v="14689918.4"/>
    <x v="1"/>
    <x v="1"/>
  </r>
  <r>
    <n v="148289"/>
    <x v="0"/>
    <x v="0"/>
    <x v="1"/>
    <x v="1"/>
    <x v="0"/>
    <x v="0"/>
    <n v="-20000000"/>
    <n v="-14689918.4"/>
    <x v="1"/>
    <x v="1"/>
  </r>
  <r>
    <n v="148877"/>
    <x v="0"/>
    <x v="0"/>
    <x v="0"/>
    <x v="1"/>
    <x v="1"/>
    <x v="0"/>
    <n v="20000000"/>
    <n v="14689918.4"/>
    <x v="1"/>
    <x v="1"/>
  </r>
  <r>
    <n v="54871"/>
    <x v="0"/>
    <x v="0"/>
    <x v="0"/>
    <x v="0"/>
    <x v="0"/>
    <x v="0"/>
    <n v="29200000"/>
    <n v="11948720.880000001"/>
    <x v="2"/>
    <x v="1"/>
  </r>
  <r>
    <n v="54989"/>
    <x v="0"/>
    <x v="0"/>
    <x v="0"/>
    <x v="0"/>
    <x v="0"/>
    <x v="0"/>
    <n v="13000000"/>
    <n v="5319636.01"/>
    <x v="2"/>
    <x v="1"/>
  </r>
  <r>
    <n v="130092"/>
    <x v="0"/>
    <x v="0"/>
    <x v="1"/>
    <x v="0"/>
    <x v="0"/>
    <x v="0"/>
    <n v="-29200000"/>
    <n v="-11948720.880000001"/>
    <x v="2"/>
    <x v="1"/>
  </r>
  <r>
    <n v="130093"/>
    <x v="0"/>
    <x v="0"/>
    <x v="1"/>
    <x v="0"/>
    <x v="0"/>
    <x v="0"/>
    <n v="-13000000"/>
    <n v="-5319636.01"/>
    <x v="2"/>
    <x v="1"/>
  </r>
  <r>
    <n v="130121"/>
    <x v="0"/>
    <x v="0"/>
    <x v="0"/>
    <x v="1"/>
    <x v="0"/>
    <x v="0"/>
    <n v="29200000"/>
    <n v="11948720.880000001"/>
    <x v="2"/>
    <x v="1"/>
  </r>
  <r>
    <n v="130122"/>
    <x v="0"/>
    <x v="0"/>
    <x v="0"/>
    <x v="1"/>
    <x v="0"/>
    <x v="0"/>
    <n v="13000000"/>
    <n v="5319636.01"/>
    <x v="2"/>
    <x v="1"/>
  </r>
  <r>
    <n v="148445"/>
    <x v="0"/>
    <x v="0"/>
    <x v="1"/>
    <x v="1"/>
    <x v="0"/>
    <x v="0"/>
    <n v="-42200000"/>
    <n v="-17268356.890000001"/>
    <x v="2"/>
    <x v="1"/>
  </r>
  <r>
    <n v="148903"/>
    <x v="0"/>
    <x v="0"/>
    <x v="0"/>
    <x v="1"/>
    <x v="1"/>
    <x v="0"/>
    <n v="42200000"/>
    <n v="17268356.890000001"/>
    <x v="2"/>
    <x v="1"/>
  </r>
  <r>
    <n v="55708"/>
    <x v="0"/>
    <x v="0"/>
    <x v="0"/>
    <x v="0"/>
    <x v="0"/>
    <x v="0"/>
    <n v="33860000"/>
    <n v="18007850.140000001"/>
    <x v="3"/>
    <x v="1"/>
  </r>
  <r>
    <n v="130094"/>
    <x v="0"/>
    <x v="0"/>
    <x v="1"/>
    <x v="0"/>
    <x v="0"/>
    <x v="0"/>
    <n v="-33860000"/>
    <n v="-18007850.140000001"/>
    <x v="3"/>
    <x v="1"/>
  </r>
  <r>
    <n v="130123"/>
    <x v="0"/>
    <x v="0"/>
    <x v="0"/>
    <x v="1"/>
    <x v="0"/>
    <x v="0"/>
    <n v="33860000"/>
    <n v="18007850.140000001"/>
    <x v="3"/>
    <x v="1"/>
  </r>
  <r>
    <n v="148446"/>
    <x v="0"/>
    <x v="0"/>
    <x v="1"/>
    <x v="1"/>
    <x v="0"/>
    <x v="0"/>
    <n v="-33860000"/>
    <n v="-18007850.140000001"/>
    <x v="3"/>
    <x v="1"/>
  </r>
  <r>
    <n v="148905"/>
    <x v="0"/>
    <x v="0"/>
    <x v="0"/>
    <x v="1"/>
    <x v="1"/>
    <x v="0"/>
    <n v="33860000"/>
    <n v="18007850.140000001"/>
    <x v="3"/>
    <x v="1"/>
  </r>
  <r>
    <n v="55003"/>
    <x v="0"/>
    <x v="0"/>
    <x v="0"/>
    <x v="0"/>
    <x v="0"/>
    <x v="0"/>
    <n v="8350000"/>
    <n v="5041956.79"/>
    <x v="4"/>
    <x v="1"/>
  </r>
  <r>
    <n v="59093"/>
    <x v="0"/>
    <x v="0"/>
    <x v="0"/>
    <x v="0"/>
    <x v="0"/>
    <x v="0"/>
    <n v="21000000"/>
    <n v="12680370.359999999"/>
    <x v="4"/>
    <x v="1"/>
  </r>
  <r>
    <n v="130096"/>
    <x v="0"/>
    <x v="0"/>
    <x v="1"/>
    <x v="0"/>
    <x v="0"/>
    <x v="0"/>
    <n v="-29350000"/>
    <n v="-17722327.149999999"/>
    <x v="4"/>
    <x v="1"/>
  </r>
  <r>
    <n v="130125"/>
    <x v="0"/>
    <x v="0"/>
    <x v="0"/>
    <x v="1"/>
    <x v="0"/>
    <x v="0"/>
    <n v="29350000"/>
    <n v="17722327.149999999"/>
    <x v="4"/>
    <x v="1"/>
  </r>
  <r>
    <n v="148448"/>
    <x v="0"/>
    <x v="0"/>
    <x v="1"/>
    <x v="1"/>
    <x v="0"/>
    <x v="0"/>
    <n v="-29350000"/>
    <n v="-17722327.149999999"/>
    <x v="4"/>
    <x v="1"/>
  </r>
  <r>
    <n v="148909"/>
    <x v="0"/>
    <x v="0"/>
    <x v="0"/>
    <x v="1"/>
    <x v="1"/>
    <x v="0"/>
    <n v="29350000"/>
    <n v="17722327.149999999"/>
    <x v="4"/>
    <x v="1"/>
  </r>
  <r>
    <n v="54908"/>
    <x v="0"/>
    <x v="0"/>
    <x v="0"/>
    <x v="0"/>
    <x v="0"/>
    <x v="0"/>
    <n v="4950000"/>
    <n v="3109805.57"/>
    <x v="5"/>
    <x v="1"/>
  </r>
  <r>
    <n v="130097"/>
    <x v="0"/>
    <x v="0"/>
    <x v="1"/>
    <x v="0"/>
    <x v="0"/>
    <x v="0"/>
    <n v="-4950000"/>
    <n v="-3109805.57"/>
    <x v="5"/>
    <x v="1"/>
  </r>
  <r>
    <n v="130126"/>
    <x v="0"/>
    <x v="0"/>
    <x v="0"/>
    <x v="1"/>
    <x v="0"/>
    <x v="0"/>
    <n v="4950000"/>
    <n v="3109805.57"/>
    <x v="5"/>
    <x v="1"/>
  </r>
  <r>
    <n v="148449"/>
    <x v="0"/>
    <x v="0"/>
    <x v="1"/>
    <x v="1"/>
    <x v="0"/>
    <x v="0"/>
    <n v="-4950000"/>
    <n v="-3109805.57"/>
    <x v="5"/>
    <x v="1"/>
  </r>
  <r>
    <n v="148911"/>
    <x v="0"/>
    <x v="0"/>
    <x v="0"/>
    <x v="1"/>
    <x v="1"/>
    <x v="0"/>
    <n v="4950000"/>
    <n v="3109805.57"/>
    <x v="5"/>
    <x v="1"/>
  </r>
  <r>
    <n v="45688"/>
    <x v="0"/>
    <x v="1"/>
    <x v="0"/>
    <x v="2"/>
    <x v="2"/>
    <x v="0"/>
    <n v="82571000"/>
    <n v="50976576.700000003"/>
    <x v="6"/>
    <x v="1"/>
  </r>
  <r>
    <n v="50504"/>
    <x v="0"/>
    <x v="1"/>
    <x v="1"/>
    <x v="2"/>
    <x v="2"/>
    <x v="0"/>
    <n v="-82571000"/>
    <n v="-50976576.700000003"/>
    <x v="6"/>
    <x v="1"/>
  </r>
  <r>
    <n v="50607"/>
    <x v="0"/>
    <x v="1"/>
    <x v="0"/>
    <x v="3"/>
    <x v="3"/>
    <x v="0"/>
    <n v="82571000"/>
    <n v="50976576.700000003"/>
    <x v="6"/>
    <x v="1"/>
  </r>
  <r>
    <n v="52730"/>
    <x v="0"/>
    <x v="2"/>
    <x v="0"/>
    <x v="3"/>
    <x v="3"/>
    <x v="0"/>
    <n v="82571000"/>
    <n v="50976576.700000003"/>
    <x v="6"/>
    <x v="1"/>
  </r>
  <r>
    <n v="52731"/>
    <x v="0"/>
    <x v="1"/>
    <x v="1"/>
    <x v="3"/>
    <x v="3"/>
    <x v="0"/>
    <n v="-82571000"/>
    <n v="-50976576.700000003"/>
    <x v="6"/>
    <x v="1"/>
  </r>
  <r>
    <n v="56691"/>
    <x v="0"/>
    <x v="2"/>
    <x v="1"/>
    <x v="0"/>
    <x v="3"/>
    <x v="0"/>
    <n v="-82571000"/>
    <n v="-50976576.700000003"/>
    <x v="6"/>
    <x v="1"/>
  </r>
  <r>
    <n v="77373"/>
    <x v="0"/>
    <x v="2"/>
    <x v="0"/>
    <x v="4"/>
    <x v="4"/>
    <x v="0"/>
    <n v="82571000"/>
    <n v="50976576.700000003"/>
    <x v="6"/>
    <x v="1"/>
  </r>
  <r>
    <n v="149070"/>
    <x v="0"/>
    <x v="2"/>
    <x v="1"/>
    <x v="3"/>
    <x v="3"/>
    <x v="0"/>
    <n v="-82571000"/>
    <n v="-50976576.700000003"/>
    <x v="6"/>
    <x v="1"/>
  </r>
  <r>
    <n v="150859"/>
    <x v="0"/>
    <x v="2"/>
    <x v="0"/>
    <x v="3"/>
    <x v="5"/>
    <x v="0"/>
    <n v="82571000"/>
    <n v="50976576.700000003"/>
    <x v="6"/>
    <x v="1"/>
  </r>
  <r>
    <n v="51128"/>
    <x v="0"/>
    <x v="1"/>
    <x v="0"/>
    <x v="3"/>
    <x v="3"/>
    <x v="0"/>
    <n v="20000000"/>
    <n v="13480796.4"/>
    <x v="7"/>
    <x v="1"/>
  </r>
  <r>
    <n v="52170"/>
    <x v="0"/>
    <x v="2"/>
    <x v="0"/>
    <x v="3"/>
    <x v="3"/>
    <x v="0"/>
    <n v="20000000"/>
    <n v="13480796.4"/>
    <x v="7"/>
    <x v="1"/>
  </r>
  <r>
    <n v="52171"/>
    <x v="0"/>
    <x v="1"/>
    <x v="1"/>
    <x v="3"/>
    <x v="3"/>
    <x v="0"/>
    <n v="-20000000"/>
    <n v="-13480796.4"/>
    <x v="7"/>
    <x v="1"/>
  </r>
  <r>
    <n v="53610"/>
    <x v="0"/>
    <x v="2"/>
    <x v="1"/>
    <x v="3"/>
    <x v="3"/>
    <x v="0"/>
    <n v="-20000000"/>
    <n v="-13480796.4"/>
    <x v="7"/>
    <x v="1"/>
  </r>
  <r>
    <n v="53611"/>
    <x v="0"/>
    <x v="1"/>
    <x v="0"/>
    <x v="3"/>
    <x v="3"/>
    <x v="0"/>
    <n v="20000000"/>
    <n v="13480796.4"/>
    <x v="7"/>
    <x v="1"/>
  </r>
  <r>
    <n v="61667"/>
    <x v="0"/>
    <x v="0"/>
    <x v="0"/>
    <x v="4"/>
    <x v="0"/>
    <x v="0"/>
    <n v="4925000"/>
    <n v="3319646.11"/>
    <x v="7"/>
    <x v="1"/>
  </r>
  <r>
    <n v="136919"/>
    <x v="0"/>
    <x v="1"/>
    <x v="1"/>
    <x v="3"/>
    <x v="3"/>
    <x v="0"/>
    <n v="-20000000"/>
    <n v="-13480796.4"/>
    <x v="7"/>
    <x v="1"/>
  </r>
  <r>
    <n v="136920"/>
    <x v="0"/>
    <x v="2"/>
    <x v="0"/>
    <x v="3"/>
    <x v="3"/>
    <x v="0"/>
    <n v="20000000"/>
    <n v="13480796.4"/>
    <x v="7"/>
    <x v="1"/>
  </r>
  <r>
    <n v="148450"/>
    <x v="0"/>
    <x v="0"/>
    <x v="1"/>
    <x v="4"/>
    <x v="0"/>
    <x v="0"/>
    <n v="-4925000"/>
    <n v="-3319646.11"/>
    <x v="7"/>
    <x v="1"/>
  </r>
  <r>
    <n v="148913"/>
    <x v="0"/>
    <x v="0"/>
    <x v="0"/>
    <x v="4"/>
    <x v="1"/>
    <x v="0"/>
    <n v="4925000"/>
    <n v="3319646.11"/>
    <x v="7"/>
    <x v="1"/>
  </r>
  <r>
    <n v="149371"/>
    <x v="0"/>
    <x v="2"/>
    <x v="1"/>
    <x v="3"/>
    <x v="3"/>
    <x v="0"/>
    <n v="-20000000"/>
    <n v="-13480796.4"/>
    <x v="7"/>
    <x v="1"/>
  </r>
  <r>
    <n v="151736"/>
    <x v="0"/>
    <x v="2"/>
    <x v="0"/>
    <x v="3"/>
    <x v="5"/>
    <x v="0"/>
    <n v="20000000"/>
    <n v="13480796.4"/>
    <x v="7"/>
    <x v="1"/>
  </r>
  <r>
    <n v="155022"/>
    <x v="0"/>
    <x v="1"/>
    <x v="1"/>
    <x v="5"/>
    <x v="5"/>
    <x v="0"/>
    <n v="-20000000"/>
    <n v="-13480796.4"/>
    <x v="7"/>
    <x v="1"/>
  </r>
  <r>
    <n v="155023"/>
    <x v="0"/>
    <x v="1"/>
    <x v="0"/>
    <x v="3"/>
    <x v="5"/>
    <x v="0"/>
    <n v="20000000"/>
    <n v="13480796.4"/>
    <x v="7"/>
    <x v="1"/>
  </r>
  <r>
    <n v="155130"/>
    <x v="0"/>
    <x v="2"/>
    <x v="1"/>
    <x v="3"/>
    <x v="5"/>
    <x v="0"/>
    <n v="-20000000"/>
    <n v="-13480796.4"/>
    <x v="7"/>
    <x v="1"/>
  </r>
  <r>
    <n v="155132"/>
    <x v="0"/>
    <x v="2"/>
    <x v="0"/>
    <x v="6"/>
    <x v="5"/>
    <x v="0"/>
    <n v="20000000"/>
    <n v="13480796.4"/>
    <x v="7"/>
    <x v="1"/>
  </r>
  <r>
    <n v="51412"/>
    <x v="0"/>
    <x v="1"/>
    <x v="0"/>
    <x v="3"/>
    <x v="3"/>
    <x v="0"/>
    <n v="40000000"/>
    <n v="26607626.399999999"/>
    <x v="8"/>
    <x v="1"/>
  </r>
  <r>
    <n v="52174"/>
    <x v="0"/>
    <x v="2"/>
    <x v="0"/>
    <x v="3"/>
    <x v="3"/>
    <x v="0"/>
    <n v="40000000"/>
    <n v="26607626.399999999"/>
    <x v="8"/>
    <x v="1"/>
  </r>
  <r>
    <n v="52175"/>
    <x v="0"/>
    <x v="1"/>
    <x v="1"/>
    <x v="3"/>
    <x v="3"/>
    <x v="0"/>
    <n v="-40000000"/>
    <n v="-26607626.399999999"/>
    <x v="8"/>
    <x v="1"/>
  </r>
  <r>
    <n v="56692"/>
    <x v="0"/>
    <x v="2"/>
    <x v="1"/>
    <x v="0"/>
    <x v="3"/>
    <x v="0"/>
    <n v="-40000000"/>
    <n v="-26607626.399999999"/>
    <x v="8"/>
    <x v="1"/>
  </r>
  <r>
    <n v="77371"/>
    <x v="0"/>
    <x v="2"/>
    <x v="0"/>
    <x v="4"/>
    <x v="4"/>
    <x v="0"/>
    <n v="40000000"/>
    <n v="26607626.399999999"/>
    <x v="8"/>
    <x v="1"/>
  </r>
  <r>
    <n v="149235"/>
    <x v="0"/>
    <x v="2"/>
    <x v="1"/>
    <x v="3"/>
    <x v="3"/>
    <x v="0"/>
    <n v="-40000000"/>
    <n v="-26607626.399999999"/>
    <x v="8"/>
    <x v="1"/>
  </r>
  <r>
    <n v="151328"/>
    <x v="0"/>
    <x v="2"/>
    <x v="0"/>
    <x v="3"/>
    <x v="5"/>
    <x v="0"/>
    <n v="40000000"/>
    <n v="26607626.399999999"/>
    <x v="8"/>
    <x v="1"/>
  </r>
  <r>
    <n v="58219"/>
    <x v="0"/>
    <x v="0"/>
    <x v="0"/>
    <x v="0"/>
    <x v="0"/>
    <x v="0"/>
    <n v="34125000"/>
    <n v="20641820.059999999"/>
    <x v="9"/>
    <x v="1"/>
  </r>
  <r>
    <n v="67880"/>
    <x v="0"/>
    <x v="1"/>
    <x v="0"/>
    <x v="3"/>
    <x v="3"/>
    <x v="0"/>
    <n v="20000000"/>
    <n v="12097770"/>
    <x v="9"/>
    <x v="1"/>
  </r>
  <r>
    <n v="130098"/>
    <x v="0"/>
    <x v="0"/>
    <x v="1"/>
    <x v="0"/>
    <x v="0"/>
    <x v="0"/>
    <n v="-34125000"/>
    <n v="-20641820.059999999"/>
    <x v="9"/>
    <x v="1"/>
  </r>
  <r>
    <n v="130127"/>
    <x v="0"/>
    <x v="0"/>
    <x v="0"/>
    <x v="1"/>
    <x v="0"/>
    <x v="0"/>
    <n v="34125000"/>
    <n v="20641820.059999999"/>
    <x v="9"/>
    <x v="1"/>
  </r>
  <r>
    <n v="138574"/>
    <x v="0"/>
    <x v="1"/>
    <x v="1"/>
    <x v="3"/>
    <x v="3"/>
    <x v="0"/>
    <n v="-20000000"/>
    <n v="-12097770"/>
    <x v="9"/>
    <x v="1"/>
  </r>
  <r>
    <n v="138575"/>
    <x v="0"/>
    <x v="2"/>
    <x v="0"/>
    <x v="3"/>
    <x v="3"/>
    <x v="0"/>
    <n v="20000000"/>
    <n v="12097770"/>
    <x v="9"/>
    <x v="1"/>
  </r>
  <r>
    <n v="148451"/>
    <x v="0"/>
    <x v="0"/>
    <x v="1"/>
    <x v="1"/>
    <x v="0"/>
    <x v="0"/>
    <n v="-34125000"/>
    <n v="-20641820.059999999"/>
    <x v="9"/>
    <x v="1"/>
  </r>
  <r>
    <n v="148915"/>
    <x v="0"/>
    <x v="0"/>
    <x v="0"/>
    <x v="1"/>
    <x v="1"/>
    <x v="0"/>
    <n v="34125000"/>
    <n v="20641820.059999999"/>
    <x v="9"/>
    <x v="1"/>
  </r>
  <r>
    <n v="149372"/>
    <x v="0"/>
    <x v="2"/>
    <x v="1"/>
    <x v="3"/>
    <x v="3"/>
    <x v="0"/>
    <n v="-20000000"/>
    <n v="-12097770"/>
    <x v="9"/>
    <x v="1"/>
  </r>
  <r>
    <n v="151739"/>
    <x v="0"/>
    <x v="2"/>
    <x v="0"/>
    <x v="3"/>
    <x v="5"/>
    <x v="0"/>
    <n v="20000000"/>
    <n v="12097770"/>
    <x v="9"/>
    <x v="1"/>
  </r>
  <r>
    <n v="155014"/>
    <x v="0"/>
    <x v="1"/>
    <x v="0"/>
    <x v="3"/>
    <x v="5"/>
    <x v="0"/>
    <n v="20000000"/>
    <n v="12097770"/>
    <x v="9"/>
    <x v="1"/>
  </r>
  <r>
    <n v="155015"/>
    <x v="0"/>
    <x v="1"/>
    <x v="1"/>
    <x v="5"/>
    <x v="5"/>
    <x v="0"/>
    <n v="-20000000"/>
    <n v="-12097770"/>
    <x v="9"/>
    <x v="1"/>
  </r>
  <r>
    <n v="155133"/>
    <x v="0"/>
    <x v="2"/>
    <x v="1"/>
    <x v="3"/>
    <x v="5"/>
    <x v="0"/>
    <n v="-20000000"/>
    <n v="-12097770"/>
    <x v="9"/>
    <x v="1"/>
  </r>
  <r>
    <n v="155135"/>
    <x v="0"/>
    <x v="2"/>
    <x v="0"/>
    <x v="6"/>
    <x v="5"/>
    <x v="0"/>
    <n v="20000000"/>
    <n v="12097770"/>
    <x v="9"/>
    <x v="1"/>
  </r>
  <r>
    <n v="52305"/>
    <x v="0"/>
    <x v="1"/>
    <x v="0"/>
    <x v="4"/>
    <x v="6"/>
    <x v="0"/>
    <n v="20000000"/>
    <n v="12631793"/>
    <x v="10"/>
    <x v="1"/>
  </r>
  <r>
    <n v="52306"/>
    <x v="0"/>
    <x v="1"/>
    <x v="0"/>
    <x v="3"/>
    <x v="3"/>
    <x v="0"/>
    <n v="30000000"/>
    <n v="18947689.5"/>
    <x v="10"/>
    <x v="1"/>
  </r>
  <r>
    <n v="54015"/>
    <x v="0"/>
    <x v="1"/>
    <x v="1"/>
    <x v="4"/>
    <x v="6"/>
    <x v="0"/>
    <n v="-20000000"/>
    <n v="-12631793"/>
    <x v="10"/>
    <x v="1"/>
  </r>
  <r>
    <n v="54016"/>
    <x v="0"/>
    <x v="1"/>
    <x v="0"/>
    <x v="3"/>
    <x v="6"/>
    <x v="0"/>
    <n v="20000000"/>
    <n v="12631793"/>
    <x v="10"/>
    <x v="1"/>
  </r>
  <r>
    <n v="57640"/>
    <x v="0"/>
    <x v="1"/>
    <x v="1"/>
    <x v="0"/>
    <x v="3"/>
    <x v="0"/>
    <n v="-50000000"/>
    <n v="-31579482.5"/>
    <x v="10"/>
    <x v="1"/>
  </r>
  <r>
    <n v="129181"/>
    <x v="0"/>
    <x v="1"/>
    <x v="1"/>
    <x v="3"/>
    <x v="3"/>
    <x v="0"/>
    <n v="-30000000"/>
    <n v="-18947689.5"/>
    <x v="10"/>
    <x v="1"/>
  </r>
  <r>
    <n v="129182"/>
    <x v="0"/>
    <x v="2"/>
    <x v="0"/>
    <x v="3"/>
    <x v="3"/>
    <x v="0"/>
    <n v="30000000"/>
    <n v="18947689.5"/>
    <x v="10"/>
    <x v="1"/>
  </r>
  <r>
    <n v="129189"/>
    <x v="0"/>
    <x v="1"/>
    <x v="1"/>
    <x v="3"/>
    <x v="6"/>
    <x v="0"/>
    <n v="-20000000"/>
    <n v="-12631793"/>
    <x v="10"/>
    <x v="1"/>
  </r>
  <r>
    <n v="129190"/>
    <x v="0"/>
    <x v="2"/>
    <x v="0"/>
    <x v="3"/>
    <x v="6"/>
    <x v="0"/>
    <n v="20000000"/>
    <n v="12631793"/>
    <x v="10"/>
    <x v="1"/>
  </r>
  <r>
    <n v="149285"/>
    <x v="0"/>
    <x v="2"/>
    <x v="1"/>
    <x v="3"/>
    <x v="3"/>
    <x v="0"/>
    <n v="-30000000"/>
    <n v="-18947689.5"/>
    <x v="10"/>
    <x v="1"/>
  </r>
  <r>
    <n v="149373"/>
    <x v="0"/>
    <x v="2"/>
    <x v="1"/>
    <x v="3"/>
    <x v="6"/>
    <x v="0"/>
    <n v="-20000000"/>
    <n v="-12631793"/>
    <x v="10"/>
    <x v="1"/>
  </r>
  <r>
    <n v="151478"/>
    <x v="0"/>
    <x v="2"/>
    <x v="0"/>
    <x v="3"/>
    <x v="5"/>
    <x v="0"/>
    <n v="30000000"/>
    <n v="18947689.5"/>
    <x v="10"/>
    <x v="1"/>
  </r>
  <r>
    <n v="151742"/>
    <x v="0"/>
    <x v="2"/>
    <x v="0"/>
    <x v="3"/>
    <x v="5"/>
    <x v="0"/>
    <n v="20000000"/>
    <n v="12631793"/>
    <x v="10"/>
    <x v="1"/>
  </r>
  <r>
    <n v="52865"/>
    <x v="0"/>
    <x v="1"/>
    <x v="0"/>
    <x v="3"/>
    <x v="3"/>
    <x v="0"/>
    <n v="35000000"/>
    <n v="21667218.649999999"/>
    <x v="11"/>
    <x v="1"/>
  </r>
  <r>
    <n v="129177"/>
    <x v="0"/>
    <x v="2"/>
    <x v="0"/>
    <x v="3"/>
    <x v="3"/>
    <x v="0"/>
    <n v="35000000"/>
    <n v="21667218.649999999"/>
    <x v="11"/>
    <x v="1"/>
  </r>
  <r>
    <n v="129178"/>
    <x v="0"/>
    <x v="1"/>
    <x v="1"/>
    <x v="3"/>
    <x v="3"/>
    <x v="0"/>
    <n v="-35000000"/>
    <n v="-21667218.649999999"/>
    <x v="11"/>
    <x v="1"/>
  </r>
  <r>
    <n v="149257"/>
    <x v="0"/>
    <x v="2"/>
    <x v="1"/>
    <x v="3"/>
    <x v="3"/>
    <x v="0"/>
    <n v="-35000000"/>
    <n v="-21667218.649999999"/>
    <x v="11"/>
    <x v="1"/>
  </r>
  <r>
    <n v="151394"/>
    <x v="0"/>
    <x v="2"/>
    <x v="0"/>
    <x v="3"/>
    <x v="5"/>
    <x v="0"/>
    <n v="35000000"/>
    <n v="21667218.649999999"/>
    <x v="11"/>
    <x v="1"/>
  </r>
  <r>
    <n v="61877"/>
    <x v="0"/>
    <x v="0"/>
    <x v="0"/>
    <x v="0"/>
    <x v="0"/>
    <x v="0"/>
    <n v="16000000"/>
    <n v="11073373.76"/>
    <x v="12"/>
    <x v="1"/>
  </r>
  <r>
    <n v="130101"/>
    <x v="0"/>
    <x v="0"/>
    <x v="1"/>
    <x v="0"/>
    <x v="0"/>
    <x v="0"/>
    <n v="-16000000"/>
    <n v="-11073373.76"/>
    <x v="12"/>
    <x v="1"/>
  </r>
  <r>
    <n v="130130"/>
    <x v="0"/>
    <x v="0"/>
    <x v="0"/>
    <x v="1"/>
    <x v="0"/>
    <x v="0"/>
    <n v="16000000"/>
    <n v="11073373.76"/>
    <x v="12"/>
    <x v="1"/>
  </r>
  <r>
    <n v="148454"/>
    <x v="0"/>
    <x v="0"/>
    <x v="1"/>
    <x v="1"/>
    <x v="0"/>
    <x v="0"/>
    <n v="-16000000"/>
    <n v="-11073373.76"/>
    <x v="12"/>
    <x v="1"/>
  </r>
  <r>
    <n v="148921"/>
    <x v="0"/>
    <x v="0"/>
    <x v="0"/>
    <x v="1"/>
    <x v="1"/>
    <x v="0"/>
    <n v="16000000"/>
    <n v="11073373.76"/>
    <x v="12"/>
    <x v="1"/>
  </r>
  <r>
    <n v="61878"/>
    <x v="0"/>
    <x v="0"/>
    <x v="0"/>
    <x v="0"/>
    <x v="0"/>
    <x v="0"/>
    <n v="20000000"/>
    <n v="14649547.199999999"/>
    <x v="13"/>
    <x v="1"/>
  </r>
  <r>
    <n v="61879"/>
    <x v="0"/>
    <x v="0"/>
    <x v="0"/>
    <x v="0"/>
    <x v="0"/>
    <x v="0"/>
    <n v="6684000"/>
    <n v="4895878.67"/>
    <x v="13"/>
    <x v="1"/>
  </r>
  <r>
    <n v="130102"/>
    <x v="0"/>
    <x v="0"/>
    <x v="1"/>
    <x v="0"/>
    <x v="0"/>
    <x v="0"/>
    <n v="-26684000"/>
    <n v="-19545425.870000001"/>
    <x v="13"/>
    <x v="1"/>
  </r>
  <r>
    <n v="130131"/>
    <x v="0"/>
    <x v="0"/>
    <x v="0"/>
    <x v="1"/>
    <x v="0"/>
    <x v="0"/>
    <n v="26684000"/>
    <n v="19545425.870000001"/>
    <x v="13"/>
    <x v="1"/>
  </r>
  <r>
    <n v="148455"/>
    <x v="0"/>
    <x v="0"/>
    <x v="1"/>
    <x v="1"/>
    <x v="0"/>
    <x v="0"/>
    <n v="-26684000"/>
    <n v="-19545425.870000001"/>
    <x v="13"/>
    <x v="1"/>
  </r>
  <r>
    <n v="148923"/>
    <x v="0"/>
    <x v="0"/>
    <x v="0"/>
    <x v="1"/>
    <x v="1"/>
    <x v="0"/>
    <n v="26684000"/>
    <n v="19545425.870000001"/>
    <x v="13"/>
    <x v="1"/>
  </r>
  <r>
    <n v="62797"/>
    <x v="0"/>
    <x v="0"/>
    <x v="0"/>
    <x v="0"/>
    <x v="0"/>
    <x v="0"/>
    <n v="24000000"/>
    <n v="17386942.800000001"/>
    <x v="14"/>
    <x v="1"/>
  </r>
  <r>
    <n v="130103"/>
    <x v="0"/>
    <x v="0"/>
    <x v="1"/>
    <x v="0"/>
    <x v="0"/>
    <x v="0"/>
    <n v="-24000000"/>
    <n v="-17386942.800000001"/>
    <x v="14"/>
    <x v="1"/>
  </r>
  <r>
    <n v="130132"/>
    <x v="0"/>
    <x v="0"/>
    <x v="0"/>
    <x v="1"/>
    <x v="0"/>
    <x v="0"/>
    <n v="24000000"/>
    <n v="17386942.800000001"/>
    <x v="14"/>
    <x v="1"/>
  </r>
  <r>
    <n v="148456"/>
    <x v="0"/>
    <x v="0"/>
    <x v="1"/>
    <x v="1"/>
    <x v="0"/>
    <x v="0"/>
    <n v="-24000000"/>
    <n v="-17386942.800000001"/>
    <x v="14"/>
    <x v="1"/>
  </r>
  <r>
    <n v="148925"/>
    <x v="0"/>
    <x v="0"/>
    <x v="0"/>
    <x v="1"/>
    <x v="1"/>
    <x v="0"/>
    <n v="24000000"/>
    <n v="17386942.800000001"/>
    <x v="14"/>
    <x v="1"/>
  </r>
  <r>
    <n v="58200"/>
    <x v="0"/>
    <x v="0"/>
    <x v="0"/>
    <x v="0"/>
    <x v="0"/>
    <x v="0"/>
    <n v="38000000"/>
    <n v="26124610.879999999"/>
    <x v="15"/>
    <x v="1"/>
  </r>
  <r>
    <n v="59613"/>
    <x v="0"/>
    <x v="0"/>
    <x v="0"/>
    <x v="0"/>
    <x v="0"/>
    <x v="0"/>
    <n v="17961000"/>
    <n v="12348003.58"/>
    <x v="15"/>
    <x v="1"/>
  </r>
  <r>
    <n v="130104"/>
    <x v="0"/>
    <x v="0"/>
    <x v="1"/>
    <x v="0"/>
    <x v="0"/>
    <x v="0"/>
    <n v="-55961000"/>
    <n v="-38472614.460000001"/>
    <x v="15"/>
    <x v="1"/>
  </r>
  <r>
    <n v="130133"/>
    <x v="0"/>
    <x v="0"/>
    <x v="0"/>
    <x v="1"/>
    <x v="0"/>
    <x v="0"/>
    <n v="55961000"/>
    <n v="38472614.460000001"/>
    <x v="15"/>
    <x v="1"/>
  </r>
  <r>
    <n v="148457"/>
    <x v="0"/>
    <x v="0"/>
    <x v="1"/>
    <x v="1"/>
    <x v="0"/>
    <x v="0"/>
    <n v="-55961000"/>
    <n v="-38472614.460000001"/>
    <x v="15"/>
    <x v="1"/>
  </r>
  <r>
    <n v="148927"/>
    <x v="0"/>
    <x v="0"/>
    <x v="0"/>
    <x v="1"/>
    <x v="1"/>
    <x v="0"/>
    <n v="55961000"/>
    <n v="38472614.460000001"/>
    <x v="15"/>
    <x v="1"/>
  </r>
  <r>
    <n v="59303"/>
    <x v="0"/>
    <x v="1"/>
    <x v="0"/>
    <x v="3"/>
    <x v="3"/>
    <x v="0"/>
    <n v="60000000"/>
    <n v="42941247.600000001"/>
    <x v="16"/>
    <x v="1"/>
  </r>
  <r>
    <n v="142881"/>
    <x v="0"/>
    <x v="2"/>
    <x v="0"/>
    <x v="3"/>
    <x v="3"/>
    <x v="0"/>
    <n v="60000000"/>
    <n v="42941247.600000001"/>
    <x v="16"/>
    <x v="1"/>
  </r>
  <r>
    <n v="142882"/>
    <x v="0"/>
    <x v="1"/>
    <x v="1"/>
    <x v="3"/>
    <x v="3"/>
    <x v="0"/>
    <n v="-60000000"/>
    <n v="-42941247.600000001"/>
    <x v="16"/>
    <x v="1"/>
  </r>
  <r>
    <n v="149133"/>
    <x v="0"/>
    <x v="2"/>
    <x v="1"/>
    <x v="3"/>
    <x v="3"/>
    <x v="0"/>
    <n v="-60000000"/>
    <n v="-42941247.600000001"/>
    <x v="16"/>
    <x v="1"/>
  </r>
  <r>
    <n v="151040"/>
    <x v="0"/>
    <x v="2"/>
    <x v="0"/>
    <x v="3"/>
    <x v="5"/>
    <x v="0"/>
    <n v="60000000"/>
    <n v="42941247.600000001"/>
    <x v="16"/>
    <x v="1"/>
  </r>
  <r>
    <n v="155004"/>
    <x v="0"/>
    <x v="1"/>
    <x v="0"/>
    <x v="3"/>
    <x v="5"/>
    <x v="0"/>
    <n v="60000000"/>
    <n v="42941247.600000001"/>
    <x v="16"/>
    <x v="1"/>
  </r>
  <r>
    <n v="155008"/>
    <x v="0"/>
    <x v="1"/>
    <x v="1"/>
    <x v="5"/>
    <x v="5"/>
    <x v="0"/>
    <n v="-60000000"/>
    <n v="-42941247.600000001"/>
    <x v="16"/>
    <x v="1"/>
  </r>
  <r>
    <n v="155136"/>
    <x v="0"/>
    <x v="2"/>
    <x v="1"/>
    <x v="3"/>
    <x v="5"/>
    <x v="0"/>
    <n v="-60000000"/>
    <n v="-42941247.600000001"/>
    <x v="16"/>
    <x v="1"/>
  </r>
  <r>
    <n v="155137"/>
    <x v="0"/>
    <x v="2"/>
    <x v="0"/>
    <x v="6"/>
    <x v="5"/>
    <x v="0"/>
    <n v="60000000"/>
    <n v="42941247.600000001"/>
    <x v="16"/>
    <x v="1"/>
  </r>
  <r>
    <n v="59759"/>
    <x v="0"/>
    <x v="0"/>
    <x v="0"/>
    <x v="0"/>
    <x v="0"/>
    <x v="0"/>
    <n v="91000000"/>
    <n v="66435950.490000002"/>
    <x v="17"/>
    <x v="1"/>
  </r>
  <r>
    <n v="130105"/>
    <x v="0"/>
    <x v="0"/>
    <x v="1"/>
    <x v="0"/>
    <x v="0"/>
    <x v="0"/>
    <n v="-91000000"/>
    <n v="-66435950.490000002"/>
    <x v="17"/>
    <x v="1"/>
  </r>
  <r>
    <n v="130134"/>
    <x v="0"/>
    <x v="0"/>
    <x v="0"/>
    <x v="1"/>
    <x v="0"/>
    <x v="0"/>
    <n v="91000000"/>
    <n v="66435950.490000002"/>
    <x v="17"/>
    <x v="1"/>
  </r>
  <r>
    <n v="148458"/>
    <x v="0"/>
    <x v="0"/>
    <x v="1"/>
    <x v="1"/>
    <x v="0"/>
    <x v="0"/>
    <n v="-91000000"/>
    <n v="-66435950.490000002"/>
    <x v="17"/>
    <x v="1"/>
  </r>
  <r>
    <n v="148929"/>
    <x v="0"/>
    <x v="0"/>
    <x v="0"/>
    <x v="1"/>
    <x v="1"/>
    <x v="0"/>
    <n v="91000000"/>
    <n v="66435950.490000002"/>
    <x v="17"/>
    <x v="1"/>
  </r>
  <r>
    <n v="24778"/>
    <x v="0"/>
    <x v="1"/>
    <x v="0"/>
    <x v="2"/>
    <x v="2"/>
    <x v="0"/>
    <n v="15000000"/>
    <n v="13902414.35"/>
    <x v="18"/>
    <x v="1"/>
  </r>
  <r>
    <n v="35472"/>
    <x v="0"/>
    <x v="2"/>
    <x v="0"/>
    <x v="2"/>
    <x v="2"/>
    <x v="0"/>
    <n v="15000000"/>
    <n v="13902414.35"/>
    <x v="18"/>
    <x v="1"/>
  </r>
  <r>
    <n v="35473"/>
    <x v="0"/>
    <x v="1"/>
    <x v="1"/>
    <x v="2"/>
    <x v="2"/>
    <x v="0"/>
    <n v="-15000000"/>
    <n v="-13902414.35"/>
    <x v="18"/>
    <x v="1"/>
  </r>
  <r>
    <n v="36739"/>
    <x v="0"/>
    <x v="2"/>
    <x v="1"/>
    <x v="2"/>
    <x v="2"/>
    <x v="0"/>
    <n v="-15000000"/>
    <n v="-13902414.35"/>
    <x v="18"/>
    <x v="1"/>
  </r>
  <r>
    <n v="45789"/>
    <x v="0"/>
    <x v="1"/>
    <x v="0"/>
    <x v="2"/>
    <x v="2"/>
    <x v="0"/>
    <n v="31500000"/>
    <n v="18612160.879999999"/>
    <x v="19"/>
    <x v="2"/>
  </r>
  <r>
    <n v="50503"/>
    <x v="0"/>
    <x v="1"/>
    <x v="1"/>
    <x v="2"/>
    <x v="2"/>
    <x v="0"/>
    <n v="-31500000"/>
    <n v="-18612160.879999999"/>
    <x v="19"/>
    <x v="2"/>
  </r>
  <r>
    <n v="50606"/>
    <x v="0"/>
    <x v="1"/>
    <x v="0"/>
    <x v="7"/>
    <x v="3"/>
    <x v="0"/>
    <n v="31500000"/>
    <n v="18612160.879999999"/>
    <x v="19"/>
    <x v="2"/>
  </r>
  <r>
    <n v="52172"/>
    <x v="0"/>
    <x v="2"/>
    <x v="0"/>
    <x v="7"/>
    <x v="3"/>
    <x v="0"/>
    <n v="21500000"/>
    <n v="12703538.380000001"/>
    <x v="19"/>
    <x v="2"/>
  </r>
  <r>
    <n v="52173"/>
    <x v="0"/>
    <x v="1"/>
    <x v="1"/>
    <x v="7"/>
    <x v="3"/>
    <x v="0"/>
    <n v="-31500000"/>
    <n v="-18612160.879999999"/>
    <x v="19"/>
    <x v="2"/>
  </r>
  <r>
    <n v="56690"/>
    <x v="0"/>
    <x v="2"/>
    <x v="1"/>
    <x v="0"/>
    <x v="3"/>
    <x v="0"/>
    <n v="-31500000"/>
    <n v="-18612160.879999999"/>
    <x v="19"/>
    <x v="2"/>
  </r>
  <r>
    <n v="77372"/>
    <x v="0"/>
    <x v="2"/>
    <x v="0"/>
    <x v="4"/>
    <x v="4"/>
    <x v="0"/>
    <n v="31500000"/>
    <n v="18612160.879999999"/>
    <x v="19"/>
    <x v="2"/>
  </r>
  <r>
    <n v="130804"/>
    <x v="0"/>
    <x v="2"/>
    <x v="0"/>
    <x v="7"/>
    <x v="3"/>
    <x v="0"/>
    <n v="10000000"/>
    <n v="5908622.5"/>
    <x v="19"/>
    <x v="2"/>
  </r>
  <r>
    <n v="149276"/>
    <x v="0"/>
    <x v="2"/>
    <x v="1"/>
    <x v="7"/>
    <x v="3"/>
    <x v="0"/>
    <n v="-31500000"/>
    <n v="-18612160.879999999"/>
    <x v="19"/>
    <x v="2"/>
  </r>
  <r>
    <n v="151451"/>
    <x v="0"/>
    <x v="2"/>
    <x v="0"/>
    <x v="7"/>
    <x v="5"/>
    <x v="0"/>
    <n v="31500000"/>
    <n v="18612160.879999999"/>
    <x v="19"/>
    <x v="2"/>
  </r>
  <r>
    <n v="54861"/>
    <x v="0"/>
    <x v="0"/>
    <x v="0"/>
    <x v="0"/>
    <x v="0"/>
    <x v="0"/>
    <n v="15000000"/>
    <n v="8125759.0499999998"/>
    <x v="20"/>
    <x v="3"/>
  </r>
  <r>
    <n v="130095"/>
    <x v="0"/>
    <x v="0"/>
    <x v="1"/>
    <x v="0"/>
    <x v="0"/>
    <x v="0"/>
    <n v="-15000000"/>
    <n v="-8125759.0499999998"/>
    <x v="20"/>
    <x v="3"/>
  </r>
  <r>
    <n v="130124"/>
    <x v="0"/>
    <x v="0"/>
    <x v="0"/>
    <x v="1"/>
    <x v="0"/>
    <x v="0"/>
    <n v="15000000"/>
    <n v="8125759.0499999998"/>
    <x v="20"/>
    <x v="3"/>
  </r>
  <r>
    <n v="148447"/>
    <x v="0"/>
    <x v="0"/>
    <x v="1"/>
    <x v="1"/>
    <x v="0"/>
    <x v="0"/>
    <n v="-15000000"/>
    <n v="-8125759.0499999998"/>
    <x v="20"/>
    <x v="3"/>
  </r>
  <r>
    <n v="148907"/>
    <x v="0"/>
    <x v="0"/>
    <x v="0"/>
    <x v="1"/>
    <x v="1"/>
    <x v="0"/>
    <n v="15000000"/>
    <n v="8125759.0499999998"/>
    <x v="20"/>
    <x v="3"/>
  </r>
  <r>
    <n v="54890"/>
    <x v="0"/>
    <x v="0"/>
    <x v="0"/>
    <x v="0"/>
    <x v="0"/>
    <x v="0"/>
    <n v="35000000"/>
    <n v="23149337.399999999"/>
    <x v="21"/>
    <x v="3"/>
  </r>
  <r>
    <n v="130100"/>
    <x v="0"/>
    <x v="0"/>
    <x v="1"/>
    <x v="0"/>
    <x v="0"/>
    <x v="0"/>
    <n v="-35000000"/>
    <n v="-23149337.399999999"/>
    <x v="21"/>
    <x v="3"/>
  </r>
  <r>
    <n v="130129"/>
    <x v="0"/>
    <x v="0"/>
    <x v="0"/>
    <x v="1"/>
    <x v="0"/>
    <x v="0"/>
    <n v="35000000"/>
    <n v="23149337.399999999"/>
    <x v="21"/>
    <x v="3"/>
  </r>
  <r>
    <n v="148453"/>
    <x v="0"/>
    <x v="0"/>
    <x v="1"/>
    <x v="1"/>
    <x v="0"/>
    <x v="0"/>
    <n v="-35000000"/>
    <n v="-23149337.399999999"/>
    <x v="21"/>
    <x v="3"/>
  </r>
  <r>
    <n v="148919"/>
    <x v="0"/>
    <x v="0"/>
    <x v="0"/>
    <x v="1"/>
    <x v="1"/>
    <x v="0"/>
    <n v="35000000"/>
    <n v="23149337.399999999"/>
    <x v="21"/>
    <x v="3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96">
  <r>
    <n v="55050"/>
    <x v="0"/>
    <x v="0"/>
    <x v="0"/>
    <x v="0"/>
    <x v="0"/>
    <x v="0"/>
    <n v="5000000"/>
    <n v="3389743.3"/>
    <x v="0"/>
    <x v="0"/>
  </r>
  <r>
    <n v="130099"/>
    <x v="0"/>
    <x v="0"/>
    <x v="1"/>
    <x v="0"/>
    <x v="0"/>
    <x v="0"/>
    <n v="-5000000"/>
    <n v="-3389743.3"/>
    <x v="0"/>
    <x v="0"/>
  </r>
  <r>
    <n v="130128"/>
    <x v="0"/>
    <x v="0"/>
    <x v="0"/>
    <x v="1"/>
    <x v="0"/>
    <x v="0"/>
    <n v="5000000"/>
    <n v="3389743.3"/>
    <x v="0"/>
    <x v="0"/>
  </r>
  <r>
    <n v="148452"/>
    <x v="0"/>
    <x v="0"/>
    <x v="1"/>
    <x v="1"/>
    <x v="0"/>
    <x v="0"/>
    <n v="-5000000"/>
    <n v="-3389743.3"/>
    <x v="0"/>
    <x v="0"/>
  </r>
  <r>
    <n v="148917"/>
    <x v="0"/>
    <x v="0"/>
    <x v="0"/>
    <x v="1"/>
    <x v="1"/>
    <x v="0"/>
    <n v="5000000"/>
    <n v="3389743.3"/>
    <x v="0"/>
    <x v="0"/>
  </r>
  <r>
    <n v="58985"/>
    <x v="0"/>
    <x v="0"/>
    <x v="0"/>
    <x v="0"/>
    <x v="0"/>
    <x v="0"/>
    <n v="20000000"/>
    <n v="14689918.4"/>
    <x v="1"/>
    <x v="1"/>
  </r>
  <r>
    <n v="130077"/>
    <x v="0"/>
    <x v="0"/>
    <x v="1"/>
    <x v="0"/>
    <x v="0"/>
    <x v="0"/>
    <n v="-20000000"/>
    <n v="-14689918.4"/>
    <x v="1"/>
    <x v="1"/>
  </r>
  <r>
    <n v="130106"/>
    <x v="0"/>
    <x v="0"/>
    <x v="0"/>
    <x v="1"/>
    <x v="0"/>
    <x v="0"/>
    <n v="20000000"/>
    <n v="14689918.4"/>
    <x v="1"/>
    <x v="1"/>
  </r>
  <r>
    <n v="148289"/>
    <x v="0"/>
    <x v="0"/>
    <x v="1"/>
    <x v="1"/>
    <x v="0"/>
    <x v="0"/>
    <n v="-20000000"/>
    <n v="-14689918.4"/>
    <x v="1"/>
    <x v="1"/>
  </r>
  <r>
    <n v="148877"/>
    <x v="0"/>
    <x v="0"/>
    <x v="0"/>
    <x v="1"/>
    <x v="1"/>
    <x v="0"/>
    <n v="20000000"/>
    <n v="14689918.4"/>
    <x v="1"/>
    <x v="1"/>
  </r>
  <r>
    <n v="54871"/>
    <x v="0"/>
    <x v="0"/>
    <x v="0"/>
    <x v="0"/>
    <x v="0"/>
    <x v="0"/>
    <n v="29200000"/>
    <n v="11948720.880000001"/>
    <x v="2"/>
    <x v="1"/>
  </r>
  <r>
    <n v="54989"/>
    <x v="0"/>
    <x v="0"/>
    <x v="0"/>
    <x v="0"/>
    <x v="0"/>
    <x v="0"/>
    <n v="13000000"/>
    <n v="5319636.01"/>
    <x v="2"/>
    <x v="1"/>
  </r>
  <r>
    <n v="130092"/>
    <x v="0"/>
    <x v="0"/>
    <x v="1"/>
    <x v="0"/>
    <x v="0"/>
    <x v="0"/>
    <n v="-29200000"/>
    <n v="-11948720.880000001"/>
    <x v="2"/>
    <x v="1"/>
  </r>
  <r>
    <n v="130093"/>
    <x v="0"/>
    <x v="0"/>
    <x v="1"/>
    <x v="0"/>
    <x v="0"/>
    <x v="0"/>
    <n v="-13000000"/>
    <n v="-5319636.01"/>
    <x v="2"/>
    <x v="1"/>
  </r>
  <r>
    <n v="130121"/>
    <x v="0"/>
    <x v="0"/>
    <x v="0"/>
    <x v="1"/>
    <x v="0"/>
    <x v="0"/>
    <n v="29200000"/>
    <n v="11948720.880000001"/>
    <x v="2"/>
    <x v="1"/>
  </r>
  <r>
    <n v="130122"/>
    <x v="0"/>
    <x v="0"/>
    <x v="0"/>
    <x v="1"/>
    <x v="0"/>
    <x v="0"/>
    <n v="13000000"/>
    <n v="5319636.01"/>
    <x v="2"/>
    <x v="1"/>
  </r>
  <r>
    <n v="148445"/>
    <x v="0"/>
    <x v="0"/>
    <x v="1"/>
    <x v="1"/>
    <x v="0"/>
    <x v="0"/>
    <n v="-42200000"/>
    <n v="-17268356.890000001"/>
    <x v="2"/>
    <x v="1"/>
  </r>
  <r>
    <n v="148903"/>
    <x v="0"/>
    <x v="0"/>
    <x v="0"/>
    <x v="1"/>
    <x v="1"/>
    <x v="0"/>
    <n v="42200000"/>
    <n v="17268356.890000001"/>
    <x v="2"/>
    <x v="1"/>
  </r>
  <r>
    <n v="55708"/>
    <x v="0"/>
    <x v="0"/>
    <x v="0"/>
    <x v="0"/>
    <x v="0"/>
    <x v="0"/>
    <n v="33860000"/>
    <n v="18007850.140000001"/>
    <x v="3"/>
    <x v="1"/>
  </r>
  <r>
    <n v="130094"/>
    <x v="0"/>
    <x v="0"/>
    <x v="1"/>
    <x v="0"/>
    <x v="0"/>
    <x v="0"/>
    <n v="-33860000"/>
    <n v="-18007850.140000001"/>
    <x v="3"/>
    <x v="1"/>
  </r>
  <r>
    <n v="130123"/>
    <x v="0"/>
    <x v="0"/>
    <x v="0"/>
    <x v="1"/>
    <x v="0"/>
    <x v="0"/>
    <n v="33860000"/>
    <n v="18007850.140000001"/>
    <x v="3"/>
    <x v="1"/>
  </r>
  <r>
    <n v="148446"/>
    <x v="0"/>
    <x v="0"/>
    <x v="1"/>
    <x v="1"/>
    <x v="0"/>
    <x v="0"/>
    <n v="-33860000"/>
    <n v="-18007850.140000001"/>
    <x v="3"/>
    <x v="1"/>
  </r>
  <r>
    <n v="148905"/>
    <x v="0"/>
    <x v="0"/>
    <x v="0"/>
    <x v="1"/>
    <x v="1"/>
    <x v="0"/>
    <n v="33860000"/>
    <n v="18007850.140000001"/>
    <x v="3"/>
    <x v="1"/>
  </r>
  <r>
    <n v="55003"/>
    <x v="0"/>
    <x v="0"/>
    <x v="0"/>
    <x v="0"/>
    <x v="0"/>
    <x v="0"/>
    <n v="8350000"/>
    <n v="5041956.79"/>
    <x v="4"/>
    <x v="1"/>
  </r>
  <r>
    <n v="59093"/>
    <x v="0"/>
    <x v="0"/>
    <x v="0"/>
    <x v="0"/>
    <x v="0"/>
    <x v="0"/>
    <n v="21000000"/>
    <n v="12680370.359999999"/>
    <x v="4"/>
    <x v="1"/>
  </r>
  <r>
    <n v="130096"/>
    <x v="0"/>
    <x v="0"/>
    <x v="1"/>
    <x v="0"/>
    <x v="0"/>
    <x v="0"/>
    <n v="-29350000"/>
    <n v="-17722327.149999999"/>
    <x v="4"/>
    <x v="1"/>
  </r>
  <r>
    <n v="130125"/>
    <x v="0"/>
    <x v="0"/>
    <x v="0"/>
    <x v="1"/>
    <x v="0"/>
    <x v="0"/>
    <n v="29350000"/>
    <n v="17722327.149999999"/>
    <x v="4"/>
    <x v="1"/>
  </r>
  <r>
    <n v="148448"/>
    <x v="0"/>
    <x v="0"/>
    <x v="1"/>
    <x v="1"/>
    <x v="0"/>
    <x v="0"/>
    <n v="-29350000"/>
    <n v="-17722327.149999999"/>
    <x v="4"/>
    <x v="1"/>
  </r>
  <r>
    <n v="148909"/>
    <x v="0"/>
    <x v="0"/>
    <x v="0"/>
    <x v="1"/>
    <x v="1"/>
    <x v="0"/>
    <n v="29350000"/>
    <n v="17722327.149999999"/>
    <x v="4"/>
    <x v="1"/>
  </r>
  <r>
    <n v="54908"/>
    <x v="0"/>
    <x v="0"/>
    <x v="0"/>
    <x v="0"/>
    <x v="0"/>
    <x v="0"/>
    <n v="4950000"/>
    <n v="3109805.57"/>
    <x v="5"/>
    <x v="1"/>
  </r>
  <r>
    <n v="130097"/>
    <x v="0"/>
    <x v="0"/>
    <x v="1"/>
    <x v="0"/>
    <x v="0"/>
    <x v="0"/>
    <n v="-4950000"/>
    <n v="-3109805.57"/>
    <x v="5"/>
    <x v="1"/>
  </r>
  <r>
    <n v="130126"/>
    <x v="0"/>
    <x v="0"/>
    <x v="0"/>
    <x v="1"/>
    <x v="0"/>
    <x v="0"/>
    <n v="4950000"/>
    <n v="3109805.57"/>
    <x v="5"/>
    <x v="1"/>
  </r>
  <r>
    <n v="148449"/>
    <x v="0"/>
    <x v="0"/>
    <x v="1"/>
    <x v="1"/>
    <x v="0"/>
    <x v="0"/>
    <n v="-4950000"/>
    <n v="-3109805.57"/>
    <x v="5"/>
    <x v="1"/>
  </r>
  <r>
    <n v="148911"/>
    <x v="0"/>
    <x v="0"/>
    <x v="0"/>
    <x v="1"/>
    <x v="1"/>
    <x v="0"/>
    <n v="4950000"/>
    <n v="3109805.57"/>
    <x v="5"/>
    <x v="1"/>
  </r>
  <r>
    <n v="45688"/>
    <x v="0"/>
    <x v="1"/>
    <x v="0"/>
    <x v="2"/>
    <x v="2"/>
    <x v="0"/>
    <n v="82571000"/>
    <n v="50976576.700000003"/>
    <x v="6"/>
    <x v="1"/>
  </r>
  <r>
    <n v="50504"/>
    <x v="0"/>
    <x v="1"/>
    <x v="1"/>
    <x v="2"/>
    <x v="2"/>
    <x v="0"/>
    <n v="-82571000"/>
    <n v="-50976576.700000003"/>
    <x v="6"/>
    <x v="1"/>
  </r>
  <r>
    <n v="50607"/>
    <x v="0"/>
    <x v="1"/>
    <x v="0"/>
    <x v="3"/>
    <x v="3"/>
    <x v="0"/>
    <n v="82571000"/>
    <n v="50976576.700000003"/>
    <x v="6"/>
    <x v="1"/>
  </r>
  <r>
    <n v="52730"/>
    <x v="0"/>
    <x v="2"/>
    <x v="0"/>
    <x v="3"/>
    <x v="3"/>
    <x v="0"/>
    <n v="82571000"/>
    <n v="50976576.700000003"/>
    <x v="6"/>
    <x v="1"/>
  </r>
  <r>
    <n v="52731"/>
    <x v="0"/>
    <x v="1"/>
    <x v="1"/>
    <x v="3"/>
    <x v="3"/>
    <x v="0"/>
    <n v="-82571000"/>
    <n v="-50976576.700000003"/>
    <x v="6"/>
    <x v="1"/>
  </r>
  <r>
    <n v="56691"/>
    <x v="0"/>
    <x v="2"/>
    <x v="1"/>
    <x v="0"/>
    <x v="3"/>
    <x v="0"/>
    <n v="-82571000"/>
    <n v="-50976576.700000003"/>
    <x v="6"/>
    <x v="1"/>
  </r>
  <r>
    <n v="77373"/>
    <x v="0"/>
    <x v="2"/>
    <x v="0"/>
    <x v="4"/>
    <x v="4"/>
    <x v="0"/>
    <n v="82571000"/>
    <n v="50976576.700000003"/>
    <x v="6"/>
    <x v="1"/>
  </r>
  <r>
    <n v="149070"/>
    <x v="0"/>
    <x v="2"/>
    <x v="1"/>
    <x v="3"/>
    <x v="3"/>
    <x v="0"/>
    <n v="-82571000"/>
    <n v="-50976576.700000003"/>
    <x v="6"/>
    <x v="1"/>
  </r>
  <r>
    <n v="150859"/>
    <x v="0"/>
    <x v="2"/>
    <x v="0"/>
    <x v="3"/>
    <x v="5"/>
    <x v="0"/>
    <n v="82571000"/>
    <n v="50976576.700000003"/>
    <x v="6"/>
    <x v="1"/>
  </r>
  <r>
    <n v="51128"/>
    <x v="0"/>
    <x v="1"/>
    <x v="0"/>
    <x v="3"/>
    <x v="3"/>
    <x v="0"/>
    <n v="20000000"/>
    <n v="13480796.4"/>
    <x v="7"/>
    <x v="1"/>
  </r>
  <r>
    <n v="52170"/>
    <x v="0"/>
    <x v="2"/>
    <x v="0"/>
    <x v="3"/>
    <x v="3"/>
    <x v="0"/>
    <n v="20000000"/>
    <n v="13480796.4"/>
    <x v="7"/>
    <x v="1"/>
  </r>
  <r>
    <n v="52171"/>
    <x v="0"/>
    <x v="1"/>
    <x v="1"/>
    <x v="3"/>
    <x v="3"/>
    <x v="0"/>
    <n v="-20000000"/>
    <n v="-13480796.4"/>
    <x v="7"/>
    <x v="1"/>
  </r>
  <r>
    <n v="53610"/>
    <x v="0"/>
    <x v="2"/>
    <x v="1"/>
    <x v="3"/>
    <x v="3"/>
    <x v="0"/>
    <n v="-20000000"/>
    <n v="-13480796.4"/>
    <x v="7"/>
    <x v="1"/>
  </r>
  <r>
    <n v="53611"/>
    <x v="0"/>
    <x v="1"/>
    <x v="0"/>
    <x v="3"/>
    <x v="3"/>
    <x v="0"/>
    <n v="20000000"/>
    <n v="13480796.4"/>
    <x v="7"/>
    <x v="1"/>
  </r>
  <r>
    <n v="61667"/>
    <x v="0"/>
    <x v="0"/>
    <x v="0"/>
    <x v="4"/>
    <x v="0"/>
    <x v="0"/>
    <n v="4925000"/>
    <n v="3319646.11"/>
    <x v="7"/>
    <x v="1"/>
  </r>
  <r>
    <n v="136919"/>
    <x v="0"/>
    <x v="1"/>
    <x v="1"/>
    <x v="3"/>
    <x v="3"/>
    <x v="0"/>
    <n v="-20000000"/>
    <n v="-13480796.4"/>
    <x v="7"/>
    <x v="1"/>
  </r>
  <r>
    <n v="136920"/>
    <x v="0"/>
    <x v="2"/>
    <x v="0"/>
    <x v="3"/>
    <x v="3"/>
    <x v="0"/>
    <n v="20000000"/>
    <n v="13480796.4"/>
    <x v="7"/>
    <x v="1"/>
  </r>
  <r>
    <n v="148450"/>
    <x v="0"/>
    <x v="0"/>
    <x v="1"/>
    <x v="4"/>
    <x v="0"/>
    <x v="0"/>
    <n v="-4925000"/>
    <n v="-3319646.11"/>
    <x v="7"/>
    <x v="1"/>
  </r>
  <r>
    <n v="148913"/>
    <x v="0"/>
    <x v="0"/>
    <x v="0"/>
    <x v="4"/>
    <x v="1"/>
    <x v="0"/>
    <n v="4925000"/>
    <n v="3319646.11"/>
    <x v="7"/>
    <x v="1"/>
  </r>
  <r>
    <n v="149371"/>
    <x v="0"/>
    <x v="2"/>
    <x v="1"/>
    <x v="3"/>
    <x v="3"/>
    <x v="0"/>
    <n v="-20000000"/>
    <n v="-13480796.4"/>
    <x v="7"/>
    <x v="1"/>
  </r>
  <r>
    <n v="151736"/>
    <x v="0"/>
    <x v="2"/>
    <x v="0"/>
    <x v="3"/>
    <x v="5"/>
    <x v="0"/>
    <n v="20000000"/>
    <n v="13480796.4"/>
    <x v="7"/>
    <x v="1"/>
  </r>
  <r>
    <n v="155022"/>
    <x v="0"/>
    <x v="1"/>
    <x v="1"/>
    <x v="5"/>
    <x v="5"/>
    <x v="0"/>
    <n v="-20000000"/>
    <n v="-13480796.4"/>
    <x v="7"/>
    <x v="1"/>
  </r>
  <r>
    <n v="155023"/>
    <x v="0"/>
    <x v="1"/>
    <x v="0"/>
    <x v="3"/>
    <x v="5"/>
    <x v="0"/>
    <n v="20000000"/>
    <n v="13480796.4"/>
    <x v="7"/>
    <x v="1"/>
  </r>
  <r>
    <n v="155130"/>
    <x v="0"/>
    <x v="2"/>
    <x v="1"/>
    <x v="3"/>
    <x v="5"/>
    <x v="0"/>
    <n v="-20000000"/>
    <n v="-13480796.4"/>
    <x v="7"/>
    <x v="1"/>
  </r>
  <r>
    <n v="155132"/>
    <x v="0"/>
    <x v="2"/>
    <x v="0"/>
    <x v="6"/>
    <x v="5"/>
    <x v="0"/>
    <n v="20000000"/>
    <n v="13480796.4"/>
    <x v="7"/>
    <x v="1"/>
  </r>
  <r>
    <n v="51412"/>
    <x v="0"/>
    <x v="1"/>
    <x v="0"/>
    <x v="3"/>
    <x v="3"/>
    <x v="0"/>
    <n v="40000000"/>
    <n v="26607626.399999999"/>
    <x v="8"/>
    <x v="1"/>
  </r>
  <r>
    <n v="52174"/>
    <x v="0"/>
    <x v="2"/>
    <x v="0"/>
    <x v="3"/>
    <x v="3"/>
    <x v="0"/>
    <n v="40000000"/>
    <n v="26607626.399999999"/>
    <x v="8"/>
    <x v="1"/>
  </r>
  <r>
    <n v="52175"/>
    <x v="0"/>
    <x v="1"/>
    <x v="1"/>
    <x v="3"/>
    <x v="3"/>
    <x v="0"/>
    <n v="-40000000"/>
    <n v="-26607626.399999999"/>
    <x v="8"/>
    <x v="1"/>
  </r>
  <r>
    <n v="56692"/>
    <x v="0"/>
    <x v="2"/>
    <x v="1"/>
    <x v="0"/>
    <x v="3"/>
    <x v="0"/>
    <n v="-40000000"/>
    <n v="-26607626.399999999"/>
    <x v="8"/>
    <x v="1"/>
  </r>
  <r>
    <n v="77371"/>
    <x v="0"/>
    <x v="2"/>
    <x v="0"/>
    <x v="4"/>
    <x v="4"/>
    <x v="0"/>
    <n v="40000000"/>
    <n v="26607626.399999999"/>
    <x v="8"/>
    <x v="1"/>
  </r>
  <r>
    <n v="149235"/>
    <x v="0"/>
    <x v="2"/>
    <x v="1"/>
    <x v="3"/>
    <x v="3"/>
    <x v="0"/>
    <n v="-40000000"/>
    <n v="-26607626.399999999"/>
    <x v="8"/>
    <x v="1"/>
  </r>
  <r>
    <n v="151328"/>
    <x v="0"/>
    <x v="2"/>
    <x v="0"/>
    <x v="3"/>
    <x v="5"/>
    <x v="0"/>
    <n v="40000000"/>
    <n v="26607626.399999999"/>
    <x v="8"/>
    <x v="1"/>
  </r>
  <r>
    <n v="58219"/>
    <x v="0"/>
    <x v="0"/>
    <x v="0"/>
    <x v="0"/>
    <x v="0"/>
    <x v="0"/>
    <n v="34125000"/>
    <n v="20641820.059999999"/>
    <x v="9"/>
    <x v="1"/>
  </r>
  <r>
    <n v="67880"/>
    <x v="0"/>
    <x v="1"/>
    <x v="0"/>
    <x v="3"/>
    <x v="3"/>
    <x v="0"/>
    <n v="20000000"/>
    <n v="12097770"/>
    <x v="9"/>
    <x v="1"/>
  </r>
  <r>
    <n v="130098"/>
    <x v="0"/>
    <x v="0"/>
    <x v="1"/>
    <x v="0"/>
    <x v="0"/>
    <x v="0"/>
    <n v="-34125000"/>
    <n v="-20641820.059999999"/>
    <x v="9"/>
    <x v="1"/>
  </r>
  <r>
    <n v="130127"/>
    <x v="0"/>
    <x v="0"/>
    <x v="0"/>
    <x v="1"/>
    <x v="0"/>
    <x v="0"/>
    <n v="34125000"/>
    <n v="20641820.059999999"/>
    <x v="9"/>
    <x v="1"/>
  </r>
  <r>
    <n v="138574"/>
    <x v="0"/>
    <x v="1"/>
    <x v="1"/>
    <x v="3"/>
    <x v="3"/>
    <x v="0"/>
    <n v="-20000000"/>
    <n v="-12097770"/>
    <x v="9"/>
    <x v="1"/>
  </r>
  <r>
    <n v="138575"/>
    <x v="0"/>
    <x v="2"/>
    <x v="0"/>
    <x v="3"/>
    <x v="3"/>
    <x v="0"/>
    <n v="20000000"/>
    <n v="12097770"/>
    <x v="9"/>
    <x v="1"/>
  </r>
  <r>
    <n v="148451"/>
    <x v="0"/>
    <x v="0"/>
    <x v="1"/>
    <x v="1"/>
    <x v="0"/>
    <x v="0"/>
    <n v="-34125000"/>
    <n v="-20641820.059999999"/>
    <x v="9"/>
    <x v="1"/>
  </r>
  <r>
    <n v="148915"/>
    <x v="0"/>
    <x v="0"/>
    <x v="0"/>
    <x v="1"/>
    <x v="1"/>
    <x v="0"/>
    <n v="34125000"/>
    <n v="20641820.059999999"/>
    <x v="9"/>
    <x v="1"/>
  </r>
  <r>
    <n v="149372"/>
    <x v="0"/>
    <x v="2"/>
    <x v="1"/>
    <x v="3"/>
    <x v="3"/>
    <x v="0"/>
    <n v="-20000000"/>
    <n v="-12097770"/>
    <x v="9"/>
    <x v="1"/>
  </r>
  <r>
    <n v="151739"/>
    <x v="0"/>
    <x v="2"/>
    <x v="0"/>
    <x v="3"/>
    <x v="5"/>
    <x v="0"/>
    <n v="20000000"/>
    <n v="12097770"/>
    <x v="9"/>
    <x v="1"/>
  </r>
  <r>
    <n v="155014"/>
    <x v="0"/>
    <x v="1"/>
    <x v="0"/>
    <x v="3"/>
    <x v="5"/>
    <x v="0"/>
    <n v="20000000"/>
    <n v="12097770"/>
    <x v="9"/>
    <x v="1"/>
  </r>
  <r>
    <n v="155015"/>
    <x v="0"/>
    <x v="1"/>
    <x v="1"/>
    <x v="5"/>
    <x v="5"/>
    <x v="0"/>
    <n v="-20000000"/>
    <n v="-12097770"/>
    <x v="9"/>
    <x v="1"/>
  </r>
  <r>
    <n v="155133"/>
    <x v="0"/>
    <x v="2"/>
    <x v="1"/>
    <x v="3"/>
    <x v="5"/>
    <x v="0"/>
    <n v="-20000000"/>
    <n v="-12097770"/>
    <x v="9"/>
    <x v="1"/>
  </r>
  <r>
    <n v="155135"/>
    <x v="0"/>
    <x v="2"/>
    <x v="0"/>
    <x v="6"/>
    <x v="5"/>
    <x v="0"/>
    <n v="20000000"/>
    <n v="12097770"/>
    <x v="9"/>
    <x v="1"/>
  </r>
  <r>
    <n v="52305"/>
    <x v="0"/>
    <x v="1"/>
    <x v="0"/>
    <x v="4"/>
    <x v="6"/>
    <x v="0"/>
    <n v="20000000"/>
    <n v="12631793"/>
    <x v="10"/>
    <x v="1"/>
  </r>
  <r>
    <n v="52306"/>
    <x v="0"/>
    <x v="1"/>
    <x v="0"/>
    <x v="3"/>
    <x v="3"/>
    <x v="0"/>
    <n v="30000000"/>
    <n v="18947689.5"/>
    <x v="10"/>
    <x v="1"/>
  </r>
  <r>
    <n v="54015"/>
    <x v="0"/>
    <x v="1"/>
    <x v="1"/>
    <x v="4"/>
    <x v="6"/>
    <x v="0"/>
    <n v="-20000000"/>
    <n v="-12631793"/>
    <x v="10"/>
    <x v="1"/>
  </r>
  <r>
    <n v="54016"/>
    <x v="0"/>
    <x v="1"/>
    <x v="0"/>
    <x v="3"/>
    <x v="6"/>
    <x v="0"/>
    <n v="20000000"/>
    <n v="12631793"/>
    <x v="10"/>
    <x v="1"/>
  </r>
  <r>
    <n v="57640"/>
    <x v="0"/>
    <x v="1"/>
    <x v="1"/>
    <x v="0"/>
    <x v="3"/>
    <x v="0"/>
    <n v="-50000000"/>
    <n v="-31579482.5"/>
    <x v="10"/>
    <x v="1"/>
  </r>
  <r>
    <n v="129181"/>
    <x v="0"/>
    <x v="1"/>
    <x v="1"/>
    <x v="3"/>
    <x v="3"/>
    <x v="0"/>
    <n v="-30000000"/>
    <n v="-18947689.5"/>
    <x v="10"/>
    <x v="1"/>
  </r>
  <r>
    <n v="129182"/>
    <x v="0"/>
    <x v="2"/>
    <x v="0"/>
    <x v="3"/>
    <x v="3"/>
    <x v="0"/>
    <n v="30000000"/>
    <n v="18947689.5"/>
    <x v="10"/>
    <x v="1"/>
  </r>
  <r>
    <n v="129189"/>
    <x v="0"/>
    <x v="1"/>
    <x v="1"/>
    <x v="3"/>
    <x v="6"/>
    <x v="0"/>
    <n v="-20000000"/>
    <n v="-12631793"/>
    <x v="10"/>
    <x v="1"/>
  </r>
  <r>
    <n v="129190"/>
    <x v="0"/>
    <x v="2"/>
    <x v="0"/>
    <x v="3"/>
    <x v="6"/>
    <x v="0"/>
    <n v="20000000"/>
    <n v="12631793"/>
    <x v="10"/>
    <x v="1"/>
  </r>
  <r>
    <n v="149285"/>
    <x v="0"/>
    <x v="2"/>
    <x v="1"/>
    <x v="3"/>
    <x v="3"/>
    <x v="0"/>
    <n v="-30000000"/>
    <n v="-18947689.5"/>
    <x v="10"/>
    <x v="1"/>
  </r>
  <r>
    <n v="149373"/>
    <x v="0"/>
    <x v="2"/>
    <x v="1"/>
    <x v="3"/>
    <x v="6"/>
    <x v="0"/>
    <n v="-20000000"/>
    <n v="-12631793"/>
    <x v="10"/>
    <x v="1"/>
  </r>
  <r>
    <n v="151478"/>
    <x v="0"/>
    <x v="2"/>
    <x v="0"/>
    <x v="3"/>
    <x v="5"/>
    <x v="0"/>
    <n v="30000000"/>
    <n v="18947689.5"/>
    <x v="10"/>
    <x v="1"/>
  </r>
  <r>
    <n v="151742"/>
    <x v="0"/>
    <x v="2"/>
    <x v="0"/>
    <x v="3"/>
    <x v="5"/>
    <x v="0"/>
    <n v="20000000"/>
    <n v="12631793"/>
    <x v="10"/>
    <x v="1"/>
  </r>
  <r>
    <n v="52865"/>
    <x v="0"/>
    <x v="1"/>
    <x v="0"/>
    <x v="3"/>
    <x v="3"/>
    <x v="0"/>
    <n v="35000000"/>
    <n v="21667218.649999999"/>
    <x v="11"/>
    <x v="1"/>
  </r>
  <r>
    <n v="129177"/>
    <x v="0"/>
    <x v="2"/>
    <x v="0"/>
    <x v="3"/>
    <x v="3"/>
    <x v="0"/>
    <n v="35000000"/>
    <n v="21667218.649999999"/>
    <x v="11"/>
    <x v="1"/>
  </r>
  <r>
    <n v="129178"/>
    <x v="0"/>
    <x v="1"/>
    <x v="1"/>
    <x v="3"/>
    <x v="3"/>
    <x v="0"/>
    <n v="-35000000"/>
    <n v="-21667218.649999999"/>
    <x v="11"/>
    <x v="1"/>
  </r>
  <r>
    <n v="149257"/>
    <x v="0"/>
    <x v="2"/>
    <x v="1"/>
    <x v="3"/>
    <x v="3"/>
    <x v="0"/>
    <n v="-35000000"/>
    <n v="-21667218.649999999"/>
    <x v="11"/>
    <x v="1"/>
  </r>
  <r>
    <n v="151394"/>
    <x v="0"/>
    <x v="2"/>
    <x v="0"/>
    <x v="3"/>
    <x v="5"/>
    <x v="0"/>
    <n v="35000000"/>
    <n v="21667218.649999999"/>
    <x v="11"/>
    <x v="1"/>
  </r>
  <r>
    <n v="61877"/>
    <x v="0"/>
    <x v="0"/>
    <x v="0"/>
    <x v="0"/>
    <x v="0"/>
    <x v="0"/>
    <n v="16000000"/>
    <n v="11073373.76"/>
    <x v="12"/>
    <x v="1"/>
  </r>
  <r>
    <n v="130101"/>
    <x v="0"/>
    <x v="0"/>
    <x v="1"/>
    <x v="0"/>
    <x v="0"/>
    <x v="0"/>
    <n v="-16000000"/>
    <n v="-11073373.76"/>
    <x v="12"/>
    <x v="1"/>
  </r>
  <r>
    <n v="130130"/>
    <x v="0"/>
    <x v="0"/>
    <x v="0"/>
    <x v="1"/>
    <x v="0"/>
    <x v="0"/>
    <n v="16000000"/>
    <n v="11073373.76"/>
    <x v="12"/>
    <x v="1"/>
  </r>
  <r>
    <n v="148454"/>
    <x v="0"/>
    <x v="0"/>
    <x v="1"/>
    <x v="1"/>
    <x v="0"/>
    <x v="0"/>
    <n v="-16000000"/>
    <n v="-11073373.76"/>
    <x v="12"/>
    <x v="1"/>
  </r>
  <r>
    <n v="148921"/>
    <x v="0"/>
    <x v="0"/>
    <x v="0"/>
    <x v="1"/>
    <x v="1"/>
    <x v="0"/>
    <n v="16000000"/>
    <n v="11073373.76"/>
    <x v="12"/>
    <x v="1"/>
  </r>
  <r>
    <n v="61878"/>
    <x v="0"/>
    <x v="0"/>
    <x v="0"/>
    <x v="0"/>
    <x v="0"/>
    <x v="0"/>
    <n v="20000000"/>
    <n v="14649547.199999999"/>
    <x v="13"/>
    <x v="1"/>
  </r>
  <r>
    <n v="61879"/>
    <x v="0"/>
    <x v="0"/>
    <x v="0"/>
    <x v="0"/>
    <x v="0"/>
    <x v="0"/>
    <n v="6684000"/>
    <n v="4895878.67"/>
    <x v="13"/>
    <x v="1"/>
  </r>
  <r>
    <n v="130102"/>
    <x v="0"/>
    <x v="0"/>
    <x v="1"/>
    <x v="0"/>
    <x v="0"/>
    <x v="0"/>
    <n v="-26684000"/>
    <n v="-19545425.870000001"/>
    <x v="13"/>
    <x v="1"/>
  </r>
  <r>
    <n v="130131"/>
    <x v="0"/>
    <x v="0"/>
    <x v="0"/>
    <x v="1"/>
    <x v="0"/>
    <x v="0"/>
    <n v="26684000"/>
    <n v="19545425.870000001"/>
    <x v="13"/>
    <x v="1"/>
  </r>
  <r>
    <n v="148455"/>
    <x v="0"/>
    <x v="0"/>
    <x v="1"/>
    <x v="1"/>
    <x v="0"/>
    <x v="0"/>
    <n v="-26684000"/>
    <n v="-19545425.870000001"/>
    <x v="13"/>
    <x v="1"/>
  </r>
  <r>
    <n v="148923"/>
    <x v="0"/>
    <x v="0"/>
    <x v="0"/>
    <x v="1"/>
    <x v="1"/>
    <x v="0"/>
    <n v="26684000"/>
    <n v="19545425.870000001"/>
    <x v="13"/>
    <x v="1"/>
  </r>
  <r>
    <n v="62797"/>
    <x v="0"/>
    <x v="0"/>
    <x v="0"/>
    <x v="0"/>
    <x v="0"/>
    <x v="0"/>
    <n v="24000000"/>
    <n v="17386942.800000001"/>
    <x v="14"/>
    <x v="1"/>
  </r>
  <r>
    <n v="130103"/>
    <x v="0"/>
    <x v="0"/>
    <x v="1"/>
    <x v="0"/>
    <x v="0"/>
    <x v="0"/>
    <n v="-24000000"/>
    <n v="-17386942.800000001"/>
    <x v="14"/>
    <x v="1"/>
  </r>
  <r>
    <n v="130132"/>
    <x v="0"/>
    <x v="0"/>
    <x v="0"/>
    <x v="1"/>
    <x v="0"/>
    <x v="0"/>
    <n v="24000000"/>
    <n v="17386942.800000001"/>
    <x v="14"/>
    <x v="1"/>
  </r>
  <r>
    <n v="148456"/>
    <x v="0"/>
    <x v="0"/>
    <x v="1"/>
    <x v="1"/>
    <x v="0"/>
    <x v="0"/>
    <n v="-24000000"/>
    <n v="-17386942.800000001"/>
    <x v="14"/>
    <x v="1"/>
  </r>
  <r>
    <n v="148925"/>
    <x v="0"/>
    <x v="0"/>
    <x v="0"/>
    <x v="1"/>
    <x v="1"/>
    <x v="0"/>
    <n v="24000000"/>
    <n v="17386942.800000001"/>
    <x v="14"/>
    <x v="1"/>
  </r>
  <r>
    <n v="58200"/>
    <x v="0"/>
    <x v="0"/>
    <x v="0"/>
    <x v="0"/>
    <x v="0"/>
    <x v="0"/>
    <n v="38000000"/>
    <n v="26124610.879999999"/>
    <x v="15"/>
    <x v="1"/>
  </r>
  <r>
    <n v="59613"/>
    <x v="0"/>
    <x v="0"/>
    <x v="0"/>
    <x v="0"/>
    <x v="0"/>
    <x v="0"/>
    <n v="17961000"/>
    <n v="12348003.58"/>
    <x v="15"/>
    <x v="1"/>
  </r>
  <r>
    <n v="130104"/>
    <x v="0"/>
    <x v="0"/>
    <x v="1"/>
    <x v="0"/>
    <x v="0"/>
    <x v="0"/>
    <n v="-55961000"/>
    <n v="-38472614.460000001"/>
    <x v="15"/>
    <x v="1"/>
  </r>
  <r>
    <n v="130133"/>
    <x v="0"/>
    <x v="0"/>
    <x v="0"/>
    <x v="1"/>
    <x v="0"/>
    <x v="0"/>
    <n v="55961000"/>
    <n v="38472614.460000001"/>
    <x v="15"/>
    <x v="1"/>
  </r>
  <r>
    <n v="148457"/>
    <x v="0"/>
    <x v="0"/>
    <x v="1"/>
    <x v="1"/>
    <x v="0"/>
    <x v="0"/>
    <n v="-55961000"/>
    <n v="-38472614.460000001"/>
    <x v="15"/>
    <x v="1"/>
  </r>
  <r>
    <n v="148927"/>
    <x v="0"/>
    <x v="0"/>
    <x v="0"/>
    <x v="1"/>
    <x v="1"/>
    <x v="0"/>
    <n v="55961000"/>
    <n v="38472614.460000001"/>
    <x v="15"/>
    <x v="1"/>
  </r>
  <r>
    <n v="59303"/>
    <x v="0"/>
    <x v="1"/>
    <x v="0"/>
    <x v="3"/>
    <x v="3"/>
    <x v="0"/>
    <n v="60000000"/>
    <n v="42941247.600000001"/>
    <x v="16"/>
    <x v="1"/>
  </r>
  <r>
    <n v="142881"/>
    <x v="0"/>
    <x v="2"/>
    <x v="0"/>
    <x v="3"/>
    <x v="3"/>
    <x v="0"/>
    <n v="60000000"/>
    <n v="42941247.600000001"/>
    <x v="16"/>
    <x v="1"/>
  </r>
  <r>
    <n v="142882"/>
    <x v="0"/>
    <x v="1"/>
    <x v="1"/>
    <x v="3"/>
    <x v="3"/>
    <x v="0"/>
    <n v="-60000000"/>
    <n v="-42941247.600000001"/>
    <x v="16"/>
    <x v="1"/>
  </r>
  <r>
    <n v="149133"/>
    <x v="0"/>
    <x v="2"/>
    <x v="1"/>
    <x v="3"/>
    <x v="3"/>
    <x v="0"/>
    <n v="-60000000"/>
    <n v="-42941247.600000001"/>
    <x v="16"/>
    <x v="1"/>
  </r>
  <r>
    <n v="151040"/>
    <x v="0"/>
    <x v="2"/>
    <x v="0"/>
    <x v="3"/>
    <x v="5"/>
    <x v="0"/>
    <n v="60000000"/>
    <n v="42941247.600000001"/>
    <x v="16"/>
    <x v="1"/>
  </r>
  <r>
    <n v="155004"/>
    <x v="0"/>
    <x v="1"/>
    <x v="0"/>
    <x v="3"/>
    <x v="5"/>
    <x v="0"/>
    <n v="60000000"/>
    <n v="42941247.600000001"/>
    <x v="16"/>
    <x v="1"/>
  </r>
  <r>
    <n v="155008"/>
    <x v="0"/>
    <x v="1"/>
    <x v="1"/>
    <x v="5"/>
    <x v="5"/>
    <x v="0"/>
    <n v="-60000000"/>
    <n v="-42941247.600000001"/>
    <x v="16"/>
    <x v="1"/>
  </r>
  <r>
    <n v="155136"/>
    <x v="0"/>
    <x v="2"/>
    <x v="1"/>
    <x v="3"/>
    <x v="5"/>
    <x v="0"/>
    <n v="-60000000"/>
    <n v="-42941247.600000001"/>
    <x v="16"/>
    <x v="1"/>
  </r>
  <r>
    <n v="155137"/>
    <x v="0"/>
    <x v="2"/>
    <x v="0"/>
    <x v="6"/>
    <x v="5"/>
    <x v="0"/>
    <n v="60000000"/>
    <n v="42941247.600000001"/>
    <x v="16"/>
    <x v="1"/>
  </r>
  <r>
    <n v="59759"/>
    <x v="0"/>
    <x v="0"/>
    <x v="0"/>
    <x v="0"/>
    <x v="0"/>
    <x v="0"/>
    <n v="91000000"/>
    <n v="66435950.490000002"/>
    <x v="17"/>
    <x v="1"/>
  </r>
  <r>
    <n v="130105"/>
    <x v="0"/>
    <x v="0"/>
    <x v="1"/>
    <x v="0"/>
    <x v="0"/>
    <x v="0"/>
    <n v="-91000000"/>
    <n v="-66435950.490000002"/>
    <x v="17"/>
    <x v="1"/>
  </r>
  <r>
    <n v="130134"/>
    <x v="0"/>
    <x v="0"/>
    <x v="0"/>
    <x v="1"/>
    <x v="0"/>
    <x v="0"/>
    <n v="91000000"/>
    <n v="66435950.490000002"/>
    <x v="17"/>
    <x v="1"/>
  </r>
  <r>
    <n v="148458"/>
    <x v="0"/>
    <x v="0"/>
    <x v="1"/>
    <x v="1"/>
    <x v="0"/>
    <x v="0"/>
    <n v="-91000000"/>
    <n v="-66435950.490000002"/>
    <x v="17"/>
    <x v="1"/>
  </r>
  <r>
    <n v="148929"/>
    <x v="0"/>
    <x v="0"/>
    <x v="0"/>
    <x v="1"/>
    <x v="1"/>
    <x v="0"/>
    <n v="91000000"/>
    <n v="66435950.490000002"/>
    <x v="17"/>
    <x v="1"/>
  </r>
  <r>
    <n v="24778"/>
    <x v="0"/>
    <x v="1"/>
    <x v="0"/>
    <x v="2"/>
    <x v="2"/>
    <x v="0"/>
    <n v="15000000"/>
    <n v="13902414.35"/>
    <x v="18"/>
    <x v="1"/>
  </r>
  <r>
    <n v="35472"/>
    <x v="0"/>
    <x v="2"/>
    <x v="0"/>
    <x v="2"/>
    <x v="2"/>
    <x v="0"/>
    <n v="15000000"/>
    <n v="13902414.35"/>
    <x v="18"/>
    <x v="1"/>
  </r>
  <r>
    <n v="35473"/>
    <x v="0"/>
    <x v="1"/>
    <x v="1"/>
    <x v="2"/>
    <x v="2"/>
    <x v="0"/>
    <n v="-15000000"/>
    <n v="-13902414.35"/>
    <x v="18"/>
    <x v="1"/>
  </r>
  <r>
    <n v="36739"/>
    <x v="0"/>
    <x v="2"/>
    <x v="1"/>
    <x v="2"/>
    <x v="2"/>
    <x v="0"/>
    <n v="-15000000"/>
    <n v="-13902414.35"/>
    <x v="18"/>
    <x v="1"/>
  </r>
  <r>
    <n v="45789"/>
    <x v="0"/>
    <x v="1"/>
    <x v="0"/>
    <x v="2"/>
    <x v="2"/>
    <x v="0"/>
    <n v="31500000"/>
    <n v="18612160.879999999"/>
    <x v="19"/>
    <x v="2"/>
  </r>
  <r>
    <n v="50503"/>
    <x v="0"/>
    <x v="1"/>
    <x v="1"/>
    <x v="2"/>
    <x v="2"/>
    <x v="0"/>
    <n v="-31500000"/>
    <n v="-18612160.879999999"/>
    <x v="19"/>
    <x v="2"/>
  </r>
  <r>
    <n v="50606"/>
    <x v="0"/>
    <x v="1"/>
    <x v="0"/>
    <x v="7"/>
    <x v="3"/>
    <x v="0"/>
    <n v="31500000"/>
    <n v="18612160.879999999"/>
    <x v="19"/>
    <x v="2"/>
  </r>
  <r>
    <n v="52172"/>
    <x v="0"/>
    <x v="2"/>
    <x v="0"/>
    <x v="7"/>
    <x v="3"/>
    <x v="0"/>
    <n v="21500000"/>
    <n v="12703538.380000001"/>
    <x v="19"/>
    <x v="2"/>
  </r>
  <r>
    <n v="52173"/>
    <x v="0"/>
    <x v="1"/>
    <x v="1"/>
    <x v="7"/>
    <x v="3"/>
    <x v="0"/>
    <n v="-31500000"/>
    <n v="-18612160.879999999"/>
    <x v="19"/>
    <x v="2"/>
  </r>
  <r>
    <n v="56690"/>
    <x v="0"/>
    <x v="2"/>
    <x v="1"/>
    <x v="0"/>
    <x v="3"/>
    <x v="0"/>
    <n v="-31500000"/>
    <n v="-18612160.879999999"/>
    <x v="19"/>
    <x v="2"/>
  </r>
  <r>
    <n v="77372"/>
    <x v="0"/>
    <x v="2"/>
    <x v="0"/>
    <x v="4"/>
    <x v="4"/>
    <x v="0"/>
    <n v="31500000"/>
    <n v="18612160.879999999"/>
    <x v="19"/>
    <x v="2"/>
  </r>
  <r>
    <n v="130804"/>
    <x v="0"/>
    <x v="2"/>
    <x v="0"/>
    <x v="7"/>
    <x v="3"/>
    <x v="0"/>
    <n v="10000000"/>
    <n v="5908622.5"/>
    <x v="19"/>
    <x v="2"/>
  </r>
  <r>
    <n v="149276"/>
    <x v="0"/>
    <x v="2"/>
    <x v="1"/>
    <x v="7"/>
    <x v="3"/>
    <x v="0"/>
    <n v="-31500000"/>
    <n v="-18612160.879999999"/>
    <x v="19"/>
    <x v="2"/>
  </r>
  <r>
    <n v="151451"/>
    <x v="0"/>
    <x v="2"/>
    <x v="0"/>
    <x v="7"/>
    <x v="5"/>
    <x v="0"/>
    <n v="31500000"/>
    <n v="18612160.879999999"/>
    <x v="19"/>
    <x v="2"/>
  </r>
  <r>
    <n v="54861"/>
    <x v="0"/>
    <x v="0"/>
    <x v="0"/>
    <x v="0"/>
    <x v="0"/>
    <x v="0"/>
    <n v="15000000"/>
    <n v="8125759.0499999998"/>
    <x v="20"/>
    <x v="3"/>
  </r>
  <r>
    <n v="130095"/>
    <x v="0"/>
    <x v="0"/>
    <x v="1"/>
    <x v="0"/>
    <x v="0"/>
    <x v="0"/>
    <n v="-15000000"/>
    <n v="-8125759.0499999998"/>
    <x v="20"/>
    <x v="3"/>
  </r>
  <r>
    <n v="130124"/>
    <x v="0"/>
    <x v="0"/>
    <x v="0"/>
    <x v="1"/>
    <x v="0"/>
    <x v="0"/>
    <n v="15000000"/>
    <n v="8125759.0499999998"/>
    <x v="20"/>
    <x v="3"/>
  </r>
  <r>
    <n v="148447"/>
    <x v="0"/>
    <x v="0"/>
    <x v="1"/>
    <x v="1"/>
    <x v="0"/>
    <x v="0"/>
    <n v="-15000000"/>
    <n v="-8125759.0499999998"/>
    <x v="20"/>
    <x v="3"/>
  </r>
  <r>
    <n v="148907"/>
    <x v="0"/>
    <x v="0"/>
    <x v="0"/>
    <x v="1"/>
    <x v="1"/>
    <x v="0"/>
    <n v="15000000"/>
    <n v="8125759.0499999998"/>
    <x v="20"/>
    <x v="3"/>
  </r>
  <r>
    <n v="54890"/>
    <x v="0"/>
    <x v="0"/>
    <x v="0"/>
    <x v="0"/>
    <x v="0"/>
    <x v="0"/>
    <n v="35000000"/>
    <n v="23149337.399999999"/>
    <x v="21"/>
    <x v="3"/>
  </r>
  <r>
    <n v="130100"/>
    <x v="0"/>
    <x v="0"/>
    <x v="1"/>
    <x v="0"/>
    <x v="0"/>
    <x v="0"/>
    <n v="-35000000"/>
    <n v="-23149337.399999999"/>
    <x v="21"/>
    <x v="3"/>
  </r>
  <r>
    <n v="130129"/>
    <x v="0"/>
    <x v="0"/>
    <x v="0"/>
    <x v="1"/>
    <x v="0"/>
    <x v="0"/>
    <n v="35000000"/>
    <n v="23149337.399999999"/>
    <x v="21"/>
    <x v="3"/>
  </r>
  <r>
    <n v="148453"/>
    <x v="0"/>
    <x v="0"/>
    <x v="1"/>
    <x v="1"/>
    <x v="0"/>
    <x v="0"/>
    <n v="-35000000"/>
    <n v="-23149337.399999999"/>
    <x v="21"/>
    <x v="3"/>
  </r>
  <r>
    <n v="148919"/>
    <x v="0"/>
    <x v="0"/>
    <x v="0"/>
    <x v="1"/>
    <x v="1"/>
    <x v="0"/>
    <n v="35000000"/>
    <n v="23149337.399999999"/>
    <x v="21"/>
    <x v="3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  <r>
    <m/>
    <x v="1"/>
    <x v="3"/>
    <x v="2"/>
    <x v="8"/>
    <x v="7"/>
    <x v="1"/>
    <m/>
    <m/>
    <x v="2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C63:E74" firstHeaderRow="1" firstDataRow="2" firstDataCol="1" rowPageCount="1" colPageCount="1"/>
  <pivotFields count="11"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5">
        <item x="2"/>
        <item x="1"/>
        <item x="0"/>
        <item x="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axis="axisRow" compact="0" outline="0" subtotalTop="0" showAll="0" includeNewItemsInFilter="1">
      <items count="24">
        <item x="1"/>
        <item x="2"/>
        <item x="3"/>
        <item x="20"/>
        <item x="19"/>
        <item x="4"/>
        <item x="5"/>
        <item x="6"/>
        <item x="7"/>
        <item x="8"/>
        <item x="9"/>
        <item x="10"/>
        <item x="11"/>
        <item x="0"/>
        <item x="21"/>
        <item x="12"/>
        <item x="13"/>
        <item x="14"/>
        <item x="15"/>
        <item x="16"/>
        <item x="17"/>
        <item x="18"/>
        <item x="22"/>
        <item t="default"/>
      </items>
    </pivotField>
    <pivotField compact="0" outline="0" subtotalTop="0" showAll="0" includeNewItemsInFilter="1"/>
  </pivotFields>
  <rowFields count="1">
    <field x="9"/>
  </rowFields>
  <rowItems count="10">
    <i>
      <x v="4"/>
    </i>
    <i>
      <x v="7"/>
    </i>
    <i>
      <x v="8"/>
    </i>
    <i>
      <x v="9"/>
    </i>
    <i>
      <x v="10"/>
    </i>
    <i>
      <x v="11"/>
    </i>
    <i>
      <x v="12"/>
    </i>
    <i>
      <x v="19"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0" hier="0"/>
  </pageFields>
  <dataFields count="2">
    <dataField name="Sum of InitialNotional" fld="7" baseField="0" baseItem="0"/>
    <dataField name="Sum of CurrentNotional" fld="8" baseField="0" baseItem="0"/>
  </dataFields>
  <formats count="15">
    <format dxfId="99">
      <pivotArea outline="0" fieldPosition="0"/>
    </format>
    <format dxfId="98">
      <pivotArea dataOnly="0" labelOnly="1" outline="0" fieldPosition="0">
        <references count="1">
          <reference field="2" count="1">
            <x v="0"/>
          </reference>
        </references>
      </pivotArea>
    </format>
    <format dxfId="97">
      <pivotArea field="-2" type="button" dataOnly="0" labelOnly="1" outline="0" axis="axisCol" fieldPosition="0"/>
    </format>
    <format dxfId="96">
      <pivotArea type="topRight" dataOnly="0" labelOnly="1" outline="0" fieldPosition="0"/>
    </format>
    <format dxfId="95">
      <pivotArea dataOnly="0" labelOnly="1" outline="0" fieldPosition="0">
        <references count="1">
          <reference field="4294967294" count="0"/>
        </references>
      </pivotArea>
    </format>
    <format dxfId="94">
      <pivotArea type="all" dataOnly="0" outline="0" fieldPosition="0"/>
    </format>
    <format dxfId="93">
      <pivotArea field="9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0"/>
        </references>
      </pivotArea>
    </format>
    <format dxfId="91">
      <pivotArea field="9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0"/>
        </references>
      </pivotArea>
    </format>
    <format dxfId="89">
      <pivotArea field="9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0"/>
        </references>
      </pivotArea>
    </format>
    <format dxfId="87">
      <pivotArea field="2" type="button" dataOnly="0" labelOnly="1" outline="0" axis="axisPage" fieldPosition="0"/>
    </format>
    <format dxfId="86">
      <pivotArea field="2" type="button" dataOnly="0" labelOnly="1" outline="0" axis="axisPage" fieldPosition="0"/>
    </format>
    <format dxfId="85">
      <pivotArea field="2" type="button" dataOnly="0" labelOnly="1" outline="0" axis="axisPage" fieldPosition="0"/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6" cacheId="8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C79:E90" firstHeaderRow="1" firstDataRow="2" firstDataCol="1" rowPageCount="1" colPageCount="1"/>
  <pivotFields count="11"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5">
        <item x="2"/>
        <item x="1"/>
        <item x="0"/>
        <item x="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axis="axisRow" compact="0" outline="0" subtotalTop="0" showAll="0" includeNewItemsInFilter="1">
      <items count="24">
        <item x="1"/>
        <item x="2"/>
        <item x="3"/>
        <item x="20"/>
        <item x="19"/>
        <item x="4"/>
        <item x="5"/>
        <item x="6"/>
        <item x="7"/>
        <item x="8"/>
        <item x="9"/>
        <item x="10"/>
        <item x="11"/>
        <item x="0"/>
        <item x="21"/>
        <item x="12"/>
        <item x="13"/>
        <item x="14"/>
        <item x="15"/>
        <item x="16"/>
        <item x="17"/>
        <item x="18"/>
        <item x="22"/>
        <item t="default"/>
      </items>
    </pivotField>
    <pivotField compact="0" outline="0" subtotalTop="0" showAll="0" includeNewItemsInFilter="1"/>
  </pivotFields>
  <rowFields count="1">
    <field x="9"/>
  </rowFields>
  <rowItems count="10">
    <i>
      <x v="4"/>
    </i>
    <i>
      <x v="7"/>
    </i>
    <i>
      <x v="8"/>
    </i>
    <i>
      <x v="9"/>
    </i>
    <i>
      <x v="10"/>
    </i>
    <i>
      <x v="11"/>
    </i>
    <i>
      <x v="12"/>
    </i>
    <i>
      <x v="19"/>
    </i>
    <i>
      <x v="21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1" hier="0"/>
  </pageFields>
  <dataFields count="2">
    <dataField name="Sum of InitialNotional" fld="7" baseField="0" baseItem="0"/>
    <dataField name="Sum of CurrentNotional" fld="8" baseField="0" baseItem="0"/>
  </dataFields>
  <formats count="10">
    <format dxfId="109">
      <pivotArea outline="0" fieldPosition="0"/>
    </format>
    <format dxfId="108">
      <pivotArea dataOnly="0" labelOnly="1" outline="0" fieldPosition="0">
        <references count="1">
          <reference field="2" count="1">
            <x v="1"/>
          </reference>
        </references>
      </pivotArea>
    </format>
    <format dxfId="107">
      <pivotArea field="-2" type="button" dataOnly="0" labelOnly="1" outline="0" axis="axisCol" fieldPosition="0"/>
    </format>
    <format dxfId="106">
      <pivotArea type="topRight" dataOnly="0" labelOnly="1" outline="0" fieldPosition="0"/>
    </format>
    <format dxfId="105">
      <pivotArea dataOnly="0" labelOnly="1" outline="0" fieldPosition="0">
        <references count="1">
          <reference field="4294967294" count="0"/>
        </references>
      </pivotArea>
    </format>
    <format dxfId="104">
      <pivotArea type="all" dataOnly="0" outline="0" fieldPosition="0"/>
    </format>
    <format dxfId="103">
      <pivotArea field="2" type="button" dataOnly="0" labelOnly="1" outline="0" axis="axisPage" fieldPosition="0"/>
    </format>
    <format dxfId="102">
      <pivotArea field="2" type="button" dataOnly="0" labelOnly="1" outline="0" axis="axisPage" fieldPosition="0"/>
    </format>
    <format dxfId="101">
      <pivotArea field="2" type="button" dataOnly="0" labelOnly="1" outline="0" axis="axisPage" fieldPosition="0"/>
    </format>
    <format dxfId="100">
      <pivotArea field="9" type="button" dataOnly="0" labelOnly="1" outline="0" axis="axisRow" fieldPosition="0"/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C8:E33" firstHeaderRow="1" firstDataRow="2" firstDataCol="1"/>
  <pivotFields count="11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axis="axisRow" compact="0" outline="0" subtotalTop="0" showAll="0" includeNewItemsInFilter="1">
      <items count="24">
        <item x="1"/>
        <item x="2"/>
        <item x="3"/>
        <item x="20"/>
        <item x="19"/>
        <item x="4"/>
        <item x="5"/>
        <item x="6"/>
        <item x="7"/>
        <item x="8"/>
        <item x="9"/>
        <item x="10"/>
        <item x="11"/>
        <item x="0"/>
        <item x="21"/>
        <item x="12"/>
        <item x="13"/>
        <item x="14"/>
        <item x="15"/>
        <item x="16"/>
        <item x="17"/>
        <item x="18"/>
        <item x="22"/>
        <item t="default"/>
      </items>
    </pivotField>
    <pivotField compact="0" outline="0" subtotalTop="0" showAll="0" includeNewItemsInFilter="1"/>
  </pivotFields>
  <rowFields count="1">
    <field x="9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InitialNotional" fld="7" baseField="0" baseItem="0"/>
    <dataField name="Sum of CurrentNotional" fld="8" baseField="0" baseItem="0"/>
  </dataFields>
  <formats count="17">
    <format dxfId="126">
      <pivotArea outline="0" fieldPosition="0">
        <references count="1">
          <reference field="9" count="0" selected="0"/>
        </references>
      </pivotArea>
    </format>
    <format dxfId="125">
      <pivotArea type="all" dataOnly="0" outline="0" fieldPosition="0"/>
    </format>
    <format dxfId="124">
      <pivotArea type="origin" dataOnly="0" labelOnly="1" outline="0" fieldPosition="0"/>
    </format>
    <format dxfId="123">
      <pivotArea field="9" type="button" dataOnly="0" labelOnly="1" outline="0" axis="axisRow" fieldPosition="0"/>
    </format>
    <format dxfId="122">
      <pivotArea field="-2" type="button" dataOnly="0" labelOnly="1" outline="0" axis="axisCol" fieldPosition="0"/>
    </format>
    <format dxfId="121">
      <pivotArea type="topRight" dataOnly="0" labelOnly="1" outline="0" fieldPosition="0"/>
    </format>
    <format dxfId="120">
      <pivotArea dataOnly="0" labelOnly="1" outline="0" fieldPosition="0">
        <references count="1">
          <reference field="4294967294" count="0"/>
        </references>
      </pivotArea>
    </format>
    <format dxfId="119">
      <pivotArea type="origin" dataOnly="0" labelOnly="1" outline="0" fieldPosition="0"/>
    </format>
    <format dxfId="118">
      <pivotArea field="9" type="button" dataOnly="0" labelOnly="1" outline="0" axis="axisRow" fieldPosition="0"/>
    </format>
    <format dxfId="117">
      <pivotArea field="-2" type="button" dataOnly="0" labelOnly="1" outline="0" axis="axisCol" fieldPosition="0"/>
    </format>
    <format dxfId="116">
      <pivotArea type="topRight" dataOnly="0" labelOnly="1" outline="0" fieldPosition="0"/>
    </format>
    <format dxfId="115">
      <pivotArea dataOnly="0" labelOnly="1" outline="0" fieldPosition="0">
        <references count="1">
          <reference field="4294967294" count="0"/>
        </references>
      </pivotArea>
    </format>
    <format dxfId="114">
      <pivotArea type="origin" dataOnly="0" labelOnly="1" outline="0" fieldPosition="0"/>
    </format>
    <format dxfId="113">
      <pivotArea field="9" type="button" dataOnly="0" labelOnly="1" outline="0" axis="axisRow" fieldPosition="0"/>
    </format>
    <format dxfId="112">
      <pivotArea field="-2" type="button" dataOnly="0" labelOnly="1" outline="0" axis="axisCol" fieldPosition="0"/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0"/>
        </references>
      </pivotArea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6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C40:E57" firstHeaderRow="1" firstDataRow="2" firstDataCol="1" rowPageCount="1" colPageCount="1"/>
  <pivotFields count="11"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5">
        <item x="2"/>
        <item x="1"/>
        <item x="0"/>
        <item x="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axis="axisRow" compact="0" outline="0" subtotalTop="0" showAll="0" includeNewItemsInFilter="1">
      <items count="24">
        <item x="1"/>
        <item x="2"/>
        <item x="3"/>
        <item x="20"/>
        <item x="19"/>
        <item x="4"/>
        <item x="5"/>
        <item x="6"/>
        <item x="7"/>
        <item x="8"/>
        <item x="9"/>
        <item x="10"/>
        <item x="11"/>
        <item x="0"/>
        <item x="21"/>
        <item x="12"/>
        <item x="13"/>
        <item x="14"/>
        <item x="15"/>
        <item x="16"/>
        <item x="17"/>
        <item x="18"/>
        <item x="22"/>
        <item t="default"/>
      </items>
    </pivotField>
    <pivotField compact="0" outline="0" subtotalTop="0" showAll="0" includeNewItemsInFilter="1"/>
  </pivotFields>
  <rowFields count="1">
    <field x="9"/>
  </rowFields>
  <rowItems count="16">
    <i>
      <x/>
    </i>
    <i>
      <x v="1"/>
    </i>
    <i>
      <x v="2"/>
    </i>
    <i>
      <x v="3"/>
    </i>
    <i>
      <x v="5"/>
    </i>
    <i>
      <x v="6"/>
    </i>
    <i>
      <x v="8"/>
    </i>
    <i>
      <x v="10"/>
    </i>
    <i>
      <x v="13"/>
    </i>
    <i>
      <x v="14"/>
    </i>
    <i>
      <x v="15"/>
    </i>
    <i>
      <x v="16"/>
    </i>
    <i>
      <x v="17"/>
    </i>
    <i>
      <x v="18"/>
    </i>
    <i>
      <x v="20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2" hier="0"/>
  </pageFields>
  <dataFields count="2">
    <dataField name="Sum of InitialNotional" fld="7" baseField="0" baseItem="0"/>
    <dataField name="Sum of CurrentNotional" fld="8" baseField="0" baseItem="0"/>
  </dataFields>
  <formats count="15">
    <format dxfId="141">
      <pivotArea outline="0" fieldPosition="0"/>
    </format>
    <format dxfId="140">
      <pivotArea dataOnly="0" labelOnly="1" outline="0" fieldPosition="0">
        <references count="1">
          <reference field="2" count="1">
            <x v="2"/>
          </reference>
        </references>
      </pivotArea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0"/>
        </references>
      </pivotArea>
    </format>
    <format dxfId="136">
      <pivotArea type="all" dataOnly="0" outline="0" fieldPosition="0"/>
    </format>
    <format dxfId="135">
      <pivotArea field="2" type="button" dataOnly="0" labelOnly="1" outline="0" axis="axisPage" fieldPosition="0"/>
    </format>
    <format dxfId="134">
      <pivotArea field="2" type="button" dataOnly="0" labelOnly="1" outline="0" axis="axisPage" fieldPosition="0"/>
    </format>
    <format dxfId="133">
      <pivotArea field="9" type="button" dataOnly="0" labelOnly="1" outline="0" axis="axisRow" fieldPosition="0"/>
    </format>
    <format dxfId="132">
      <pivotArea dataOnly="0" labelOnly="1" outline="0" fieldPosition="0">
        <references count="1">
          <reference field="4294967294" count="0"/>
        </references>
      </pivotArea>
    </format>
    <format dxfId="131">
      <pivotArea field="9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0"/>
        </references>
      </pivotArea>
    </format>
    <format dxfId="129">
      <pivotArea field="9" type="button" dataOnly="0" labelOnly="1" outline="0" axis="axisRow" fieldPosition="0"/>
    </format>
    <format dxfId="128">
      <pivotArea dataOnly="0" labelOnly="1" outline="0" fieldPosition="0">
        <references count="1">
          <reference field="4294967294" count="0"/>
        </references>
      </pivotArea>
    </format>
    <format dxfId="127">
      <pivotArea field="2" type="button" dataOnly="0" labelOnly="1" outline="0" axis="axisPage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indexed="43"/>
  </sheetPr>
  <dimension ref="A1:U45"/>
  <sheetViews>
    <sheetView zoomScale="85" zoomScaleNormal="85" workbookViewId="0"/>
  </sheetViews>
  <sheetFormatPr defaultRowHeight="12.75"/>
  <cols>
    <col min="1" max="1" width="5.140625" style="25" customWidth="1"/>
    <col min="2" max="2" width="22.85546875" style="149" bestFit="1" customWidth="1"/>
    <col min="3" max="3" width="30.85546875" style="149" bestFit="1" customWidth="1"/>
    <col min="4" max="4" width="18.42578125" style="149" bestFit="1" customWidth="1"/>
    <col min="5" max="5" width="15.28515625" style="149" bestFit="1" customWidth="1"/>
    <col min="6" max="6" width="18.28515625" style="149" bestFit="1" customWidth="1"/>
    <col min="7" max="7" width="19.140625" style="149" bestFit="1" customWidth="1"/>
    <col min="8" max="8" width="16" style="149" bestFit="1" customWidth="1"/>
    <col min="9" max="9" width="16.42578125" style="25" bestFit="1" customWidth="1"/>
    <col min="10" max="10" width="29.42578125" style="25" bestFit="1" customWidth="1"/>
    <col min="11" max="11" width="21.140625" style="25" bestFit="1" customWidth="1"/>
    <col min="12" max="12" width="21.5703125" style="25" bestFit="1" customWidth="1"/>
    <col min="13" max="13" width="38.28515625" style="149" bestFit="1" customWidth="1"/>
    <col min="14" max="14" width="12" style="25" bestFit="1" customWidth="1"/>
    <col min="15" max="15" width="12" style="25" customWidth="1"/>
    <col min="16" max="16" width="11.85546875" style="1" customWidth="1"/>
    <col min="17" max="18" width="26.7109375" style="25" bestFit="1" customWidth="1"/>
    <col min="19" max="19" width="14.7109375" style="25" bestFit="1" customWidth="1"/>
    <col min="20" max="20" width="9.140625" style="25"/>
    <col min="21" max="21" width="13.140625" style="25" bestFit="1" customWidth="1"/>
    <col min="22" max="16384" width="9.140625" style="25"/>
  </cols>
  <sheetData>
    <row r="1" spans="2:17">
      <c r="B1" s="53" t="s">
        <v>67</v>
      </c>
      <c r="C1" s="54">
        <f ca="1">TODAY()</f>
        <v>42468</v>
      </c>
      <c r="D1" s="150" t="s">
        <v>72</v>
      </c>
    </row>
    <row r="2" spans="2:17">
      <c r="B2" s="53" t="s">
        <v>70</v>
      </c>
      <c r="C2" s="151">
        <v>0.05</v>
      </c>
      <c r="D2" s="150" t="s">
        <v>71</v>
      </c>
    </row>
    <row r="4" spans="2:17" ht="15">
      <c r="B4" s="182" t="s">
        <v>132</v>
      </c>
    </row>
    <row r="5" spans="2:17" ht="15">
      <c r="B5" s="182" t="s">
        <v>133</v>
      </c>
    </row>
    <row r="6" spans="2:17" ht="15">
      <c r="B6" s="182"/>
    </row>
    <row r="7" spans="2:17" ht="15">
      <c r="B7" s="182" t="s">
        <v>134</v>
      </c>
    </row>
    <row r="8" spans="2:17" ht="15">
      <c r="B8" s="182"/>
      <c r="M8" s="25"/>
      <c r="N8" s="149"/>
      <c r="P8" s="25"/>
      <c r="Q8" s="1"/>
    </row>
    <row r="9" spans="2:17" ht="15">
      <c r="B9" s="182" t="s">
        <v>176</v>
      </c>
      <c r="M9" s="25"/>
      <c r="N9" s="149"/>
      <c r="P9" s="25"/>
      <c r="Q9" s="1"/>
    </row>
    <row r="10" spans="2:17" ht="15">
      <c r="B10" s="182"/>
    </row>
    <row r="11" spans="2:17" ht="15">
      <c r="B11" s="182" t="s">
        <v>177</v>
      </c>
    </row>
    <row r="12" spans="2:17" ht="15">
      <c r="B12" s="182"/>
    </row>
    <row r="13" spans="2:17" ht="15">
      <c r="B13" s="182" t="s">
        <v>178</v>
      </c>
    </row>
    <row r="14" spans="2:17">
      <c r="M14" s="25"/>
      <c r="N14" s="149"/>
      <c r="P14" s="25"/>
      <c r="Q14" s="1"/>
    </row>
    <row r="15" spans="2:17">
      <c r="M15" s="25"/>
      <c r="N15" s="149"/>
      <c r="P15" s="25"/>
      <c r="Q15" s="1"/>
    </row>
    <row r="16" spans="2:17">
      <c r="B16" s="148"/>
      <c r="M16" s="25"/>
      <c r="N16" s="149"/>
      <c r="P16" s="25"/>
      <c r="Q16" s="1"/>
    </row>
    <row r="17" spans="1:21">
      <c r="B17" s="148"/>
    </row>
    <row r="18" spans="1:21">
      <c r="A18" s="25" t="s">
        <v>135</v>
      </c>
      <c r="B18" s="148"/>
      <c r="M18" s="25"/>
      <c r="N18" s="149"/>
      <c r="P18" s="25"/>
      <c r="Q18" s="1"/>
    </row>
    <row r="19" spans="1:21" ht="13.5" thickBot="1">
      <c r="M19" s="25"/>
      <c r="N19" s="149"/>
      <c r="P19" s="25"/>
      <c r="Q19" s="1"/>
    </row>
    <row r="20" spans="1:21" s="30" customFormat="1" ht="13.5" hidden="1" thickBot="1">
      <c r="A20" s="30" t="s">
        <v>52</v>
      </c>
      <c r="H20" s="30" t="str">
        <f>" Mtge Cusip"</f>
        <v xml:space="preserve"> Mtge Cusip</v>
      </c>
    </row>
    <row r="21" spans="1:21" s="30" customFormat="1" ht="13.5" hidden="1" thickBot="1">
      <c r="B21" s="30" t="s">
        <v>17</v>
      </c>
      <c r="D21" s="30" t="s">
        <v>44</v>
      </c>
      <c r="H21" s="30" t="s">
        <v>45</v>
      </c>
      <c r="I21" s="30" t="s">
        <v>46</v>
      </c>
      <c r="J21" s="30" t="s">
        <v>65</v>
      </c>
      <c r="K21" s="30" t="s">
        <v>64</v>
      </c>
      <c r="L21" s="30" t="s">
        <v>66</v>
      </c>
      <c r="M21" s="30" t="s">
        <v>53</v>
      </c>
      <c r="N21" s="30" t="s">
        <v>47</v>
      </c>
      <c r="O21" s="30" t="s">
        <v>1</v>
      </c>
      <c r="P21" s="30" t="s">
        <v>48</v>
      </c>
      <c r="Q21" s="30" t="s">
        <v>62</v>
      </c>
      <c r="R21" s="30" t="s">
        <v>49</v>
      </c>
      <c r="S21" s="30" t="s">
        <v>50</v>
      </c>
      <c r="T21" s="30" t="s">
        <v>51</v>
      </c>
    </row>
    <row r="22" spans="1:21" s="33" customFormat="1" ht="51.75" thickBot="1">
      <c r="A22" s="33" t="s">
        <v>73</v>
      </c>
      <c r="B22" s="34" t="s">
        <v>17</v>
      </c>
      <c r="C22" s="35" t="s">
        <v>131</v>
      </c>
      <c r="D22" s="35" t="s">
        <v>44</v>
      </c>
      <c r="E22" s="40" t="s">
        <v>68</v>
      </c>
      <c r="F22" s="34" t="s">
        <v>69</v>
      </c>
      <c r="G22" s="38" t="s">
        <v>34</v>
      </c>
      <c r="H22" s="35" t="s">
        <v>109</v>
      </c>
      <c r="I22" s="36" t="s">
        <v>54</v>
      </c>
      <c r="J22" s="37" t="s">
        <v>55</v>
      </c>
      <c r="K22" s="34" t="s">
        <v>65</v>
      </c>
      <c r="L22" s="35" t="s">
        <v>64</v>
      </c>
      <c r="M22" s="38" t="s">
        <v>106</v>
      </c>
      <c r="N22" s="39" t="s">
        <v>61</v>
      </c>
      <c r="O22" s="39" t="s">
        <v>56</v>
      </c>
      <c r="P22" s="39" t="s">
        <v>57</v>
      </c>
      <c r="Q22" s="39" t="s">
        <v>58</v>
      </c>
      <c r="R22" s="39" t="s">
        <v>63</v>
      </c>
      <c r="S22" s="39" t="s">
        <v>59</v>
      </c>
      <c r="T22" s="39" t="s">
        <v>60</v>
      </c>
      <c r="U22" s="39" t="s">
        <v>61</v>
      </c>
    </row>
    <row r="23" spans="1:21">
      <c r="A23" s="29">
        <v>1</v>
      </c>
      <c r="B23" s="137" t="s">
        <v>16</v>
      </c>
      <c r="C23" s="157" t="s">
        <v>128</v>
      </c>
      <c r="D23" s="157" t="str">
        <f>MID(B23,3,9)</f>
        <v>83162CRG0</v>
      </c>
      <c r="E23" s="187">
        <v>0.05</v>
      </c>
      <c r="F23" s="188">
        <f>IF(ISERROR(VLOOKUP(B23,'Bond Position per Summit'!$C$42:$E$56,3,0)),0,VLOOKUP(B23,'Bond Position per Summit'!$C$42:$E$56,3,0))</f>
        <v>66435950.490000002</v>
      </c>
      <c r="G23" s="189">
        <f>IF(ISERROR(VLOOKUP(B23,'Bond Position per Summit'!$C$65:$E$73,3,0)),0,VLOOKUP(B23,'Bond Position per Summit'!$C$65:$E$73,3,0))</f>
        <v>0</v>
      </c>
      <c r="H23" s="190">
        <f ca="1">'01 - US83162CRG05'!W11</f>
        <v>5.3244389707548736</v>
      </c>
      <c r="I23" s="183" t="e">
        <v>#NAME?</v>
      </c>
      <c r="J23" s="184" t="e">
        <v>#NAME?</v>
      </c>
      <c r="K23" s="163">
        <f>VLOOKUP(B23,'Bond Position per Summit'!$C$10:$D$32,2,0)</f>
        <v>91000000</v>
      </c>
      <c r="L23" s="164">
        <f>VLOOKUP(B23,'Bond Position per Summit'!$C$10:$E$32,3,0)</f>
        <v>66435950.490000002</v>
      </c>
      <c r="M23" s="165" t="e">
        <f>(N23*K23)-L23</f>
        <v>#NAME?</v>
      </c>
      <c r="N23" s="149" t="e">
        <v>#NAME?</v>
      </c>
      <c r="O23" s="149" t="e">
        <v>#NAME?</v>
      </c>
      <c r="P23" s="149" t="e">
        <v>#NAME?</v>
      </c>
      <c r="Q23" s="149" t="e">
        <v>#NAME?</v>
      </c>
      <c r="R23" s="149" t="e">
        <v>#NAME?</v>
      </c>
      <c r="S23" s="149" t="e">
        <v>#NAME?</v>
      </c>
      <c r="T23" s="149" t="e">
        <v>#NAME?</v>
      </c>
      <c r="U23" s="149" t="e">
        <v>#NAME?</v>
      </c>
    </row>
    <row r="24" spans="1:21">
      <c r="A24" s="29">
        <v>2</v>
      </c>
      <c r="B24" s="137" t="s">
        <v>14</v>
      </c>
      <c r="C24" s="158" t="s">
        <v>127</v>
      </c>
      <c r="D24" s="158" t="str">
        <f>MID(B24,3,9)</f>
        <v>83162CRA3</v>
      </c>
      <c r="E24" s="43">
        <v>0.05</v>
      </c>
      <c r="F24" s="45">
        <f>IF(ISERROR(VLOOKUP(B24,'Bond Position per Summit'!$C$42:$E$56,3,0)),0,VLOOKUP(B24,'Bond Position per Summit'!$C$42:$E$56,3,0))</f>
        <v>38472614.460000001</v>
      </c>
      <c r="G24" s="46">
        <f>IF(ISERROR(VLOOKUP(B24,'Bond Position per Summit'!$C$65:$E$73,3,0)),0,VLOOKUP(B24,'Bond Position per Summit'!$C$65:$E$73,3,0))</f>
        <v>0</v>
      </c>
      <c r="H24" s="191">
        <f ca="1">'02 - US83162CRA35'!W11</f>
        <v>4.9715263793098723</v>
      </c>
      <c r="I24" s="149" t="e">
        <v>#NAME?</v>
      </c>
      <c r="J24" s="185" t="e">
        <v>#NAME?</v>
      </c>
      <c r="K24" s="163">
        <f>VLOOKUP(B24,'Bond Position per Summit'!$C$10:$D$32,2,0)</f>
        <v>55961000</v>
      </c>
      <c r="L24" s="164">
        <f>VLOOKUP(B24,'Bond Position per Summit'!$C$10:$E$32,3,0)</f>
        <v>38472614.460000001</v>
      </c>
      <c r="M24" s="165" t="e">
        <f>(N24*K24)-L24</f>
        <v>#NAME?</v>
      </c>
      <c r="N24" s="149" t="e">
        <v>#NAME?</v>
      </c>
      <c r="O24" s="149" t="e">
        <v>#NAME?</v>
      </c>
      <c r="P24" s="149" t="e">
        <v>#NAME?</v>
      </c>
      <c r="Q24" s="149" t="e">
        <v>#NAME?</v>
      </c>
      <c r="R24" s="149" t="e">
        <v>#NAME?</v>
      </c>
      <c r="S24" s="149" t="e">
        <v>#NAME?</v>
      </c>
      <c r="T24" s="149" t="e">
        <v>#NAME?</v>
      </c>
      <c r="U24" s="149" t="e">
        <v>#NAME?</v>
      </c>
    </row>
    <row r="25" spans="1:21">
      <c r="A25" s="29">
        <v>3</v>
      </c>
      <c r="B25" s="137" t="s">
        <v>9</v>
      </c>
      <c r="C25" s="158" t="s">
        <v>129</v>
      </c>
      <c r="D25" s="158" t="str">
        <f>MID(B25,3,9)</f>
        <v>83162CQS5</v>
      </c>
      <c r="E25" s="43">
        <v>0.05</v>
      </c>
      <c r="F25" s="45">
        <f>IF(ISERROR(VLOOKUP(B25,'Bond Position per Summit'!$C$42:$E$56,3,0)),0,VLOOKUP(B25,'Bond Position per Summit'!$C$42:$E$56,3,0))</f>
        <v>23149337.399999999</v>
      </c>
      <c r="G25" s="46">
        <f>IF(ISERROR(VLOOKUP(B25,'Bond Position per Summit'!$C$65:$E$73,3,0)),0,VLOOKUP(B25,'Bond Position per Summit'!$C$65:$E$73,3,0))</f>
        <v>0</v>
      </c>
      <c r="H25" s="191">
        <f ca="1">'03 - US83162CQS51'!W11</f>
        <v>4.8383909535419827</v>
      </c>
      <c r="I25" s="149" t="e">
        <v>#NAME?</v>
      </c>
      <c r="J25" s="185" t="e">
        <v>#NAME?</v>
      </c>
      <c r="K25" s="163">
        <f>VLOOKUP(B25,'Bond Position per Summit'!$C$10:$D$32,2,0)</f>
        <v>35000000</v>
      </c>
      <c r="L25" s="164">
        <f>VLOOKUP(B25,'Bond Position per Summit'!$C$10:$E$32,3,0)</f>
        <v>23149337.399999999</v>
      </c>
      <c r="M25" s="165" t="e">
        <f>(N25*K25)-L25</f>
        <v>#NAME?</v>
      </c>
      <c r="N25" s="149" t="e">
        <v>#NAME?</v>
      </c>
      <c r="O25" s="149" t="e">
        <v>#NAME?</v>
      </c>
      <c r="P25" s="149" t="e">
        <v>#NAME?</v>
      </c>
      <c r="Q25" s="149" t="e">
        <v>#NAME?</v>
      </c>
      <c r="R25" s="149" t="e">
        <v>#NAME?</v>
      </c>
      <c r="S25" s="149" t="e">
        <v>#NAME?</v>
      </c>
      <c r="T25" s="149" t="e">
        <v>#NAME?</v>
      </c>
      <c r="U25" s="149" t="e">
        <v>#NAME?</v>
      </c>
    </row>
    <row r="26" spans="1:21">
      <c r="A26" s="29">
        <v>4</v>
      </c>
      <c r="B26" s="137" t="s">
        <v>12</v>
      </c>
      <c r="C26" s="159" t="s">
        <v>110</v>
      </c>
      <c r="D26" s="158" t="str">
        <f>MID(B26,3,9)</f>
        <v>83162CQX4</v>
      </c>
      <c r="E26" s="43">
        <v>0.05</v>
      </c>
      <c r="F26" s="45">
        <f>IF(ISERROR(VLOOKUP(B26,'Bond Position per Summit'!$C$42:$E$56,3,0)),0,VLOOKUP(B26,'Bond Position per Summit'!$C$42:$E$56,3,0))</f>
        <v>19545425.869999997</v>
      </c>
      <c r="G26" s="46">
        <f>IF(ISERROR(VLOOKUP(B26,'Bond Position per Summit'!$C$65:$E$73,3,0)),0,VLOOKUP(B26,'Bond Position per Summit'!$C$65:$E$73,3,0))</f>
        <v>0</v>
      </c>
      <c r="H26" s="191">
        <f ca="1">'04 - US83162CQX47'!W11</f>
        <v>5.0960463765626614</v>
      </c>
      <c r="I26" s="149" t="e">
        <v>#NAME?</v>
      </c>
      <c r="J26" s="185" t="e">
        <v>#NAME?</v>
      </c>
      <c r="K26" s="163">
        <f>VLOOKUP(B26,'Bond Position per Summit'!$C$10:$D$32,2,0)</f>
        <v>26684000</v>
      </c>
      <c r="L26" s="164">
        <f>VLOOKUP(B26,'Bond Position per Summit'!$C$10:$E$32,3,0)</f>
        <v>19545425.869999997</v>
      </c>
      <c r="M26" s="165" t="e">
        <f>(N26*K26)-L26</f>
        <v>#NAME?</v>
      </c>
      <c r="N26" s="149" t="e">
        <v>#NAME?</v>
      </c>
      <c r="O26" s="149" t="e">
        <v>#NAME?</v>
      </c>
      <c r="P26" s="149" t="e">
        <v>#NAME?</v>
      </c>
      <c r="Q26" s="149" t="e">
        <v>#NAME?</v>
      </c>
      <c r="R26" s="149" t="e">
        <v>#NAME?</v>
      </c>
      <c r="S26" s="149" t="e">
        <v>#NAME?</v>
      </c>
      <c r="T26" s="149" t="e">
        <v>#NAME?</v>
      </c>
      <c r="U26" s="149" t="e">
        <v>#NAME?</v>
      </c>
    </row>
    <row r="27" spans="1:21">
      <c r="A27" s="29">
        <v>5</v>
      </c>
      <c r="B27" s="137" t="s">
        <v>3</v>
      </c>
      <c r="C27" s="159" t="s">
        <v>111</v>
      </c>
      <c r="D27" s="158" t="str">
        <f>MID(B27,3,9)</f>
        <v>83162CNU3</v>
      </c>
      <c r="E27" s="43">
        <v>0.05</v>
      </c>
      <c r="F27" s="45">
        <f>IF(ISERROR(VLOOKUP(B27,'Bond Position per Summit'!$C$42:$E$56,3,0)),0,VLOOKUP(B27,'Bond Position per Summit'!$C$42:$E$56,3,0))</f>
        <v>18007850.140000001</v>
      </c>
      <c r="G27" s="46">
        <f>IF(ISERROR(VLOOKUP(B27,'Bond Position per Summit'!$C$65:$E$73,3,0)),0,VLOOKUP(B27,'Bond Position per Summit'!$C$65:$E$73,3,0))</f>
        <v>0</v>
      </c>
      <c r="H27" s="191">
        <f ca="1">'05 - US83162CNU35'!W11</f>
        <v>3.8191388183197983</v>
      </c>
      <c r="I27" s="149" t="e">
        <v>#NAME?</v>
      </c>
      <c r="J27" s="185" t="e">
        <v>#NAME?</v>
      </c>
      <c r="K27" s="163">
        <f>VLOOKUP(B27,'Bond Position per Summit'!$C$10:$D$32,2,0)</f>
        <v>33860000</v>
      </c>
      <c r="L27" s="164">
        <f>VLOOKUP(B27,'Bond Position per Summit'!$C$10:$E$32,3,0)</f>
        <v>18007850.140000001</v>
      </c>
      <c r="M27" s="165" t="e">
        <f>(N27*K27)-L27</f>
        <v>#NAME?</v>
      </c>
      <c r="N27" s="149" t="e">
        <v>#NAME?</v>
      </c>
      <c r="O27" s="149" t="e">
        <v>#NAME?</v>
      </c>
      <c r="P27" s="149" t="e">
        <v>#NAME?</v>
      </c>
      <c r="Q27" s="149" t="e">
        <v>#NAME?</v>
      </c>
      <c r="R27" s="149" t="e">
        <v>#NAME?</v>
      </c>
      <c r="S27" s="149" t="e">
        <v>#NAME?</v>
      </c>
      <c r="T27" s="149" t="e">
        <v>#NAME?</v>
      </c>
      <c r="U27" s="149" t="e">
        <v>#NAME?</v>
      </c>
    </row>
    <row r="28" spans="1:21">
      <c r="A28" s="29">
        <v>6</v>
      </c>
      <c r="B28" s="137" t="s">
        <v>5</v>
      </c>
      <c r="C28" s="159" t="s">
        <v>112</v>
      </c>
      <c r="D28" s="158" t="str">
        <f>MID(B28,3,9)</f>
        <v>83162CPV9</v>
      </c>
      <c r="E28" s="43">
        <v>0.05</v>
      </c>
      <c r="F28" s="45">
        <f>IF(ISERROR(VLOOKUP(B28,'Bond Position per Summit'!$C$42:$E$56,3,0)),0,VLOOKUP(B28,'Bond Position per Summit'!$C$42:$E$56,3,0))</f>
        <v>17722327.149999999</v>
      </c>
      <c r="G28" s="46">
        <f>IF(ISERROR(VLOOKUP(B28,'Bond Position per Summit'!$C$65:$E$73,3,0)),0,VLOOKUP(B28,'Bond Position per Summit'!$C$65:$E$73,3,0))</f>
        <v>0</v>
      </c>
      <c r="H28" s="191">
        <f ca="1">'06- US83162CPV99'!W11</f>
        <v>4.5529088643894102</v>
      </c>
      <c r="I28" s="149" t="e">
        <v>#NAME?</v>
      </c>
      <c r="J28" s="185" t="e">
        <v>#NAME?</v>
      </c>
      <c r="K28" s="163">
        <f>VLOOKUP(B28,'Bond Position per Summit'!$C$10:$D$32,2,0)</f>
        <v>29350000</v>
      </c>
      <c r="L28" s="164">
        <f>VLOOKUP(B28,'Bond Position per Summit'!$C$10:$E$32,3,0)</f>
        <v>17722327.149999999</v>
      </c>
      <c r="M28" s="165" t="e">
        <f>(N28*K28)-L28</f>
        <v>#NAME?</v>
      </c>
      <c r="N28" s="149" t="e">
        <v>#NAME?</v>
      </c>
      <c r="O28" s="149" t="e">
        <v>#NAME?</v>
      </c>
      <c r="P28" s="149" t="e">
        <v>#NAME?</v>
      </c>
      <c r="Q28" s="149" t="e">
        <v>#NAME?</v>
      </c>
      <c r="R28" s="149" t="e">
        <v>#NAME?</v>
      </c>
      <c r="S28" s="149" t="e">
        <v>#NAME?</v>
      </c>
      <c r="T28" s="149" t="e">
        <v>#NAME?</v>
      </c>
      <c r="U28" s="149" t="e">
        <v>#NAME?</v>
      </c>
    </row>
    <row r="29" spans="1:21">
      <c r="A29" s="29">
        <v>7</v>
      </c>
      <c r="B29" s="137" t="s">
        <v>2</v>
      </c>
      <c r="C29" s="159" t="s">
        <v>113</v>
      </c>
      <c r="D29" s="158" t="str">
        <f>MID(B29,3,9)</f>
        <v>83162CMR1</v>
      </c>
      <c r="E29" s="43">
        <v>0.05</v>
      </c>
      <c r="F29" s="45">
        <f>IF(ISERROR(VLOOKUP(B29,'Bond Position per Summit'!$C$42:$E$56,3,0)),0,VLOOKUP(B29,'Bond Position per Summit'!$C$42:$E$56,3,0))</f>
        <v>17268356.890000001</v>
      </c>
      <c r="G29" s="46">
        <f>IF(ISERROR(VLOOKUP(B29,'Bond Position per Summit'!$C$65:$E$73,3,0)),0,VLOOKUP(B29,'Bond Position per Summit'!$C$65:$E$73,3,0))</f>
        <v>0</v>
      </c>
      <c r="H29" s="191">
        <f ca="1">'07 - US83162CMR15'!W11</f>
        <v>3.1529566057206657</v>
      </c>
      <c r="I29" s="149" t="e">
        <v>#NAME?</v>
      </c>
      <c r="J29" s="185" t="e">
        <v>#NAME?</v>
      </c>
      <c r="K29" s="163">
        <f>VLOOKUP(B29,'Bond Position per Summit'!$C$10:$D$32,2,0)</f>
        <v>42200000</v>
      </c>
      <c r="L29" s="164">
        <f>VLOOKUP(B29,'Bond Position per Summit'!$C$10:$E$32,3,0)</f>
        <v>17268356.890000001</v>
      </c>
      <c r="M29" s="165" t="e">
        <f>(N29*K29)-L29</f>
        <v>#NAME?</v>
      </c>
      <c r="N29" s="149" t="e">
        <v>#NAME?</v>
      </c>
      <c r="O29" s="149" t="e">
        <v>#NAME?</v>
      </c>
      <c r="P29" s="149" t="e">
        <v>#NAME?</v>
      </c>
      <c r="Q29" s="149" t="e">
        <v>#NAME?</v>
      </c>
      <c r="R29" s="149" t="e">
        <v>#NAME?</v>
      </c>
      <c r="S29" s="149" t="e">
        <v>#NAME?</v>
      </c>
      <c r="T29" s="149" t="e">
        <v>#NAME?</v>
      </c>
      <c r="U29" s="149" t="e">
        <v>#NAME?</v>
      </c>
    </row>
    <row r="30" spans="1:21">
      <c r="A30" s="29">
        <v>8</v>
      </c>
      <c r="B30" s="137" t="s">
        <v>13</v>
      </c>
      <c r="C30" s="159" t="s">
        <v>114</v>
      </c>
      <c r="D30" s="158" t="str">
        <f>MID(B30,3,9)</f>
        <v>83162CQY2</v>
      </c>
      <c r="E30" s="43">
        <v>0.05</v>
      </c>
      <c r="F30" s="45">
        <f>IF(ISERROR(VLOOKUP(B30,'Bond Position per Summit'!$C$42:$E$56,3,0)),0,VLOOKUP(B30,'Bond Position per Summit'!$C$42:$E$56,3,0))</f>
        <v>17386942.800000001</v>
      </c>
      <c r="G30" s="46">
        <f>IF(ISERROR(VLOOKUP(B30,'Bond Position per Summit'!$C$65:$E$73,3,0)),0,VLOOKUP(B30,'Bond Position per Summit'!$C$65:$E$73,3,0))</f>
        <v>0</v>
      </c>
      <c r="H30" s="191">
        <f ca="1">'08 - US83162CQY20'!W11</f>
        <v>5.1861180828658178</v>
      </c>
      <c r="I30" s="149" t="e">
        <v>#NAME?</v>
      </c>
      <c r="J30" s="185" t="e">
        <v>#NAME?</v>
      </c>
      <c r="K30" s="163">
        <f>VLOOKUP(B30,'Bond Position per Summit'!$C$10:$D$32,2,0)</f>
        <v>24000000</v>
      </c>
      <c r="L30" s="164">
        <f>VLOOKUP(B30,'Bond Position per Summit'!$C$10:$E$32,3,0)</f>
        <v>17386942.800000001</v>
      </c>
      <c r="M30" s="165" t="e">
        <f>(N30*K30)-L30</f>
        <v>#NAME?</v>
      </c>
      <c r="N30" s="149" t="e">
        <v>#NAME?</v>
      </c>
      <c r="O30" s="149" t="e">
        <v>#NAME?</v>
      </c>
      <c r="P30" s="149" t="e">
        <v>#NAME?</v>
      </c>
      <c r="Q30" s="149" t="e">
        <v>#NAME?</v>
      </c>
      <c r="R30" s="149" t="e">
        <v>#NAME?</v>
      </c>
      <c r="S30" s="149" t="e">
        <v>#NAME?</v>
      </c>
      <c r="T30" s="149" t="e">
        <v>#NAME?</v>
      </c>
      <c r="U30" s="149" t="e">
        <v>#NAME?</v>
      </c>
    </row>
    <row r="31" spans="1:21">
      <c r="A31" s="29">
        <v>9</v>
      </c>
      <c r="B31" s="137" t="s">
        <v>15</v>
      </c>
      <c r="C31" s="159" t="s">
        <v>130</v>
      </c>
      <c r="D31" s="158" t="str">
        <f>B31</f>
        <v>83162CRD7</v>
      </c>
      <c r="E31" s="43">
        <v>0.05</v>
      </c>
      <c r="F31" s="45">
        <f>IF(ISERROR(VLOOKUP(B31,'Bond Position per Summit'!$C$42:$E$56,3,0)),0,VLOOKUP(B31,'Bond Position per Summit'!$C$42:$E$56,3,0))</f>
        <v>14689918.4</v>
      </c>
      <c r="G31" s="46">
        <f>IF(ISERROR(VLOOKUP(B31,'Bond Position per Summit'!$C$65:$E$73,3,0)),0,VLOOKUP(B31,'Bond Position per Summit'!$C$65:$E$73,3,0))</f>
        <v>0</v>
      </c>
      <c r="H31" s="191">
        <f ca="1">'09 - 83162CRD7'!W11</f>
        <v>5.1788873771230417</v>
      </c>
      <c r="I31" s="149" t="e">
        <v>#NAME?</v>
      </c>
      <c r="J31" s="185" t="e">
        <v>#NAME?</v>
      </c>
      <c r="K31" s="163">
        <f>VLOOKUP(B31,'Bond Position per Summit'!$C$10:$D$32,2,0)</f>
        <v>20000000</v>
      </c>
      <c r="L31" s="164">
        <f>VLOOKUP(B31,'Bond Position per Summit'!$C$10:$E$32,3,0)</f>
        <v>14689918.4</v>
      </c>
      <c r="M31" s="165" t="e">
        <f>(N31*K31)-L31</f>
        <v>#NAME?</v>
      </c>
      <c r="N31" s="149" t="e">
        <v>#NAME?</v>
      </c>
      <c r="O31" s="149" t="e">
        <v>#NAME?</v>
      </c>
      <c r="P31" s="149" t="e">
        <v>#NAME?</v>
      </c>
      <c r="Q31" s="149" t="e">
        <v>#NAME?</v>
      </c>
      <c r="R31" s="149" t="e">
        <v>#NAME?</v>
      </c>
      <c r="S31" s="149" t="e">
        <v>#NAME?</v>
      </c>
      <c r="T31" s="149" t="e">
        <v>#NAME?</v>
      </c>
      <c r="U31" s="149" t="e">
        <v>#NAME?</v>
      </c>
    </row>
    <row r="32" spans="1:21">
      <c r="A32" s="29">
        <v>10</v>
      </c>
      <c r="B32" s="137" t="s">
        <v>11</v>
      </c>
      <c r="C32" s="159" t="s">
        <v>115</v>
      </c>
      <c r="D32" s="158" t="str">
        <f>MID(B32,3,9)</f>
        <v>83162CQV8</v>
      </c>
      <c r="E32" s="43">
        <v>0.05</v>
      </c>
      <c r="F32" s="45">
        <f>IF(ISERROR(VLOOKUP(B32,'Bond Position per Summit'!$C$42:$E$56,3,0)),0,VLOOKUP(B32,'Bond Position per Summit'!$C$42:$E$56,3,0))</f>
        <v>11073373.76</v>
      </c>
      <c r="G32" s="46">
        <f>IF(ISERROR(VLOOKUP(B32,'Bond Position per Summit'!$C$65:$E$73,3,0)),0,VLOOKUP(B32,'Bond Position per Summit'!$C$65:$E$73,3,0))</f>
        <v>0</v>
      </c>
      <c r="H32" s="191">
        <f ca="1">'10 - US83162CQV80'!W11</f>
        <v>5.0340704645143655</v>
      </c>
      <c r="I32" s="149" t="e">
        <v>#NAME?</v>
      </c>
      <c r="J32" s="185" t="e">
        <v>#NAME?</v>
      </c>
      <c r="K32" s="163">
        <f>VLOOKUP(B32,'Bond Position per Summit'!$C$10:$D$32,2,0)</f>
        <v>16000000</v>
      </c>
      <c r="L32" s="164">
        <f>VLOOKUP(B32,'Bond Position per Summit'!$C$10:$E$32,3,0)</f>
        <v>11073373.76</v>
      </c>
      <c r="M32" s="165" t="e">
        <f>(N32*K32)-L32</f>
        <v>#NAME?</v>
      </c>
      <c r="N32" s="149" t="e">
        <v>#NAME?</v>
      </c>
      <c r="O32" s="149" t="e">
        <v>#NAME?</v>
      </c>
      <c r="P32" s="149" t="e">
        <v>#NAME?</v>
      </c>
      <c r="Q32" s="149" t="e">
        <v>#NAME?</v>
      </c>
      <c r="R32" s="149" t="e">
        <v>#NAME?</v>
      </c>
      <c r="S32" s="149" t="e">
        <v>#NAME?</v>
      </c>
      <c r="T32" s="149" t="e">
        <v>#NAME?</v>
      </c>
      <c r="U32" s="149" t="e">
        <v>#NAME?</v>
      </c>
    </row>
    <row r="33" spans="1:21">
      <c r="A33" s="29">
        <v>11</v>
      </c>
      <c r="B33" s="137" t="s">
        <v>4</v>
      </c>
      <c r="C33" s="159" t="s">
        <v>116</v>
      </c>
      <c r="D33" s="158" t="str">
        <f>MID(B33,3,9)</f>
        <v>83162CNW9</v>
      </c>
      <c r="E33" s="43">
        <v>0.05</v>
      </c>
      <c r="F33" s="45">
        <f>IF(ISERROR(VLOOKUP(B33,'Bond Position per Summit'!$C$42:$E$56,3,0)),0,VLOOKUP(B33,'Bond Position per Summit'!$C$42:$E$56,3,0))</f>
        <v>8125759.0499999998</v>
      </c>
      <c r="G33" s="46">
        <f>IF(ISERROR(VLOOKUP(B33,'Bond Position per Summit'!$C$65:$E$73,3,0)),0,VLOOKUP(B33,'Bond Position per Summit'!$C$65:$E$73,3,0))</f>
        <v>0</v>
      </c>
      <c r="H33" s="191">
        <f ca="1">'11 - US83162CNW90'!W11</f>
        <v>3.8872078936310128</v>
      </c>
      <c r="I33" s="149" t="e">
        <v>#NAME?</v>
      </c>
      <c r="J33" s="185" t="e">
        <v>#NAME?</v>
      </c>
      <c r="K33" s="163">
        <f>VLOOKUP(B33,'Bond Position per Summit'!$C$10:$D$32,2,0)</f>
        <v>15000000</v>
      </c>
      <c r="L33" s="164">
        <f>VLOOKUP(B33,'Bond Position per Summit'!$C$10:$E$32,3,0)</f>
        <v>8125759.0499999998</v>
      </c>
      <c r="M33" s="165" t="e">
        <f>(N33*K33)-L33</f>
        <v>#NAME?</v>
      </c>
      <c r="N33" s="149" t="e">
        <v>#NAME?</v>
      </c>
      <c r="O33" s="149" t="e">
        <v>#NAME?</v>
      </c>
      <c r="P33" s="149" t="e">
        <v>#NAME?</v>
      </c>
      <c r="Q33" s="149" t="e">
        <v>#NAME?</v>
      </c>
      <c r="R33" s="149" t="e">
        <v>#NAME?</v>
      </c>
      <c r="S33" s="149" t="e">
        <v>#NAME?</v>
      </c>
      <c r="T33" s="149" t="e">
        <v>#NAME?</v>
      </c>
      <c r="U33" s="149" t="e">
        <v>#NAME?</v>
      </c>
    </row>
    <row r="34" spans="1:21">
      <c r="A34" s="29">
        <v>12</v>
      </c>
      <c r="B34" s="137" t="s">
        <v>8</v>
      </c>
      <c r="C34" s="159" t="s">
        <v>117</v>
      </c>
      <c r="D34" s="158" t="str">
        <f>MID(B34,3,9)</f>
        <v>83162CQL0</v>
      </c>
      <c r="E34" s="43">
        <v>0.05</v>
      </c>
      <c r="F34" s="45">
        <f>IF(ISERROR(VLOOKUP(B34,'Bond Position per Summit'!$C$42:$E$56,3,0)),0,VLOOKUP(B34,'Bond Position per Summit'!$C$42:$E$56,3,0))</f>
        <v>3389743.3</v>
      </c>
      <c r="G34" s="46">
        <f>IF(ISERROR(VLOOKUP(B34,'Bond Position per Summit'!$C$65:$E$73,3,0)),0,VLOOKUP(B34,'Bond Position per Summit'!$C$65:$E$73,3,0))</f>
        <v>0</v>
      </c>
      <c r="H34" s="191">
        <f ca="1">'12 - US83162CQL09'!W11</f>
        <v>4.8425124968657602</v>
      </c>
      <c r="I34" s="149" t="e">
        <v>#NAME?</v>
      </c>
      <c r="J34" s="185" t="e">
        <v>#NAME?</v>
      </c>
      <c r="K34" s="163">
        <f>VLOOKUP(B34,'Bond Position per Summit'!$C$10:$D$32,2,0)</f>
        <v>5000000</v>
      </c>
      <c r="L34" s="164">
        <f>VLOOKUP(B34,'Bond Position per Summit'!$C$10:$E$32,3,0)</f>
        <v>3389743.3</v>
      </c>
      <c r="M34" s="165" t="e">
        <f>(N34*K34)-L34</f>
        <v>#NAME?</v>
      </c>
      <c r="N34" s="149" t="e">
        <v>#NAME?</v>
      </c>
      <c r="O34" s="149" t="e">
        <v>#NAME?</v>
      </c>
      <c r="P34" s="149" t="e">
        <v>#NAME?</v>
      </c>
      <c r="Q34" s="149" t="e">
        <v>#NAME?</v>
      </c>
      <c r="R34" s="149" t="e">
        <v>#NAME?</v>
      </c>
      <c r="S34" s="149" t="e">
        <v>#NAME?</v>
      </c>
      <c r="T34" s="149" t="e">
        <v>#NAME?</v>
      </c>
      <c r="U34" s="149" t="e">
        <v>#NAME?</v>
      </c>
    </row>
    <row r="35" spans="1:21">
      <c r="A35" s="29">
        <v>13</v>
      </c>
      <c r="B35" s="137" t="s">
        <v>6</v>
      </c>
      <c r="C35" s="159" t="s">
        <v>118</v>
      </c>
      <c r="D35" s="158" t="str">
        <f>MID(B35,3,9)</f>
        <v>83162CPX5</v>
      </c>
      <c r="E35" s="43">
        <v>0.05</v>
      </c>
      <c r="F35" s="45">
        <f>IF(ISERROR(VLOOKUP(B35,'Bond Position per Summit'!$C$42:$E$56,3,0)),0,VLOOKUP(B35,'Bond Position per Summit'!$C$42:$E$56,3,0))</f>
        <v>3109805.57</v>
      </c>
      <c r="G35" s="46">
        <f>IF(ISERROR(VLOOKUP(B35,'Bond Position per Summit'!$C$65:$E$73,3,0)),0,VLOOKUP(B35,'Bond Position per Summit'!$C$65:$E$73,3,0))</f>
        <v>0</v>
      </c>
      <c r="H35" s="191">
        <f ca="1">'13 - US83162CPX55'!W11</f>
        <v>4.3606814356366925</v>
      </c>
      <c r="I35" s="149" t="e">
        <v>#NAME?</v>
      </c>
      <c r="J35" s="185" t="e">
        <v>#NAME?</v>
      </c>
      <c r="K35" s="163">
        <f>VLOOKUP(B35,'Bond Position per Summit'!$C$10:$D$32,2,0)</f>
        <v>4950000</v>
      </c>
      <c r="L35" s="164">
        <f>VLOOKUP(B35,'Bond Position per Summit'!$C$10:$E$32,3,0)</f>
        <v>3109805.57</v>
      </c>
      <c r="M35" s="165" t="e">
        <f>(N35*K35)-L35</f>
        <v>#NAME?</v>
      </c>
      <c r="N35" s="149" t="e">
        <v>#NAME?</v>
      </c>
      <c r="O35" s="149" t="e">
        <v>#NAME?</v>
      </c>
      <c r="P35" s="149" t="e">
        <v>#NAME?</v>
      </c>
      <c r="Q35" s="149" t="e">
        <v>#NAME?</v>
      </c>
      <c r="R35" s="149" t="e">
        <v>#NAME?</v>
      </c>
      <c r="S35" s="149" t="e">
        <v>#NAME?</v>
      </c>
      <c r="T35" s="149" t="e">
        <v>#NAME?</v>
      </c>
      <c r="U35" s="149" t="e">
        <v>#NAME?</v>
      </c>
    </row>
    <row r="36" spans="1:21">
      <c r="A36" s="29">
        <v>14</v>
      </c>
      <c r="B36" s="135" t="s">
        <v>7</v>
      </c>
      <c r="C36" s="159" t="s">
        <v>119</v>
      </c>
      <c r="D36" s="158" t="str">
        <f>MID(B36,3,9)</f>
        <v>83162CQE6</v>
      </c>
      <c r="E36" s="43">
        <v>0.05</v>
      </c>
      <c r="F36" s="45">
        <f>IF(ISERROR(VLOOKUP(B36,'Bond Position per Summit'!$C$42:$E$56,3,0)),0,VLOOKUP(B36,'Bond Position per Summit'!$C$42:$E$56,3,0))</f>
        <v>20641820.059999999</v>
      </c>
      <c r="G36" s="46">
        <f>IF(ISERROR(VLOOKUP(B36,'Bond Position per Summit'!$C$65:$E$73,3,0)),0,VLOOKUP(B36,'Bond Position per Summit'!$C$65:$E$73,3,0))</f>
        <v>12097770</v>
      </c>
      <c r="H36" s="191">
        <f ca="1">'14 - US83162CQE65'!W11</f>
        <v>4.7946121270085502</v>
      </c>
      <c r="I36" s="149" t="e">
        <v>#NAME?</v>
      </c>
      <c r="J36" s="185" t="e">
        <v>#NAME?</v>
      </c>
      <c r="K36" s="163">
        <f>VLOOKUP(B36,'Bond Position per Summit'!$C$10:$D$32,2,0)</f>
        <v>54125000</v>
      </c>
      <c r="L36" s="164">
        <f>VLOOKUP(B36,'Bond Position per Summit'!$C$10:$E$32,3,0)</f>
        <v>32739590.060000002</v>
      </c>
      <c r="M36" s="165" t="e">
        <f>(N36*K36)-L36</f>
        <v>#NAME?</v>
      </c>
      <c r="N36" s="149" t="e">
        <v>#NAME?</v>
      </c>
      <c r="O36" s="149" t="e">
        <v>#NAME?</v>
      </c>
      <c r="P36" s="149" t="e">
        <v>#NAME?</v>
      </c>
      <c r="Q36" s="149" t="e">
        <v>#NAME?</v>
      </c>
      <c r="R36" s="149" t="e">
        <v>#NAME?</v>
      </c>
      <c r="S36" s="149" t="e">
        <v>#NAME?</v>
      </c>
      <c r="T36" s="149" t="e">
        <v>#NAME?</v>
      </c>
      <c r="U36" s="149" t="e">
        <v>#NAME?</v>
      </c>
    </row>
    <row r="37" spans="1:21">
      <c r="A37" s="29">
        <v>15</v>
      </c>
      <c r="B37" s="135" t="s">
        <v>10</v>
      </c>
      <c r="C37" s="159" t="s">
        <v>120</v>
      </c>
      <c r="D37" s="158" t="str">
        <f>MID(B37,3,9)</f>
        <v>83162CQA4</v>
      </c>
      <c r="E37" s="43">
        <v>0.05</v>
      </c>
      <c r="F37" s="45">
        <f>IF(ISERROR(VLOOKUP(B37,'Bond Position per Summit'!$C$42:$E$56,3,0)),0,VLOOKUP(B37,'Bond Position per Summit'!$C$42:$E$56,3,0))</f>
        <v>3319646.11</v>
      </c>
      <c r="G37" s="46">
        <f>IF(ISERROR(VLOOKUP(B37,'Bond Position per Summit'!$C$65:$E$73,3,0)),0,VLOOKUP(B37,'Bond Position per Summit'!$C$65:$E$73,3,0))</f>
        <v>13480796.4</v>
      </c>
      <c r="H37" s="191">
        <f ca="1">'15 - US83162CQA44'!W11</f>
        <v>4.5184383377295392</v>
      </c>
      <c r="I37" s="149" t="e">
        <v>#NAME?</v>
      </c>
      <c r="J37" s="185" t="e">
        <v>#NAME?</v>
      </c>
      <c r="K37" s="163">
        <f>VLOOKUP(B37,'Bond Position per Summit'!$C$10:$D$32,2,0)</f>
        <v>24925000</v>
      </c>
      <c r="L37" s="164">
        <f>VLOOKUP(B37,'Bond Position per Summit'!$C$10:$E$32,3,0)</f>
        <v>16800442.510000002</v>
      </c>
      <c r="M37" s="165" t="e">
        <f>(N37*K37)-L37</f>
        <v>#NAME?</v>
      </c>
      <c r="N37" s="149" t="e">
        <v>#NAME?</v>
      </c>
      <c r="O37" s="149" t="e">
        <v>#NAME?</v>
      </c>
      <c r="P37" s="149" t="e">
        <v>#NAME?</v>
      </c>
      <c r="Q37" s="149" t="e">
        <v>#NAME?</v>
      </c>
      <c r="R37" s="149" t="e">
        <v>#NAME?</v>
      </c>
      <c r="S37" s="149" t="e">
        <v>#NAME?</v>
      </c>
      <c r="T37" s="149" t="e">
        <v>#NAME?</v>
      </c>
      <c r="U37" s="149" t="e">
        <v>#NAME?</v>
      </c>
    </row>
    <row r="38" spans="1:21">
      <c r="A38" s="29">
        <v>16</v>
      </c>
      <c r="B38" s="135" t="s">
        <v>29</v>
      </c>
      <c r="C38" s="159" t="s">
        <v>121</v>
      </c>
      <c r="D38" s="158" t="str">
        <f>MID(B38,3,9)</f>
        <v>83162CPU1</v>
      </c>
      <c r="E38" s="43">
        <v>0.05</v>
      </c>
      <c r="F38" s="45">
        <f>IF(ISERROR(VLOOKUP(B38,'Bond Position per Summit'!$C$42:$E$56,3,0)),0,VLOOKUP(B38,'Bond Position per Summit'!$C$42:$E$56,3,0))</f>
        <v>0</v>
      </c>
      <c r="G38" s="46">
        <f>IF(ISERROR(VLOOKUP(B38,'Bond Position per Summit'!$C$65:$E$73,3,0)),0,VLOOKUP(B38,'Bond Position per Summit'!$C$65:$E$73,3,0))</f>
        <v>18612160.880000003</v>
      </c>
      <c r="H38" s="191">
        <f ca="1">'16 - US83162CPU17'!W11</f>
        <v>4.4505784029219599</v>
      </c>
      <c r="I38" s="149" t="e">
        <v>#NAME?</v>
      </c>
      <c r="J38" s="185" t="e">
        <v>#NAME?</v>
      </c>
      <c r="K38" s="163">
        <f>VLOOKUP(B38,'Bond Position per Summit'!$C$10:$D$32,2,0)</f>
        <v>31500000</v>
      </c>
      <c r="L38" s="164">
        <f>VLOOKUP(B38,'Bond Position per Summit'!$C$10:$E$32,3,0)</f>
        <v>18612160.879999999</v>
      </c>
      <c r="M38" s="165" t="e">
        <f>(N38*K38)-L38</f>
        <v>#NAME?</v>
      </c>
      <c r="N38" s="149" t="e">
        <v>#NAME?</v>
      </c>
      <c r="O38" s="149" t="e">
        <v>#NAME?</v>
      </c>
      <c r="P38" s="149" t="e">
        <v>#NAME?</v>
      </c>
      <c r="Q38" s="149" t="e">
        <v>#NAME?</v>
      </c>
      <c r="R38" s="149" t="e">
        <v>#NAME?</v>
      </c>
      <c r="S38" s="149" t="e">
        <v>#NAME?</v>
      </c>
      <c r="T38" s="149" t="e">
        <v>#NAME?</v>
      </c>
      <c r="U38" s="149" t="e">
        <v>#NAME?</v>
      </c>
    </row>
    <row r="39" spans="1:21">
      <c r="A39" s="29">
        <v>17</v>
      </c>
      <c r="B39" s="135" t="s">
        <v>22</v>
      </c>
      <c r="C39" s="159" t="s">
        <v>122</v>
      </c>
      <c r="D39" s="158" t="str">
        <f>MID(B39,3,9)</f>
        <v>83162CPY3</v>
      </c>
      <c r="E39" s="43">
        <v>0.05</v>
      </c>
      <c r="F39" s="45">
        <f>IF(ISERROR(VLOOKUP(B39,'Bond Position per Summit'!$C$42:$E$56,3,0)),0,VLOOKUP(B39,'Bond Position per Summit'!$C$42:$E$56,3,0))</f>
        <v>0</v>
      </c>
      <c r="G39" s="46">
        <f>IF(ISERROR(VLOOKUP(B39,'Bond Position per Summit'!$C$65:$E$73,3,0)),0,VLOOKUP(B39,'Bond Position per Summit'!$C$65:$E$73,3,0))</f>
        <v>50976576.700000003</v>
      </c>
      <c r="H39" s="191">
        <f ca="1">'17 - US83162CPY39'!W11</f>
        <v>4.4460091296907462</v>
      </c>
      <c r="I39" s="149" t="e">
        <v>#NAME?</v>
      </c>
      <c r="J39" s="185" t="e">
        <v>#NAME?</v>
      </c>
      <c r="K39" s="163">
        <f>VLOOKUP(B39,'Bond Position per Summit'!$C$10:$D$32,2,0)</f>
        <v>82571000</v>
      </c>
      <c r="L39" s="164">
        <f>VLOOKUP(B39,'Bond Position per Summit'!$C$10:$E$32,3,0)</f>
        <v>50976576.700000003</v>
      </c>
      <c r="M39" s="165" t="e">
        <f>(N39*K39)-L39</f>
        <v>#NAME?</v>
      </c>
      <c r="N39" s="149" t="e">
        <v>#NAME?</v>
      </c>
      <c r="O39" s="149" t="e">
        <v>#NAME?</v>
      </c>
      <c r="P39" s="149" t="e">
        <v>#NAME?</v>
      </c>
      <c r="Q39" s="149" t="e">
        <v>#NAME?</v>
      </c>
      <c r="R39" s="149" t="e">
        <v>#NAME?</v>
      </c>
      <c r="S39" s="149" t="e">
        <v>#NAME?</v>
      </c>
      <c r="T39" s="149" t="e">
        <v>#NAME?</v>
      </c>
      <c r="U39" s="149" t="e">
        <v>#NAME?</v>
      </c>
    </row>
    <row r="40" spans="1:21">
      <c r="A40" s="29">
        <v>18</v>
      </c>
      <c r="B40" s="135" t="s">
        <v>24</v>
      </c>
      <c r="C40" s="159" t="s">
        <v>123</v>
      </c>
      <c r="D40" s="158" t="str">
        <f>MID(B40,3,9)</f>
        <v>83162CQB2</v>
      </c>
      <c r="E40" s="43">
        <v>0.05</v>
      </c>
      <c r="F40" s="45">
        <f>IF(ISERROR(VLOOKUP(B40,'Bond Position per Summit'!$C$42:$E$56,3,0)),0,VLOOKUP(B40,'Bond Position per Summit'!$C$42:$E$56,3,0))</f>
        <v>0</v>
      </c>
      <c r="G40" s="46">
        <f>IF(ISERROR(VLOOKUP(B40,'Bond Position per Summit'!$C$65:$E$73,3,0)),0,VLOOKUP(B40,'Bond Position per Summit'!$C$65:$E$73,3,0))</f>
        <v>26607626.399999999</v>
      </c>
      <c r="H40" s="191">
        <f ca="1">'18 - US83162CQB27'!W11</f>
        <v>4.6120293612870586</v>
      </c>
      <c r="I40" s="149" t="e">
        <v>#NAME?</v>
      </c>
      <c r="J40" s="185" t="e">
        <v>#NAME?</v>
      </c>
      <c r="K40" s="163">
        <f>VLOOKUP(B40,'Bond Position per Summit'!$C$10:$D$32,2,0)</f>
        <v>40000000</v>
      </c>
      <c r="L40" s="164">
        <f>VLOOKUP(B40,'Bond Position per Summit'!$C$10:$E$32,3,0)</f>
        <v>26607626.399999999</v>
      </c>
      <c r="M40" s="165" t="e">
        <f>(N40*K40)-L40</f>
        <v>#NAME?</v>
      </c>
      <c r="N40" s="149" t="e">
        <v>#NAME?</v>
      </c>
      <c r="O40" s="149" t="e">
        <v>#NAME?</v>
      </c>
      <c r="P40" s="149" t="e">
        <v>#NAME?</v>
      </c>
      <c r="Q40" s="149" t="e">
        <v>#NAME?</v>
      </c>
      <c r="R40" s="149" t="e">
        <v>#NAME?</v>
      </c>
      <c r="S40" s="149" t="e">
        <v>#NAME?</v>
      </c>
      <c r="T40" s="149" t="e">
        <v>#NAME?</v>
      </c>
      <c r="U40" s="149" t="e">
        <v>#NAME?</v>
      </c>
    </row>
    <row r="41" spans="1:21">
      <c r="A41" s="29">
        <v>19</v>
      </c>
      <c r="B41" s="135" t="s">
        <v>26</v>
      </c>
      <c r="C41" s="159" t="s">
        <v>124</v>
      </c>
      <c r="D41" s="158" t="str">
        <f>MID(B41,3,9)</f>
        <v>83162CQH9</v>
      </c>
      <c r="E41" s="43">
        <v>0.05</v>
      </c>
      <c r="F41" s="45">
        <f>IF(ISERROR(VLOOKUP(B41,'Bond Position per Summit'!$C$42:$E$56,3,0)),0,VLOOKUP(B41,'Bond Position per Summit'!$C$42:$E$56,3,0))</f>
        <v>0</v>
      </c>
      <c r="G41" s="46">
        <f>IF(ISERROR(VLOOKUP(B41,'Bond Position per Summit'!$C$65:$E$73,3,0)),0,VLOOKUP(B41,'Bond Position per Summit'!$C$65:$E$73,3,0))</f>
        <v>21667218.649999999</v>
      </c>
      <c r="H41" s="191">
        <f ca="1">'19 - US83162CQH96'!W11</f>
        <v>4.6821277635497252</v>
      </c>
      <c r="I41" s="149" t="e">
        <v>#NAME?</v>
      </c>
      <c r="J41" s="185" t="e">
        <v>#NAME?</v>
      </c>
      <c r="K41" s="163">
        <f>VLOOKUP(B41,'Bond Position per Summit'!$C$10:$D$32,2,0)</f>
        <v>35000000</v>
      </c>
      <c r="L41" s="164">
        <f>VLOOKUP(B41,'Bond Position per Summit'!$C$10:$E$32,3,0)</f>
        <v>21667218.649999999</v>
      </c>
      <c r="M41" s="165" t="e">
        <f>(N41*K41)-L41</f>
        <v>#NAME?</v>
      </c>
      <c r="N41" s="149" t="e">
        <v>#NAME?</v>
      </c>
      <c r="O41" s="149" t="e">
        <v>#NAME?</v>
      </c>
      <c r="P41" s="149" t="e">
        <v>#NAME?</v>
      </c>
      <c r="Q41" s="149" t="e">
        <v>#NAME?</v>
      </c>
      <c r="R41" s="149" t="e">
        <v>#NAME?</v>
      </c>
      <c r="S41" s="149" t="e">
        <v>#NAME?</v>
      </c>
      <c r="T41" s="149" t="e">
        <v>#NAME?</v>
      </c>
      <c r="U41" s="149" t="e">
        <v>#NAME?</v>
      </c>
    </row>
    <row r="42" spans="1:21">
      <c r="A42" s="29">
        <v>20</v>
      </c>
      <c r="B42" s="135" t="s">
        <v>27</v>
      </c>
      <c r="C42" s="159" t="s">
        <v>125</v>
      </c>
      <c r="D42" s="158" t="str">
        <f>MID(B42,3,9)</f>
        <v>83162CRE5</v>
      </c>
      <c r="E42" s="43">
        <v>0.05</v>
      </c>
      <c r="F42" s="45">
        <f>IF(ISERROR(VLOOKUP(B42,'Bond Position per Summit'!$C$42:$E$56,3,0)),0,VLOOKUP(B42,'Bond Position per Summit'!$C$42:$E$56,3,0))</f>
        <v>0</v>
      </c>
      <c r="G42" s="46">
        <f>IF(ISERROR(VLOOKUP(B42,'Bond Position per Summit'!$C$65:$E$73,3,0)),0,VLOOKUP(B42,'Bond Position per Summit'!$C$65:$E$73,3,0))</f>
        <v>42941247.600000001</v>
      </c>
      <c r="H42" s="191">
        <f ca="1">'19 - US83162CQH96'!W11</f>
        <v>4.6821277635497252</v>
      </c>
      <c r="I42" s="149" t="e">
        <v>#NAME?</v>
      </c>
      <c r="J42" s="185" t="e">
        <v>#NAME?</v>
      </c>
      <c r="K42" s="163">
        <f>VLOOKUP(B42,'Bond Position per Summit'!$C$10:$D$32,2,0)</f>
        <v>60000000</v>
      </c>
      <c r="L42" s="164">
        <f>VLOOKUP(B42,'Bond Position per Summit'!$C$10:$E$32,3,0)</f>
        <v>42941247.600000001</v>
      </c>
      <c r="M42" s="165" t="e">
        <f>(N42*K42)-L42</f>
        <v>#NAME?</v>
      </c>
      <c r="N42" s="149" t="e">
        <v>#NAME?</v>
      </c>
      <c r="O42" s="149" t="e">
        <v>#NAME?</v>
      </c>
      <c r="P42" s="149" t="e">
        <v>#NAME?</v>
      </c>
      <c r="Q42" s="149" t="e">
        <v>#NAME?</v>
      </c>
      <c r="R42" s="149" t="e">
        <v>#NAME?</v>
      </c>
      <c r="S42" s="149" t="e">
        <v>#NAME?</v>
      </c>
      <c r="T42" s="149" t="e">
        <v>#NAME?</v>
      </c>
      <c r="U42" s="149" t="e">
        <v>#NAME?</v>
      </c>
    </row>
    <row r="43" spans="1:21" ht="13.5" thickBot="1">
      <c r="A43" s="29">
        <v>21</v>
      </c>
      <c r="B43" s="136" t="s">
        <v>25</v>
      </c>
      <c r="C43" s="160" t="s">
        <v>126</v>
      </c>
      <c r="D43" s="161" t="str">
        <f>MID(B43,3,9)</f>
        <v>83162CQG1</v>
      </c>
      <c r="E43" s="44"/>
      <c r="F43" s="47">
        <f>IF(ISERROR(VLOOKUP(B43,'Bond Position per Summit'!$C$42:$E$56,3,0)),0,VLOOKUP(B43,'Bond Position per Summit'!$C$42:$E$56,3,0))</f>
        <v>0</v>
      </c>
      <c r="G43" s="48">
        <f>IF(ISERROR(VLOOKUP(B43,'Bond Position per Summit'!$C$65:$E$73,3,0)),0,VLOOKUP(B43,'Bond Position per Summit'!$C$65:$E$73,3,0))</f>
        <v>31579482.5</v>
      </c>
      <c r="H43" s="192">
        <f ca="1">'21 - US83162CQG14'!W11</f>
        <v>4.6019674180209815</v>
      </c>
      <c r="I43" s="162" t="e">
        <v>#NAME?</v>
      </c>
      <c r="J43" s="186" t="e">
        <v>#NAME?</v>
      </c>
      <c r="K43" s="166">
        <f>VLOOKUP(B43,'Bond Position per Summit'!$C$10:$D$32,2,0)</f>
        <v>0</v>
      </c>
      <c r="L43" s="167">
        <f>VLOOKUP(B43,'Bond Position per Summit'!$C$10:$E$32,3,0)</f>
        <v>0</v>
      </c>
      <c r="M43" s="168" t="e">
        <f>(N43*K43)-L43</f>
        <v>#NAME?</v>
      </c>
      <c r="N43" s="149" t="e">
        <v>#NAME?</v>
      </c>
      <c r="O43" s="149" t="e">
        <v>#NAME?</v>
      </c>
      <c r="P43" s="149" t="e">
        <v>#NAME?</v>
      </c>
      <c r="Q43" s="149" t="e">
        <v>#NAME?</v>
      </c>
      <c r="R43" s="149" t="e">
        <v>#NAME?</v>
      </c>
      <c r="S43" s="149" t="e">
        <v>#NAME?</v>
      </c>
      <c r="T43" s="149" t="e">
        <v>#NAME?</v>
      </c>
      <c r="U43" s="149" t="e">
        <v>#NAME?</v>
      </c>
    </row>
    <row r="44" spans="1:21" s="29" customFormat="1" ht="13.5" thickBot="1">
      <c r="A44" s="29">
        <v>22</v>
      </c>
      <c r="B44" s="29" t="s">
        <v>28</v>
      </c>
      <c r="D44" s="29" t="str">
        <f>MID(B44,3,9)</f>
        <v>831641DJ1</v>
      </c>
      <c r="F44" s="41">
        <f>IF(ISERROR(VLOOKUP(B44,'Bond Position per Summit'!$C$42:$E$56,3,0)),0,VLOOKUP(B44,'Bond Position per Summit'!$C$42:$E$56,3,0))</f>
        <v>0</v>
      </c>
      <c r="G44" s="41">
        <f>IF(ISERROR(VLOOKUP(B44,'Bond Position per Summit'!$C$65:$E$73,3,0)),0,VLOOKUP(B44,'Bond Position per Summit'!$C$65:$E$73,3,0))</f>
        <v>0</v>
      </c>
      <c r="H44" s="41"/>
      <c r="I44" s="30" t="e">
        <v>#NAME?</v>
      </c>
      <c r="J44" s="42" t="e">
        <v>#NAME?</v>
      </c>
      <c r="K44" s="30">
        <f>VLOOKUP(B44,'Bond Position per Summit'!$C$10:$D$32,2,0)</f>
        <v>0</v>
      </c>
      <c r="L44" s="30">
        <f>VLOOKUP(B44,'Bond Position per Summit'!$C$10:$E$32,3,0)</f>
        <v>0</v>
      </c>
      <c r="M44" s="32" t="e">
        <f>(N44*K44)-L44</f>
        <v>#NAME?</v>
      </c>
      <c r="N44" s="30" t="e">
        <v>#NAME?</v>
      </c>
      <c r="O44" s="30" t="e">
        <v>#NAME?</v>
      </c>
      <c r="P44" s="30" t="e">
        <v>#NAME?</v>
      </c>
      <c r="Q44" s="30" t="e">
        <v>#NAME?</v>
      </c>
      <c r="R44" s="30" t="e">
        <v>#NAME?</v>
      </c>
      <c r="S44" s="30" t="e">
        <v>#NAME?</v>
      </c>
      <c r="T44" s="30" t="e">
        <v>#NAME?</v>
      </c>
      <c r="U44" s="30" t="e">
        <v>#NAME?</v>
      </c>
    </row>
    <row r="45" spans="1:21" ht="13.5" thickBot="1">
      <c r="B45" s="152"/>
      <c r="C45" s="152"/>
      <c r="D45" s="153"/>
      <c r="E45" s="153"/>
      <c r="F45" s="172">
        <f>SUM(F23:F43)</f>
        <v>282338871.45000005</v>
      </c>
      <c r="G45" s="173">
        <f>SUM(G23:G43)</f>
        <v>217962879.13</v>
      </c>
      <c r="H45" s="154"/>
      <c r="I45" s="155"/>
      <c r="J45" s="155"/>
      <c r="K45" s="169">
        <f>SUM(K23:K44)</f>
        <v>727126000</v>
      </c>
      <c r="L45" s="170">
        <f>SUM(L23:L44)</f>
        <v>468722268.07999998</v>
      </c>
      <c r="M45" s="171" t="e">
        <f>SUM(M23:M44)</f>
        <v>#NAME?</v>
      </c>
      <c r="N45" s="156"/>
      <c r="P45" s="25"/>
      <c r="Q45" s="1"/>
    </row>
  </sheetData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M46"/>
  <sheetViews>
    <sheetView tabSelected="1" workbookViewId="0">
      <selection activeCell="F23" sqref="F23"/>
    </sheetView>
  </sheetViews>
  <sheetFormatPr defaultRowHeight="12.75"/>
  <cols>
    <col min="1" max="1" width="20.140625" style="25" bestFit="1" customWidth="1"/>
    <col min="2" max="2" width="15.7109375" style="25" bestFit="1" customWidth="1"/>
    <col min="3" max="3" width="15.5703125" style="25" bestFit="1" customWidth="1"/>
    <col min="4" max="4" width="22.140625" style="25" bestFit="1" customWidth="1"/>
    <col min="5" max="5" width="22.140625" style="25" customWidth="1"/>
    <col min="6" max="8" width="9.140625" style="25"/>
    <col min="9" max="9" width="10.140625" style="25" bestFit="1" customWidth="1"/>
    <col min="10" max="16384" width="9.140625" style="25"/>
  </cols>
  <sheetData>
    <row r="1" spans="1:13" ht="15.75">
      <c r="A1" s="218" t="s">
        <v>138</v>
      </c>
      <c r="B1" s="219">
        <f ca="1">TODAY()</f>
        <v>42468</v>
      </c>
      <c r="F1" s="200" t="s">
        <v>167</v>
      </c>
    </row>
    <row r="2" spans="1:13" ht="15.75">
      <c r="A2" s="196" t="s">
        <v>139</v>
      </c>
      <c r="B2" s="223" t="str">
        <f ca="1">TEXT(B1,"YYYYMMDD")</f>
        <v>20160408</v>
      </c>
      <c r="F2" s="200"/>
    </row>
    <row r="3" spans="1:13" ht="15.75">
      <c r="F3" s="200" t="s">
        <v>166</v>
      </c>
    </row>
    <row r="6" spans="1:13">
      <c r="A6" s="196" t="s">
        <v>136</v>
      </c>
      <c r="B6" s="197" t="s">
        <v>131</v>
      </c>
      <c r="C6" s="196" t="s">
        <v>137</v>
      </c>
      <c r="D6" s="196" t="s">
        <v>168</v>
      </c>
      <c r="E6" s="196" t="s">
        <v>19</v>
      </c>
    </row>
    <row r="7" spans="1:13">
      <c r="A7" s="201" t="s">
        <v>145</v>
      </c>
      <c r="B7" s="194" t="s">
        <v>128</v>
      </c>
      <c r="C7" s="199" t="s">
        <v>140</v>
      </c>
      <c r="D7" s="25">
        <v>5.5541937814128968</v>
      </c>
      <c r="E7" s="25" t="s">
        <v>16</v>
      </c>
    </row>
    <row r="8" spans="1:13">
      <c r="A8" s="201" t="s">
        <v>146</v>
      </c>
      <c r="B8" s="194" t="s">
        <v>127</v>
      </c>
      <c r="C8" s="199" t="s">
        <v>140</v>
      </c>
      <c r="D8" s="25">
        <v>5.4996457201204771</v>
      </c>
      <c r="E8" s="25" t="s">
        <v>14</v>
      </c>
      <c r="H8" s="216" t="s">
        <v>173</v>
      </c>
      <c r="M8" s="217"/>
    </row>
    <row r="9" spans="1:13">
      <c r="A9" s="201" t="s">
        <v>147</v>
      </c>
      <c r="B9" s="194" t="s">
        <v>129</v>
      </c>
      <c r="C9" s="199" t="s">
        <v>140</v>
      </c>
      <c r="D9" s="25">
        <v>5.3673179781611964</v>
      </c>
      <c r="E9" s="25" t="s">
        <v>9</v>
      </c>
    </row>
    <row r="10" spans="1:13">
      <c r="A10" s="201" t="s">
        <v>148</v>
      </c>
      <c r="B10" s="194" t="s">
        <v>110</v>
      </c>
      <c r="C10" s="199" t="s">
        <v>140</v>
      </c>
      <c r="D10" s="25">
        <v>5.3258666849276928</v>
      </c>
      <c r="E10" s="25" t="s">
        <v>12</v>
      </c>
    </row>
    <row r="11" spans="1:13">
      <c r="A11" s="201" t="s">
        <v>150</v>
      </c>
      <c r="B11" s="194" t="s">
        <v>111</v>
      </c>
      <c r="C11" s="199" t="s">
        <v>140</v>
      </c>
      <c r="D11" s="25">
        <v>4.3599665825234579</v>
      </c>
      <c r="E11" s="25" t="s">
        <v>3</v>
      </c>
    </row>
    <row r="12" spans="1:13">
      <c r="A12" s="201" t="s">
        <v>151</v>
      </c>
      <c r="B12" s="194" t="s">
        <v>144</v>
      </c>
      <c r="C12" s="199" t="s">
        <v>140</v>
      </c>
      <c r="D12" s="25">
        <v>4.7930219983071298</v>
      </c>
      <c r="E12" s="25" t="s">
        <v>5</v>
      </c>
      <c r="H12" s="216" t="s">
        <v>174</v>
      </c>
      <c r="M12" s="217"/>
    </row>
    <row r="13" spans="1:13">
      <c r="A13" s="201" t="s">
        <v>152</v>
      </c>
      <c r="B13" s="194" t="s">
        <v>113</v>
      </c>
      <c r="C13" s="199" t="s">
        <v>140</v>
      </c>
      <c r="D13" s="25">
        <v>3.6976698078929897</v>
      </c>
      <c r="E13" s="25" t="s">
        <v>2</v>
      </c>
      <c r="H13" s="217"/>
    </row>
    <row r="14" spans="1:13">
      <c r="A14" s="201" t="s">
        <v>149</v>
      </c>
      <c r="B14" s="194" t="s">
        <v>114</v>
      </c>
      <c r="C14" s="199" t="s">
        <v>140</v>
      </c>
      <c r="D14" s="25">
        <v>5.4169828338979737</v>
      </c>
      <c r="E14" s="25" t="s">
        <v>13</v>
      </c>
    </row>
    <row r="15" spans="1:13">
      <c r="A15" s="201" t="s">
        <v>153</v>
      </c>
      <c r="B15" s="194" t="s">
        <v>130</v>
      </c>
      <c r="C15" s="199" t="s">
        <v>140</v>
      </c>
      <c r="D15" s="25">
        <v>5.4116196193294401</v>
      </c>
      <c r="E15" s="25" t="s">
        <v>15</v>
      </c>
    </row>
    <row r="16" spans="1:13">
      <c r="A16" s="201" t="s">
        <v>154</v>
      </c>
      <c r="B16" s="194" t="s">
        <v>115</v>
      </c>
      <c r="C16" s="199" t="s">
        <v>172</v>
      </c>
      <c r="D16" s="25">
        <v>5.2668461983724857</v>
      </c>
      <c r="E16" s="25" t="s">
        <v>11</v>
      </c>
    </row>
    <row r="17" spans="1:10">
      <c r="A17" s="201" t="s">
        <v>155</v>
      </c>
      <c r="B17" s="194" t="s">
        <v>116</v>
      </c>
      <c r="C17" s="199" t="s">
        <v>140</v>
      </c>
      <c r="D17" s="25">
        <v>4.1362583618059308</v>
      </c>
      <c r="E17" s="25" t="s">
        <v>4</v>
      </c>
    </row>
    <row r="18" spans="1:10">
      <c r="A18" s="201" t="s">
        <v>156</v>
      </c>
      <c r="B18" s="194" t="s">
        <v>117</v>
      </c>
      <c r="C18" s="199" t="s">
        <v>172</v>
      </c>
      <c r="D18" s="25">
        <v>5.0815154809362859</v>
      </c>
      <c r="E18" s="25" t="s">
        <v>8</v>
      </c>
    </row>
    <row r="19" spans="1:10" ht="13.5" thickBot="1">
      <c r="A19" s="201" t="s">
        <v>157</v>
      </c>
      <c r="B19" s="195" t="s">
        <v>118</v>
      </c>
      <c r="C19" s="199" t="s">
        <v>172</v>
      </c>
      <c r="D19" s="25">
        <v>4.8949321794821579</v>
      </c>
      <c r="E19" s="25" t="s">
        <v>6</v>
      </c>
    </row>
    <row r="22" spans="1:10">
      <c r="A22" s="196" t="s">
        <v>142</v>
      </c>
      <c r="B22" s="196"/>
    </row>
    <row r="23" spans="1:10">
      <c r="B23" s="25" t="s">
        <v>143</v>
      </c>
    </row>
    <row r="25" spans="1:10" ht="15">
      <c r="A25" s="218" t="s">
        <v>141</v>
      </c>
      <c r="B25" s="196"/>
      <c r="C25" s="196"/>
      <c r="D25" s="196"/>
      <c r="E25" s="196"/>
      <c r="F25" s="196"/>
    </row>
    <row r="27" spans="1:10">
      <c r="B27" s="220" t="s">
        <v>175</v>
      </c>
      <c r="C27" s="221"/>
      <c r="D27" s="221"/>
      <c r="E27" s="221"/>
      <c r="F27" s="221"/>
      <c r="G27" s="221"/>
      <c r="H27" s="221"/>
      <c r="I27" s="221"/>
    </row>
    <row r="28" spans="1:10">
      <c r="B28" s="222" t="str">
        <f ca="1">B27&amp;"NYBonds_RunDate_"&amp;B2&amp;"\"</f>
        <v>Q:\001831_DP_USNY_Interdepartment\Cashflow Modelling\02_SBA Bonds\03_SBA CSV and TXT FILES\PLC NY\NYBonds_RunDate_20160408\</v>
      </c>
      <c r="C28" s="222"/>
      <c r="D28" s="222"/>
      <c r="E28" s="222"/>
      <c r="F28" s="222"/>
      <c r="G28" s="222"/>
      <c r="H28" s="222"/>
      <c r="I28" s="222"/>
      <c r="J28" s="222"/>
    </row>
    <row r="31" spans="1:10" s="198" customFormat="1"/>
    <row r="32" spans="1:10">
      <c r="B32" s="193"/>
      <c r="F32" s="193"/>
      <c r="I32" s="193"/>
    </row>
    <row r="33" spans="1:9">
      <c r="A33" s="25" t="s">
        <v>158</v>
      </c>
      <c r="B33" s="147"/>
      <c r="F33" s="147"/>
      <c r="I33" s="147"/>
    </row>
    <row r="34" spans="1:9">
      <c r="B34" s="147"/>
      <c r="F34" s="147"/>
      <c r="I34" s="147"/>
    </row>
    <row r="35" spans="1:9">
      <c r="A35" s="25" t="s">
        <v>159</v>
      </c>
      <c r="B35" s="147"/>
      <c r="F35" s="147"/>
      <c r="I35" s="147"/>
    </row>
    <row r="36" spans="1:9">
      <c r="B36" s="147"/>
      <c r="F36" s="147"/>
      <c r="I36" s="147"/>
    </row>
    <row r="37" spans="1:9">
      <c r="A37" s="25" t="s">
        <v>163</v>
      </c>
      <c r="B37" s="147"/>
      <c r="F37" s="147"/>
      <c r="I37" s="147"/>
    </row>
    <row r="38" spans="1:9">
      <c r="B38" s="147"/>
      <c r="F38" s="147"/>
      <c r="I38" s="147"/>
    </row>
    <row r="39" spans="1:9">
      <c r="A39" s="25" t="s">
        <v>160</v>
      </c>
      <c r="B39" s="147"/>
      <c r="F39" s="147"/>
      <c r="I39" s="147"/>
    </row>
    <row r="40" spans="1:9">
      <c r="B40" s="147"/>
      <c r="F40" s="147"/>
      <c r="I40" s="147"/>
    </row>
    <row r="41" spans="1:9">
      <c r="A41" s="25" t="s">
        <v>161</v>
      </c>
      <c r="B41" s="147"/>
      <c r="F41" s="147"/>
      <c r="I41" s="147"/>
    </row>
    <row r="42" spans="1:9">
      <c r="B42" s="147"/>
      <c r="F42" s="147"/>
      <c r="I42" s="147"/>
    </row>
    <row r="43" spans="1:9">
      <c r="A43" s="25" t="s">
        <v>162</v>
      </c>
      <c r="B43" s="147"/>
      <c r="F43" s="147"/>
      <c r="I43" s="147"/>
    </row>
    <row r="44" spans="1:9">
      <c r="B44" s="147"/>
      <c r="F44" s="147"/>
      <c r="I44" s="147"/>
    </row>
    <row r="45" spans="1:9">
      <c r="A45" s="25" t="s">
        <v>164</v>
      </c>
      <c r="B45" s="147"/>
      <c r="F45" s="147"/>
      <c r="I45" s="147"/>
    </row>
    <row r="46" spans="1:9">
      <c r="B46" s="147" t="s">
        <v>165</v>
      </c>
      <c r="F46" s="147"/>
      <c r="I46" s="147"/>
    </row>
  </sheetData>
  <phoneticPr fontId="2" type="noConversion"/>
  <conditionalFormatting sqref="C7:C19">
    <cfRule type="cellIs" dxfId="84" priority="1" stopIfTrue="1" operator="equal">
      <formula>"Yes"</formula>
    </cfRule>
  </conditionalFormatting>
  <hyperlinks>
    <hyperlink ref="A7" location="'01 - US83162CRG05'!a1" tooltip="click to go to sheet" display="01_US83162CRG05"/>
    <hyperlink ref="A8" location="'02 - US83162CRA35'!a1" tooltip="click to go to sheet" display="02_US83162CRA35"/>
    <hyperlink ref="A9" location="'03 - US83162CQS51'!a1" tooltip="click to go to sheet" display="03_US83162CQS51"/>
    <hyperlink ref="A10" location="'04 - US83162CQX47'!a1" tooltip="click to go to sheet" display="04_US83162CQX47"/>
    <hyperlink ref="A11" location="'05 - US83162CNU35'!a1" tooltip="click to go to sheet" display="05_US83162CNU35"/>
    <hyperlink ref="A12" location="'06- US83162CPV99'!a1" tooltip="click to go to sheet" display="06_US83162CPV99"/>
    <hyperlink ref="A13" location="'07 - US83162CMR15'!a1" tooltip="click to go to sheet" display="07_US83162CMR15"/>
    <hyperlink ref="A14" location="'08 - US83162CQY20'!a1" tooltip="click to go to sheet" display="08_US83162CQY20"/>
    <hyperlink ref="A15" location="'09 - 83162CRD7'!a1" tooltip="click to go to sheet" display="09_83162CRD7"/>
    <hyperlink ref="A16" location="'10 - US83162CQV80'!a1" tooltip="click to go to sheet" display="10_US83162CQV80"/>
    <hyperlink ref="A17" location="'11 - US83162CNW90'!a1" tooltip="click to go to sheet" display="11_US83162CNW90"/>
    <hyperlink ref="A18" location="'12 - US83162CQL09'!a1" tooltip="click to go to sheet" display="12_US83162CQL09"/>
    <hyperlink ref="A19" location="'13 - US83162CPX55'!a1" tooltip="click to go to sheet" display="13_US83162CPX55"/>
  </hyperlink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6" r:id="rId4" name="CommandButton21">
          <controlPr defaultSize="0" autoLine="0" r:id="rId5">
            <anchor moveWithCells="1">
              <from>
                <xdr:col>8</xdr:col>
                <xdr:colOff>95250</xdr:colOff>
                <xdr:row>6</xdr:row>
                <xdr:rowOff>85725</xdr:rowOff>
              </from>
              <to>
                <xdr:col>11</xdr:col>
                <xdr:colOff>400050</xdr:colOff>
                <xdr:row>8</xdr:row>
                <xdr:rowOff>104775</xdr:rowOff>
              </to>
            </anchor>
          </controlPr>
        </control>
      </mc:Choice>
      <mc:Fallback>
        <control shapeId="41986" r:id="rId4" name="CommandButton21"/>
      </mc:Fallback>
    </mc:AlternateContent>
    <mc:AlternateContent xmlns:mc="http://schemas.openxmlformats.org/markup-compatibility/2006">
      <mc:Choice Requires="x14">
        <control shapeId="41985" r:id="rId6" name="CommandButton1">
          <controlPr defaultSize="0" autoLine="0" r:id="rId7">
            <anchor moveWithCells="1">
              <from>
                <xdr:col>8</xdr:col>
                <xdr:colOff>66675</xdr:colOff>
                <xdr:row>10</xdr:row>
                <xdr:rowOff>76200</xdr:rowOff>
              </from>
              <to>
                <xdr:col>11</xdr:col>
                <xdr:colOff>371475</xdr:colOff>
                <xdr:row>12</xdr:row>
                <xdr:rowOff>95250</xdr:rowOff>
              </to>
            </anchor>
          </controlPr>
        </control>
      </mc:Choice>
      <mc:Fallback>
        <control shapeId="4198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1:J90"/>
  <sheetViews>
    <sheetView zoomScale="70" workbookViewId="0">
      <pane xSplit="7" ySplit="6" topLeftCell="H7" activePane="bottomRight" state="frozen"/>
      <selection pane="topRight" activeCell="E1" sqref="E1"/>
      <selection pane="bottomLeft" activeCell="A4" sqref="A4"/>
      <selection pane="bottomRight"/>
    </sheetView>
  </sheetViews>
  <sheetFormatPr defaultRowHeight="12.75"/>
  <cols>
    <col min="1" max="2" width="9.140625" style="1"/>
    <col min="3" max="3" width="11.140625" style="1" bestFit="1" customWidth="1"/>
    <col min="4" max="4" width="13.42578125" style="1" bestFit="1" customWidth="1"/>
    <col min="5" max="5" width="12.5703125" style="1" bestFit="1" customWidth="1"/>
    <col min="6" max="6" width="17" style="1" customWidth="1"/>
    <col min="7" max="7" width="9.140625" style="1"/>
    <col min="8" max="9" width="10" style="1" customWidth="1"/>
    <col min="10" max="10" width="14.140625" style="1" customWidth="1"/>
    <col min="11" max="11" width="10" style="1" customWidth="1"/>
    <col min="12" max="12" width="16.28515625" style="1" bestFit="1" customWidth="1"/>
    <col min="13" max="13" width="16.85546875" style="1" bestFit="1" customWidth="1"/>
    <col min="14" max="14" width="14" style="1" bestFit="1" customWidth="1"/>
    <col min="15" max="16384" width="9.140625" style="1"/>
  </cols>
  <sheetData>
    <row r="1" spans="3:10" ht="15.75">
      <c r="C1" s="26" t="s">
        <v>42</v>
      </c>
      <c r="D1" s="3"/>
    </row>
    <row r="2" spans="3:10">
      <c r="C2" s="27" t="s">
        <v>40</v>
      </c>
      <c r="D2" s="3"/>
    </row>
    <row r="3" spans="3:10">
      <c r="C3" s="27" t="s">
        <v>43</v>
      </c>
      <c r="D3" s="3"/>
    </row>
    <row r="4" spans="3:10">
      <c r="C4" s="27" t="s">
        <v>41</v>
      </c>
      <c r="D4" s="3"/>
    </row>
    <row r="5" spans="3:10">
      <c r="C5" s="28">
        <v>40520</v>
      </c>
      <c r="D5" s="27" t="str">
        <f>" Last run date"</f>
        <v xml:space="preserve"> Last run date</v>
      </c>
    </row>
    <row r="6" spans="3:10" s="3" customFormat="1">
      <c r="C6" s="1"/>
      <c r="D6" s="1"/>
      <c r="E6" s="1"/>
      <c r="F6" s="1"/>
      <c r="G6" s="1"/>
      <c r="H6" s="2"/>
      <c r="I6" s="2"/>
      <c r="J6" s="1"/>
    </row>
    <row r="7" spans="3:10" ht="18">
      <c r="C7" s="24" t="s">
        <v>35</v>
      </c>
      <c r="H7" s="2"/>
      <c r="I7" s="2"/>
    </row>
    <row r="8" spans="3:10">
      <c r="C8" s="18"/>
      <c r="D8" s="18" t="s">
        <v>30</v>
      </c>
      <c r="E8" s="19"/>
      <c r="F8" s="3"/>
      <c r="H8" s="2"/>
      <c r="I8" s="2"/>
    </row>
    <row r="9" spans="3:10">
      <c r="C9" s="18" t="s">
        <v>19</v>
      </c>
      <c r="D9" s="18" t="s">
        <v>31</v>
      </c>
      <c r="E9" s="20" t="s">
        <v>32</v>
      </c>
      <c r="H9" s="2"/>
      <c r="I9" s="2"/>
    </row>
    <row r="10" spans="3:10">
      <c r="C10" s="4" t="s">
        <v>15</v>
      </c>
      <c r="D10" s="5">
        <v>20000000</v>
      </c>
      <c r="E10" s="6">
        <v>14689918.4</v>
      </c>
      <c r="H10" s="2"/>
      <c r="I10" s="2"/>
    </row>
    <row r="11" spans="3:10">
      <c r="C11" s="7" t="s">
        <v>2</v>
      </c>
      <c r="D11" s="8">
        <v>42200000</v>
      </c>
      <c r="E11" s="9">
        <v>17268356.890000001</v>
      </c>
      <c r="H11" s="2"/>
      <c r="I11" s="2"/>
    </row>
    <row r="12" spans="3:10">
      <c r="C12" s="7" t="s">
        <v>3</v>
      </c>
      <c r="D12" s="8">
        <v>33860000</v>
      </c>
      <c r="E12" s="9">
        <v>18007850.140000001</v>
      </c>
      <c r="H12" s="2"/>
      <c r="I12" s="2"/>
      <c r="J12" s="3"/>
    </row>
    <row r="13" spans="3:10">
      <c r="C13" s="7" t="s">
        <v>4</v>
      </c>
      <c r="D13" s="8">
        <v>15000000</v>
      </c>
      <c r="E13" s="9">
        <v>8125759.0499999998</v>
      </c>
      <c r="H13" s="2"/>
      <c r="I13" s="2"/>
    </row>
    <row r="14" spans="3:10">
      <c r="C14" s="7" t="s">
        <v>29</v>
      </c>
      <c r="D14" s="8">
        <v>31500000</v>
      </c>
      <c r="E14" s="9">
        <v>18612160.879999999</v>
      </c>
      <c r="H14" s="2"/>
      <c r="I14" s="2"/>
    </row>
    <row r="15" spans="3:10">
      <c r="C15" s="7" t="s">
        <v>5</v>
      </c>
      <c r="D15" s="8">
        <v>29350000</v>
      </c>
      <c r="E15" s="9">
        <v>17722327.149999999</v>
      </c>
      <c r="H15" s="2"/>
      <c r="I15" s="2"/>
    </row>
    <row r="16" spans="3:10">
      <c r="C16" s="7" t="s">
        <v>6</v>
      </c>
      <c r="D16" s="8">
        <v>4950000</v>
      </c>
      <c r="E16" s="9">
        <v>3109805.57</v>
      </c>
      <c r="H16" s="2"/>
      <c r="I16" s="2"/>
    </row>
    <row r="17" spans="3:9">
      <c r="C17" s="7" t="s">
        <v>22</v>
      </c>
      <c r="D17" s="8">
        <v>82571000</v>
      </c>
      <c r="E17" s="9">
        <v>50976576.700000003</v>
      </c>
      <c r="H17" s="2"/>
      <c r="I17" s="2"/>
    </row>
    <row r="18" spans="3:9">
      <c r="C18" s="7" t="s">
        <v>10</v>
      </c>
      <c r="D18" s="8">
        <v>24925000</v>
      </c>
      <c r="E18" s="9">
        <v>16800442.510000002</v>
      </c>
      <c r="H18" s="2"/>
      <c r="I18" s="2"/>
    </row>
    <row r="19" spans="3:9">
      <c r="C19" s="7" t="s">
        <v>24</v>
      </c>
      <c r="D19" s="8">
        <v>40000000</v>
      </c>
      <c r="E19" s="9">
        <v>26607626.399999999</v>
      </c>
      <c r="H19" s="2"/>
      <c r="I19" s="2"/>
    </row>
    <row r="20" spans="3:9">
      <c r="C20" s="7" t="s">
        <v>7</v>
      </c>
      <c r="D20" s="8">
        <v>54125000</v>
      </c>
      <c r="E20" s="9">
        <v>32739590.060000002</v>
      </c>
      <c r="H20" s="2"/>
      <c r="I20" s="2"/>
    </row>
    <row r="21" spans="3:9">
      <c r="C21" s="7" t="s">
        <v>25</v>
      </c>
      <c r="D21" s="8">
        <v>0</v>
      </c>
      <c r="E21" s="9">
        <v>0</v>
      </c>
      <c r="H21" s="2"/>
      <c r="I21" s="2"/>
    </row>
    <row r="22" spans="3:9">
      <c r="C22" s="7" t="s">
        <v>26</v>
      </c>
      <c r="D22" s="8">
        <v>35000000</v>
      </c>
      <c r="E22" s="9">
        <v>21667218.649999999</v>
      </c>
      <c r="H22" s="2"/>
      <c r="I22" s="2"/>
    </row>
    <row r="23" spans="3:9">
      <c r="C23" s="7" t="s">
        <v>8</v>
      </c>
      <c r="D23" s="8">
        <v>5000000</v>
      </c>
      <c r="E23" s="9">
        <v>3389743.3</v>
      </c>
      <c r="H23" s="2"/>
      <c r="I23" s="2"/>
    </row>
    <row r="24" spans="3:9">
      <c r="C24" s="7" t="s">
        <v>9</v>
      </c>
      <c r="D24" s="8">
        <v>35000000</v>
      </c>
      <c r="E24" s="9">
        <v>23149337.399999999</v>
      </c>
      <c r="H24" s="2"/>
      <c r="I24" s="2"/>
    </row>
    <row r="25" spans="3:9">
      <c r="C25" s="7" t="s">
        <v>11</v>
      </c>
      <c r="D25" s="8">
        <v>16000000</v>
      </c>
      <c r="E25" s="9">
        <v>11073373.76</v>
      </c>
      <c r="H25" s="2"/>
      <c r="I25" s="2"/>
    </row>
    <row r="26" spans="3:9">
      <c r="C26" s="7" t="s">
        <v>12</v>
      </c>
      <c r="D26" s="8">
        <v>26684000</v>
      </c>
      <c r="E26" s="9">
        <v>19545425.869999997</v>
      </c>
      <c r="H26" s="2"/>
      <c r="I26" s="2"/>
    </row>
    <row r="27" spans="3:9">
      <c r="C27" s="7" t="s">
        <v>13</v>
      </c>
      <c r="D27" s="8">
        <v>24000000</v>
      </c>
      <c r="E27" s="9">
        <v>17386942.800000001</v>
      </c>
      <c r="H27" s="2"/>
      <c r="I27" s="2"/>
    </row>
    <row r="28" spans="3:9">
      <c r="C28" s="7" t="s">
        <v>14</v>
      </c>
      <c r="D28" s="8">
        <v>55961000</v>
      </c>
      <c r="E28" s="9">
        <v>38472614.460000001</v>
      </c>
      <c r="H28" s="2"/>
      <c r="I28" s="2"/>
    </row>
    <row r="29" spans="3:9">
      <c r="C29" s="7" t="s">
        <v>27</v>
      </c>
      <c r="D29" s="8">
        <v>60000000</v>
      </c>
      <c r="E29" s="9">
        <v>42941247.600000001</v>
      </c>
      <c r="H29" s="2"/>
      <c r="I29" s="2"/>
    </row>
    <row r="30" spans="3:9">
      <c r="C30" s="7" t="s">
        <v>16</v>
      </c>
      <c r="D30" s="8">
        <v>91000000</v>
      </c>
      <c r="E30" s="9">
        <v>66435950.490000002</v>
      </c>
      <c r="H30" s="2"/>
      <c r="I30" s="2"/>
    </row>
    <row r="31" spans="3:9">
      <c r="C31" s="7" t="s">
        <v>28</v>
      </c>
      <c r="D31" s="8">
        <v>0</v>
      </c>
      <c r="E31" s="9">
        <v>0</v>
      </c>
      <c r="H31" s="2"/>
      <c r="I31" s="2"/>
    </row>
    <row r="32" spans="3:9">
      <c r="C32" s="7" t="s">
        <v>36</v>
      </c>
      <c r="D32" s="8"/>
      <c r="E32" s="9"/>
      <c r="H32" s="2"/>
      <c r="I32" s="2"/>
    </row>
    <row r="33" spans="3:9">
      <c r="C33" s="10" t="s">
        <v>33</v>
      </c>
      <c r="D33" s="11">
        <v>727126000</v>
      </c>
      <c r="E33" s="12">
        <v>468722268.07999998</v>
      </c>
      <c r="H33" s="2"/>
      <c r="I33" s="2"/>
    </row>
    <row r="34" spans="3:9">
      <c r="H34" s="2"/>
      <c r="I34" s="2"/>
    </row>
    <row r="35" spans="3:9">
      <c r="H35" s="2"/>
      <c r="I35" s="2"/>
    </row>
    <row r="36" spans="3:9">
      <c r="H36" s="2"/>
      <c r="I36" s="2"/>
    </row>
    <row r="37" spans="3:9" ht="18">
      <c r="C37" s="24" t="s">
        <v>37</v>
      </c>
      <c r="D37" s="2"/>
      <c r="E37" s="2"/>
      <c r="H37" s="2"/>
      <c r="I37" s="2"/>
    </row>
    <row r="38" spans="3:9">
      <c r="C38" s="17" t="s">
        <v>18</v>
      </c>
      <c r="D38" s="14" t="s">
        <v>20</v>
      </c>
      <c r="E38" s="13"/>
      <c r="H38" s="2"/>
      <c r="I38" s="2"/>
    </row>
    <row r="39" spans="3:9">
      <c r="D39" s="2"/>
      <c r="E39" s="2"/>
      <c r="H39" s="2"/>
      <c r="I39" s="2"/>
    </row>
    <row r="40" spans="3:9">
      <c r="C40" s="4"/>
      <c r="D40" s="5" t="s">
        <v>30</v>
      </c>
      <c r="E40" s="15"/>
      <c r="H40" s="2"/>
      <c r="I40" s="2"/>
    </row>
    <row r="41" spans="3:9">
      <c r="C41" s="18" t="s">
        <v>19</v>
      </c>
      <c r="D41" s="22" t="s">
        <v>31</v>
      </c>
      <c r="E41" s="23" t="s">
        <v>32</v>
      </c>
      <c r="H41" s="2"/>
      <c r="I41" s="2"/>
    </row>
    <row r="42" spans="3:9">
      <c r="C42" s="4" t="s">
        <v>15</v>
      </c>
      <c r="D42" s="5">
        <v>20000000</v>
      </c>
      <c r="E42" s="6">
        <v>14689918.4</v>
      </c>
      <c r="H42" s="2"/>
      <c r="I42" s="2"/>
    </row>
    <row r="43" spans="3:9">
      <c r="C43" s="7" t="s">
        <v>2</v>
      </c>
      <c r="D43" s="8">
        <v>42200000</v>
      </c>
      <c r="E43" s="9">
        <v>17268356.890000001</v>
      </c>
      <c r="H43" s="2"/>
      <c r="I43" s="2"/>
    </row>
    <row r="44" spans="3:9">
      <c r="C44" s="7" t="s">
        <v>3</v>
      </c>
      <c r="D44" s="8">
        <v>33860000</v>
      </c>
      <c r="E44" s="9">
        <v>18007850.140000001</v>
      </c>
      <c r="H44" s="2"/>
      <c r="I44" s="2"/>
    </row>
    <row r="45" spans="3:9">
      <c r="C45" s="7" t="s">
        <v>4</v>
      </c>
      <c r="D45" s="8">
        <v>15000000</v>
      </c>
      <c r="E45" s="9">
        <v>8125759.0499999998</v>
      </c>
      <c r="H45" s="2"/>
      <c r="I45" s="2"/>
    </row>
    <row r="46" spans="3:9">
      <c r="C46" s="7" t="s">
        <v>5</v>
      </c>
      <c r="D46" s="8">
        <v>29350000</v>
      </c>
      <c r="E46" s="9">
        <v>17722327.149999999</v>
      </c>
      <c r="H46" s="2"/>
      <c r="I46" s="2"/>
    </row>
    <row r="47" spans="3:9">
      <c r="C47" s="7" t="s">
        <v>6</v>
      </c>
      <c r="D47" s="8">
        <v>4950000</v>
      </c>
      <c r="E47" s="9">
        <v>3109805.57</v>
      </c>
      <c r="H47" s="2"/>
      <c r="I47" s="2"/>
    </row>
    <row r="48" spans="3:9">
      <c r="C48" s="7" t="s">
        <v>10</v>
      </c>
      <c r="D48" s="8">
        <v>4925000</v>
      </c>
      <c r="E48" s="9">
        <v>3319646.11</v>
      </c>
      <c r="H48" s="2"/>
      <c r="I48" s="2"/>
    </row>
    <row r="49" spans="3:9">
      <c r="C49" s="7" t="s">
        <v>7</v>
      </c>
      <c r="D49" s="8">
        <v>34125000</v>
      </c>
      <c r="E49" s="9">
        <v>20641820.059999999</v>
      </c>
      <c r="H49" s="2"/>
      <c r="I49" s="2"/>
    </row>
    <row r="50" spans="3:9">
      <c r="C50" s="7" t="s">
        <v>8</v>
      </c>
      <c r="D50" s="8">
        <v>5000000</v>
      </c>
      <c r="E50" s="9">
        <v>3389743.3</v>
      </c>
      <c r="H50" s="2"/>
      <c r="I50" s="2"/>
    </row>
    <row r="51" spans="3:9">
      <c r="C51" s="7" t="s">
        <v>9</v>
      </c>
      <c r="D51" s="8">
        <v>35000000</v>
      </c>
      <c r="E51" s="9">
        <v>23149337.399999999</v>
      </c>
      <c r="H51" s="2"/>
      <c r="I51" s="2"/>
    </row>
    <row r="52" spans="3:9">
      <c r="C52" s="7" t="s">
        <v>11</v>
      </c>
      <c r="D52" s="8">
        <v>16000000</v>
      </c>
      <c r="E52" s="9">
        <v>11073373.76</v>
      </c>
      <c r="H52" s="2"/>
      <c r="I52" s="2"/>
    </row>
    <row r="53" spans="3:9">
      <c r="C53" s="7" t="s">
        <v>12</v>
      </c>
      <c r="D53" s="8">
        <v>26684000</v>
      </c>
      <c r="E53" s="9">
        <v>19545425.869999997</v>
      </c>
      <c r="H53" s="2"/>
      <c r="I53" s="2"/>
    </row>
    <row r="54" spans="3:9">
      <c r="C54" s="7" t="s">
        <v>13</v>
      </c>
      <c r="D54" s="8">
        <v>24000000</v>
      </c>
      <c r="E54" s="9">
        <v>17386942.800000001</v>
      </c>
      <c r="H54" s="2"/>
      <c r="I54" s="2"/>
    </row>
    <row r="55" spans="3:9">
      <c r="C55" s="7" t="s">
        <v>14</v>
      </c>
      <c r="D55" s="8">
        <v>55961000</v>
      </c>
      <c r="E55" s="9">
        <v>38472614.460000001</v>
      </c>
      <c r="H55" s="2"/>
      <c r="I55" s="2"/>
    </row>
    <row r="56" spans="3:9">
      <c r="C56" s="7" t="s">
        <v>16</v>
      </c>
      <c r="D56" s="8">
        <v>91000000</v>
      </c>
      <c r="E56" s="9">
        <v>66435950.490000002</v>
      </c>
      <c r="H56" s="2"/>
      <c r="I56" s="2"/>
    </row>
    <row r="57" spans="3:9">
      <c r="C57" s="10" t="s">
        <v>33</v>
      </c>
      <c r="D57" s="16">
        <v>438055000</v>
      </c>
      <c r="E57" s="21">
        <v>282338871.44999999</v>
      </c>
      <c r="H57" s="2"/>
      <c r="I57" s="2"/>
    </row>
    <row r="58" spans="3:9">
      <c r="D58" s="2"/>
      <c r="E58" s="2"/>
      <c r="H58" s="2"/>
      <c r="I58" s="2"/>
    </row>
    <row r="59" spans="3:9">
      <c r="D59" s="2"/>
      <c r="E59" s="2"/>
      <c r="H59" s="2"/>
      <c r="I59" s="2"/>
    </row>
    <row r="60" spans="3:9" ht="18">
      <c r="C60" s="24" t="s">
        <v>38</v>
      </c>
      <c r="D60" s="2"/>
      <c r="E60" s="2"/>
      <c r="H60" s="2"/>
      <c r="I60" s="2"/>
    </row>
    <row r="61" spans="3:9">
      <c r="C61" s="17" t="s">
        <v>18</v>
      </c>
      <c r="D61" s="14" t="s">
        <v>23</v>
      </c>
      <c r="E61" s="2"/>
      <c r="H61" s="2"/>
      <c r="I61" s="2"/>
    </row>
    <row r="62" spans="3:9">
      <c r="D62" s="2"/>
      <c r="E62" s="2"/>
      <c r="H62" s="2"/>
      <c r="I62" s="2"/>
    </row>
    <row r="63" spans="3:9">
      <c r="C63" s="4"/>
      <c r="D63" s="5" t="s">
        <v>30</v>
      </c>
      <c r="E63" s="15"/>
      <c r="H63" s="2"/>
      <c r="I63" s="2"/>
    </row>
    <row r="64" spans="3:9">
      <c r="C64" s="18" t="s">
        <v>19</v>
      </c>
      <c r="D64" s="22" t="s">
        <v>31</v>
      </c>
      <c r="E64" s="23" t="s">
        <v>32</v>
      </c>
      <c r="H64" s="2"/>
      <c r="I64" s="2"/>
    </row>
    <row r="65" spans="3:9">
      <c r="C65" s="4" t="s">
        <v>29</v>
      </c>
      <c r="D65" s="5">
        <v>31500000</v>
      </c>
      <c r="E65" s="6">
        <v>18612160.880000003</v>
      </c>
      <c r="H65" s="2"/>
      <c r="I65" s="2"/>
    </row>
    <row r="66" spans="3:9">
      <c r="C66" s="7" t="s">
        <v>22</v>
      </c>
      <c r="D66" s="8">
        <v>82571000</v>
      </c>
      <c r="E66" s="9">
        <v>50976576.700000003</v>
      </c>
      <c r="H66" s="2"/>
      <c r="I66" s="2"/>
    </row>
    <row r="67" spans="3:9">
      <c r="C67" s="7" t="s">
        <v>10</v>
      </c>
      <c r="D67" s="8">
        <v>20000000</v>
      </c>
      <c r="E67" s="9">
        <v>13480796.4</v>
      </c>
      <c r="H67" s="2"/>
      <c r="I67" s="2"/>
    </row>
    <row r="68" spans="3:9">
      <c r="C68" s="7" t="s">
        <v>24</v>
      </c>
      <c r="D68" s="8">
        <v>40000000</v>
      </c>
      <c r="E68" s="9">
        <v>26607626.399999999</v>
      </c>
      <c r="H68" s="2"/>
      <c r="I68" s="2"/>
    </row>
    <row r="69" spans="3:9">
      <c r="C69" s="7" t="s">
        <v>7</v>
      </c>
      <c r="D69" s="8">
        <v>20000000</v>
      </c>
      <c r="E69" s="9">
        <v>12097770</v>
      </c>
      <c r="H69" s="2"/>
      <c r="I69" s="2"/>
    </row>
    <row r="70" spans="3:9">
      <c r="C70" s="7" t="s">
        <v>25</v>
      </c>
      <c r="D70" s="8">
        <v>50000000</v>
      </c>
      <c r="E70" s="9">
        <v>31579482.5</v>
      </c>
      <c r="H70" s="2"/>
      <c r="I70" s="2"/>
    </row>
    <row r="71" spans="3:9">
      <c r="C71" s="7" t="s">
        <v>26</v>
      </c>
      <c r="D71" s="8">
        <v>35000000</v>
      </c>
      <c r="E71" s="9">
        <v>21667218.649999999</v>
      </c>
      <c r="H71" s="2"/>
      <c r="I71" s="2"/>
    </row>
    <row r="72" spans="3:9">
      <c r="C72" s="7" t="s">
        <v>27</v>
      </c>
      <c r="D72" s="8">
        <v>60000000</v>
      </c>
      <c r="E72" s="9">
        <v>42941247.600000001</v>
      </c>
      <c r="H72" s="2"/>
      <c r="I72" s="2"/>
    </row>
    <row r="73" spans="3:9">
      <c r="C73" s="7" t="s">
        <v>28</v>
      </c>
      <c r="D73" s="8">
        <v>0</v>
      </c>
      <c r="E73" s="9">
        <v>0</v>
      </c>
      <c r="H73" s="2"/>
      <c r="I73" s="2"/>
    </row>
    <row r="74" spans="3:9">
      <c r="C74" s="10" t="s">
        <v>33</v>
      </c>
      <c r="D74" s="16">
        <v>339071000</v>
      </c>
      <c r="E74" s="21">
        <v>217962879.13000003</v>
      </c>
      <c r="H74" s="2"/>
      <c r="I74" s="2"/>
    </row>
    <row r="75" spans="3:9">
      <c r="D75" s="2"/>
      <c r="E75" s="2"/>
      <c r="H75" s="2"/>
      <c r="I75" s="2"/>
    </row>
    <row r="76" spans="3:9" ht="18">
      <c r="C76" s="24" t="s">
        <v>39</v>
      </c>
      <c r="D76" s="2"/>
      <c r="E76" s="2"/>
      <c r="H76" s="2"/>
      <c r="I76" s="2"/>
    </row>
    <row r="77" spans="3:9">
      <c r="C77" s="17" t="s">
        <v>18</v>
      </c>
      <c r="D77" s="14" t="s">
        <v>21</v>
      </c>
      <c r="E77" s="2"/>
      <c r="H77" s="2"/>
      <c r="I77" s="2"/>
    </row>
    <row r="78" spans="3:9">
      <c r="D78" s="2"/>
      <c r="E78" s="2"/>
      <c r="H78" s="2"/>
      <c r="I78" s="2"/>
    </row>
    <row r="79" spans="3:9">
      <c r="C79" s="4"/>
      <c r="D79" s="5" t="s">
        <v>30</v>
      </c>
      <c r="E79" s="15"/>
      <c r="H79" s="2"/>
      <c r="I79" s="2"/>
    </row>
    <row r="80" spans="3:9">
      <c r="C80" s="212" t="s">
        <v>19</v>
      </c>
      <c r="D80" s="5" t="s">
        <v>31</v>
      </c>
      <c r="E80" s="6" t="s">
        <v>32</v>
      </c>
      <c r="H80" s="2"/>
      <c r="I80" s="2"/>
    </row>
    <row r="81" spans="3:9">
      <c r="C81" s="4" t="s">
        <v>29</v>
      </c>
      <c r="D81" s="5">
        <v>0</v>
      </c>
      <c r="E81" s="6">
        <v>0</v>
      </c>
      <c r="H81" s="2"/>
      <c r="I81" s="2"/>
    </row>
    <row r="82" spans="3:9">
      <c r="C82" s="7" t="s">
        <v>22</v>
      </c>
      <c r="D82" s="8">
        <v>0</v>
      </c>
      <c r="E82" s="9">
        <v>0</v>
      </c>
      <c r="H82" s="2"/>
      <c r="I82" s="2"/>
    </row>
    <row r="83" spans="3:9">
      <c r="C83" s="7" t="s">
        <v>10</v>
      </c>
      <c r="D83" s="8">
        <v>0</v>
      </c>
      <c r="E83" s="9">
        <v>0</v>
      </c>
      <c r="H83" s="2"/>
      <c r="I83" s="2"/>
    </row>
    <row r="84" spans="3:9">
      <c r="C84" s="7" t="s">
        <v>24</v>
      </c>
      <c r="D84" s="8">
        <v>0</v>
      </c>
      <c r="E84" s="9">
        <v>0</v>
      </c>
      <c r="H84" s="2"/>
      <c r="I84" s="2"/>
    </row>
    <row r="85" spans="3:9">
      <c r="C85" s="7" t="s">
        <v>7</v>
      </c>
      <c r="D85" s="8">
        <v>0</v>
      </c>
      <c r="E85" s="9">
        <v>0</v>
      </c>
      <c r="H85" s="2"/>
      <c r="I85" s="2"/>
    </row>
    <row r="86" spans="3:9">
      <c r="C86" s="7" t="s">
        <v>25</v>
      </c>
      <c r="D86" s="8">
        <v>-50000000</v>
      </c>
      <c r="E86" s="9">
        <v>-31579482.5</v>
      </c>
      <c r="H86" s="2"/>
      <c r="I86" s="2"/>
    </row>
    <row r="87" spans="3:9">
      <c r="C87" s="7" t="s">
        <v>26</v>
      </c>
      <c r="D87" s="8">
        <v>0</v>
      </c>
      <c r="E87" s="9">
        <v>0</v>
      </c>
      <c r="H87" s="2"/>
      <c r="I87" s="2"/>
    </row>
    <row r="88" spans="3:9">
      <c r="C88" s="7" t="s">
        <v>27</v>
      </c>
      <c r="D88" s="8">
        <v>0</v>
      </c>
      <c r="E88" s="9">
        <v>0</v>
      </c>
      <c r="H88" s="2"/>
      <c r="I88" s="2"/>
    </row>
    <row r="89" spans="3:9">
      <c r="C89" s="7" t="s">
        <v>28</v>
      </c>
      <c r="D89" s="8">
        <v>0</v>
      </c>
      <c r="E89" s="9">
        <v>0</v>
      </c>
      <c r="H89" s="2"/>
      <c r="I89" s="2"/>
    </row>
    <row r="90" spans="3:9">
      <c r="C90" s="10" t="s">
        <v>33</v>
      </c>
      <c r="D90" s="16">
        <v>-50000000</v>
      </c>
      <c r="E90" s="21">
        <v>-31579482.5</v>
      </c>
      <c r="H90" s="2"/>
      <c r="I90" s="2"/>
    </row>
  </sheetData>
  <phoneticPr fontId="2" type="noConversion"/>
  <pageMargins left="0.75" right="0.75" top="1" bottom="1" header="0.5" footer="0.5"/>
  <headerFooter alignWithMargins="0"/>
  <drawing r:id="rId5"/>
  <legacyDrawing r:id="rId6"/>
  <controls>
    <mc:AlternateContent xmlns:mc="http://schemas.openxmlformats.org/markup-compatibility/2006">
      <mc:Choice Requires="x14">
        <control shapeId="20496" r:id="rId7" name="CommandButton1">
          <controlPr defaultSize="0" autoLine="0" r:id="rId8">
            <anchor moveWithCells="1">
              <from>
                <xdr:col>11</xdr:col>
                <xdr:colOff>180975</xdr:colOff>
                <xdr:row>1</xdr:row>
                <xdr:rowOff>66675</xdr:rowOff>
              </from>
              <to>
                <xdr:col>13</xdr:col>
                <xdr:colOff>133350</xdr:colOff>
                <xdr:row>3</xdr:row>
                <xdr:rowOff>95250</xdr:rowOff>
              </to>
            </anchor>
          </controlPr>
        </control>
      </mc:Choice>
      <mc:Fallback>
        <control shapeId="20496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A10"/>
    </sheetView>
  </sheetViews>
  <sheetFormatPr defaultRowHeight="12.75"/>
  <cols>
    <col min="2" max="2" width="10.140625" bestFit="1" customWidth="1"/>
    <col min="3" max="4" width="10.140625" customWidth="1"/>
    <col min="5" max="5" width="10.140625" bestFit="1" customWidth="1"/>
    <col min="6" max="7" width="10.140625" customWidth="1"/>
    <col min="8" max="8" width="10.140625" bestFit="1" customWidth="1"/>
    <col min="9" max="10" width="10.140625" customWidth="1"/>
    <col min="11" max="11" width="10.140625" bestFit="1" customWidth="1"/>
    <col min="12" max="13" width="10.140625" customWidth="1"/>
    <col min="14" max="14" width="10.140625" bestFit="1" customWidth="1"/>
    <col min="15" max="16" width="10.140625" customWidth="1"/>
    <col min="17" max="17" width="10.140625" bestFit="1" customWidth="1"/>
    <col min="18" max="19" width="10.140625" customWidth="1"/>
    <col min="20" max="20" width="10.140625" bestFit="1" customWidth="1"/>
    <col min="21" max="22" width="10.140625" customWidth="1"/>
    <col min="23" max="23" width="10.140625" bestFit="1" customWidth="1"/>
    <col min="24" max="25" width="10.140625" customWidth="1"/>
    <col min="26" max="26" width="10.140625" bestFit="1" customWidth="1"/>
    <col min="27" max="28" width="10.140625" customWidth="1"/>
    <col min="29" max="29" width="10.140625" bestFit="1" customWidth="1"/>
    <col min="30" max="31" width="10.140625" customWidth="1"/>
    <col min="32" max="32" width="10.140625" bestFit="1" customWidth="1"/>
    <col min="33" max="34" width="10.140625" customWidth="1"/>
    <col min="35" max="35" width="10.140625" bestFit="1" customWidth="1"/>
    <col min="36" max="37" width="10.140625" customWidth="1"/>
    <col min="38" max="38" width="10.140625" bestFit="1" customWidth="1"/>
    <col min="39" max="40" width="10.140625" customWidth="1"/>
    <col min="41" max="41" width="10.140625" bestFit="1" customWidth="1"/>
    <col min="42" max="43" width="10.140625" customWidth="1"/>
    <col min="44" max="44" width="10.140625" bestFit="1" customWidth="1"/>
    <col min="45" max="46" width="10.140625" customWidth="1"/>
    <col min="47" max="47" width="10.140625" bestFit="1" customWidth="1"/>
    <col min="48" max="49" width="10.140625" customWidth="1"/>
    <col min="50" max="50" width="10.140625" bestFit="1" customWidth="1"/>
    <col min="51" max="52" width="10.140625" customWidth="1"/>
    <col min="53" max="53" width="10.140625" bestFit="1" customWidth="1"/>
    <col min="54" max="55" width="10.140625" customWidth="1"/>
    <col min="56" max="56" width="10.140625" bestFit="1" customWidth="1"/>
    <col min="57" max="58" width="10.140625" customWidth="1"/>
    <col min="59" max="59" width="10.140625" bestFit="1" customWidth="1"/>
    <col min="60" max="61" width="10.140625" customWidth="1"/>
    <col min="62" max="62" width="10.140625" bestFit="1" customWidth="1"/>
    <col min="63" max="64" width="10.140625" customWidth="1"/>
    <col min="65" max="65" width="10.140625" bestFit="1" customWidth="1"/>
    <col min="66" max="67" width="10.140625" customWidth="1"/>
    <col min="68" max="68" width="10.140625" bestFit="1" customWidth="1"/>
    <col min="69" max="70" width="10.140625" customWidth="1"/>
    <col min="71" max="71" width="10.140625" bestFit="1" customWidth="1"/>
    <col min="72" max="73" width="10.140625" customWidth="1"/>
    <col min="74" max="74" width="10.140625" bestFit="1" customWidth="1"/>
    <col min="75" max="76" width="10.140625" customWidth="1"/>
    <col min="77" max="77" width="10.140625" bestFit="1" customWidth="1"/>
    <col min="78" max="79" width="10.140625" customWidth="1"/>
    <col min="80" max="80" width="10.140625" bestFit="1" customWidth="1"/>
    <col min="81" max="82" width="10.140625" customWidth="1"/>
    <col min="83" max="83" width="10.140625" bestFit="1" customWidth="1"/>
    <col min="84" max="85" width="10.140625" customWidth="1"/>
    <col min="86" max="86" width="10.140625" bestFit="1" customWidth="1"/>
    <col min="87" max="88" width="10.140625" customWidth="1"/>
    <col min="89" max="89" width="10.140625" bestFit="1" customWidth="1"/>
    <col min="90" max="91" width="10.140625" customWidth="1"/>
    <col min="92" max="92" width="10.140625" bestFit="1" customWidth="1"/>
    <col min="93" max="94" width="10.140625" customWidth="1"/>
    <col min="95" max="95" width="10.140625" bestFit="1" customWidth="1"/>
    <col min="96" max="97" width="10.140625" customWidth="1"/>
    <col min="98" max="98" width="10.140625" bestFit="1" customWidth="1"/>
    <col min="99" max="100" width="10.140625" customWidth="1"/>
    <col min="101" max="101" width="10.140625" bestFit="1" customWidth="1"/>
    <col min="102" max="103" width="10.140625" customWidth="1"/>
    <col min="104" max="104" width="10.140625" bestFit="1" customWidth="1"/>
    <col min="105" max="106" width="10.140625" customWidth="1"/>
    <col min="107" max="107" width="10.140625" bestFit="1" customWidth="1"/>
    <col min="108" max="109" width="10.140625" customWidth="1"/>
    <col min="110" max="110" width="10.140625" bestFit="1" customWidth="1"/>
    <col min="111" max="112" width="10.140625" customWidth="1"/>
    <col min="113" max="113" width="10.140625" bestFit="1" customWidth="1"/>
    <col min="114" max="115" width="10.140625" customWidth="1"/>
    <col min="116" max="116" width="10.140625" bestFit="1" customWidth="1"/>
    <col min="117" max="118" width="10.140625" customWidth="1"/>
    <col min="119" max="119" width="10.140625" bestFit="1" customWidth="1"/>
    <col min="120" max="121" width="10.140625" customWidth="1"/>
    <col min="122" max="122" width="10.140625" bestFit="1" customWidth="1"/>
    <col min="123" max="124" width="10.140625" customWidth="1"/>
    <col min="125" max="125" width="10.140625" bestFit="1" customWidth="1"/>
    <col min="126" max="127" width="10.140625" customWidth="1"/>
    <col min="128" max="128" width="10.140625" bestFit="1" customWidth="1"/>
    <col min="129" max="130" width="10.140625" customWidth="1"/>
    <col min="131" max="131" width="10.140625" bestFit="1" customWidth="1"/>
    <col min="132" max="133" width="10.140625" customWidth="1"/>
    <col min="134" max="134" width="10.140625" bestFit="1" customWidth="1"/>
    <col min="135" max="136" width="10.140625" customWidth="1"/>
    <col min="137" max="137" width="10.140625" bestFit="1" customWidth="1"/>
    <col min="138" max="139" width="10.140625" customWidth="1"/>
    <col min="140" max="140" width="10.140625" bestFit="1" customWidth="1"/>
    <col min="141" max="142" width="10.140625" customWidth="1"/>
    <col min="143" max="143" width="10.140625" bestFit="1" customWidth="1"/>
    <col min="144" max="145" width="10.140625" customWidth="1"/>
    <col min="146" max="146" width="10.140625" bestFit="1" customWidth="1"/>
    <col min="147" max="148" width="10.140625" customWidth="1"/>
    <col min="149" max="149" width="10.140625" bestFit="1" customWidth="1"/>
    <col min="150" max="151" width="10.140625" customWidth="1"/>
    <col min="152" max="152" width="10.140625" bestFit="1" customWidth="1"/>
    <col min="153" max="154" width="10.140625" customWidth="1"/>
    <col min="155" max="155" width="10.140625" bestFit="1" customWidth="1"/>
    <col min="156" max="157" width="10.140625" customWidth="1"/>
    <col min="158" max="158" width="10.140625" bestFit="1" customWidth="1"/>
    <col min="159" max="160" width="10.140625" customWidth="1"/>
    <col min="161" max="161" width="10.140625" bestFit="1" customWidth="1"/>
    <col min="162" max="163" width="10.140625" customWidth="1"/>
    <col min="164" max="164" width="10.140625" bestFit="1" customWidth="1"/>
    <col min="165" max="166" width="10.140625" customWidth="1"/>
    <col min="167" max="167" width="10.140625" bestFit="1" customWidth="1"/>
    <col min="168" max="169" width="10.140625" customWidth="1"/>
    <col min="170" max="170" width="10.140625" bestFit="1" customWidth="1"/>
    <col min="171" max="172" width="10.140625" customWidth="1"/>
    <col min="173" max="173" width="10.140625" bestFit="1" customWidth="1"/>
    <col min="174" max="175" width="10.140625" customWidth="1"/>
    <col min="176" max="176" width="10.140625" bestFit="1" customWidth="1"/>
    <col min="177" max="178" width="10.140625" customWidth="1"/>
    <col min="179" max="179" width="10.140625" bestFit="1" customWidth="1"/>
    <col min="180" max="181" width="10.140625" customWidth="1"/>
    <col min="182" max="182" width="10.140625" bestFit="1" customWidth="1"/>
    <col min="183" max="184" width="10.140625" customWidth="1"/>
    <col min="185" max="185" width="10.140625" bestFit="1" customWidth="1"/>
    <col min="186" max="187" width="10.140625" customWidth="1"/>
    <col min="188" max="188" width="10.140625" bestFit="1" customWidth="1"/>
    <col min="189" max="190" width="10.140625" customWidth="1"/>
    <col min="191" max="191" width="10.140625" bestFit="1" customWidth="1"/>
    <col min="192" max="193" width="10.140625" customWidth="1"/>
    <col min="194" max="194" width="10.140625" bestFit="1" customWidth="1"/>
    <col min="195" max="196" width="10.140625" customWidth="1"/>
    <col min="197" max="197" width="10.140625" bestFit="1" customWidth="1"/>
    <col min="198" max="199" width="10.140625" customWidth="1"/>
    <col min="200" max="200" width="10.140625" bestFit="1" customWidth="1"/>
    <col min="201" max="202" width="10.140625" customWidth="1"/>
    <col min="203" max="203" width="10.140625" bestFit="1" customWidth="1"/>
    <col min="204" max="205" width="10.140625" customWidth="1"/>
    <col min="206" max="206" width="10.140625" bestFit="1" customWidth="1"/>
    <col min="207" max="208" width="10.140625" customWidth="1"/>
    <col min="209" max="209" width="10.140625" bestFit="1" customWidth="1"/>
    <col min="210" max="211" width="10.140625" customWidth="1"/>
    <col min="212" max="212" width="10.140625" bestFit="1" customWidth="1"/>
    <col min="213" max="214" width="10.140625" customWidth="1"/>
    <col min="215" max="215" width="10.140625" bestFit="1" customWidth="1"/>
    <col min="216" max="217" width="10.140625" customWidth="1"/>
    <col min="218" max="218" width="10.140625" bestFit="1" customWidth="1"/>
    <col min="219" max="220" width="10.140625" customWidth="1"/>
    <col min="221" max="221" width="10.140625" bestFit="1" customWidth="1"/>
    <col min="222" max="223" width="10.140625" customWidth="1"/>
    <col min="224" max="224" width="10.140625" bestFit="1" customWidth="1"/>
    <col min="225" max="226" width="10.140625" customWidth="1"/>
    <col min="227" max="227" width="10.140625" bestFit="1" customWidth="1"/>
    <col min="228" max="229" width="10.140625" customWidth="1"/>
    <col min="230" max="230" width="10.140625" bestFit="1" customWidth="1"/>
    <col min="231" max="232" width="10.140625" customWidth="1"/>
    <col min="233" max="233" width="10.140625" bestFit="1" customWidth="1"/>
    <col min="234" max="235" width="10.140625" customWidth="1"/>
    <col min="236" max="236" width="10.140625" bestFit="1" customWidth="1"/>
    <col min="237" max="238" width="10.140625" customWidth="1"/>
    <col min="239" max="239" width="10.140625" bestFit="1" customWidth="1"/>
    <col min="240" max="241" width="10.140625" customWidth="1"/>
    <col min="242" max="242" width="10.140625" bestFit="1" customWidth="1"/>
    <col min="243" max="244" width="10.140625" customWidth="1"/>
    <col min="245" max="245" width="10.140625" bestFit="1" customWidth="1"/>
    <col min="246" max="247" width="10.140625" customWidth="1"/>
    <col min="248" max="248" width="10.140625" bestFit="1" customWidth="1"/>
    <col min="249" max="250" width="10.140625" customWidth="1"/>
    <col min="251" max="251" width="10.140625" bestFit="1" customWidth="1"/>
    <col min="252" max="253" width="10.140625" customWidth="1"/>
    <col min="254" max="254" width="10.140625" bestFit="1" customWidth="1"/>
    <col min="255" max="256" width="10.140625" customWidth="1"/>
    <col min="257" max="257" width="10.140625" bestFit="1" customWidth="1"/>
    <col min="258" max="259" width="10.140625" customWidth="1"/>
    <col min="260" max="260" width="10.140625" bestFit="1" customWidth="1"/>
    <col min="261" max="262" width="10.140625" customWidth="1"/>
    <col min="263" max="263" width="10.140625" bestFit="1" customWidth="1"/>
    <col min="264" max="265" width="10.140625" customWidth="1"/>
    <col min="266" max="266" width="10.140625" bestFit="1" customWidth="1"/>
    <col min="267" max="268" width="10.140625" customWidth="1"/>
    <col min="269" max="269" width="10.140625" bestFit="1" customWidth="1"/>
    <col min="270" max="271" width="10.140625" customWidth="1"/>
    <col min="272" max="272" width="10.140625" bestFit="1" customWidth="1"/>
    <col min="273" max="274" width="10.140625" customWidth="1"/>
    <col min="275" max="275" width="10.140625" bestFit="1" customWidth="1"/>
    <col min="276" max="277" width="10.140625" customWidth="1"/>
    <col min="278" max="278" width="10.140625" bestFit="1" customWidth="1"/>
    <col min="279" max="280" width="10.140625" customWidth="1"/>
    <col min="281" max="281" width="10.140625" bestFit="1" customWidth="1"/>
    <col min="282" max="283" width="10.140625" customWidth="1"/>
    <col min="284" max="284" width="10.140625" bestFit="1" customWidth="1"/>
    <col min="285" max="286" width="10.140625" customWidth="1"/>
    <col min="287" max="287" width="10.140625" bestFit="1" customWidth="1"/>
    <col min="288" max="289" width="10.140625" customWidth="1"/>
    <col min="290" max="290" width="10.140625" bestFit="1" customWidth="1"/>
    <col min="291" max="292" width="10.140625" customWidth="1"/>
    <col min="293" max="293" width="10.140625" bestFit="1" customWidth="1"/>
    <col min="294" max="295" width="10.140625" customWidth="1"/>
    <col min="296" max="296" width="10.140625" bestFit="1" customWidth="1"/>
    <col min="297" max="298" width="10.140625" customWidth="1"/>
    <col min="299" max="299" width="10.140625" bestFit="1" customWidth="1"/>
    <col min="300" max="301" width="10.140625" customWidth="1"/>
    <col min="302" max="302" width="10.140625" bestFit="1" customWidth="1"/>
    <col min="303" max="304" width="10.140625" customWidth="1"/>
    <col min="305" max="305" width="10.140625" bestFit="1" customWidth="1"/>
    <col min="306" max="307" width="10.140625" customWidth="1"/>
    <col min="308" max="308" width="10.140625" bestFit="1" customWidth="1"/>
    <col min="309" max="310" width="10.140625" customWidth="1"/>
    <col min="311" max="311" width="10.140625" bestFit="1" customWidth="1"/>
    <col min="312" max="313" width="10.140625" customWidth="1"/>
    <col min="314" max="314" width="10.140625" bestFit="1" customWidth="1"/>
    <col min="315" max="316" width="10.140625" customWidth="1"/>
    <col min="317" max="317" width="10.140625" bestFit="1" customWidth="1"/>
    <col min="318" max="319" width="10.140625" customWidth="1"/>
    <col min="320" max="320" width="10.140625" bestFit="1" customWidth="1"/>
    <col min="321" max="322" width="10.140625" customWidth="1"/>
    <col min="323" max="323" width="10.140625" bestFit="1" customWidth="1"/>
    <col min="324" max="325" width="10.140625" customWidth="1"/>
    <col min="326" max="326" width="10.140625" bestFit="1" customWidth="1"/>
    <col min="327" max="328" width="10.140625" customWidth="1"/>
    <col min="329" max="329" width="10.140625" bestFit="1" customWidth="1"/>
    <col min="330" max="331" width="10.140625" customWidth="1"/>
    <col min="332" max="332" width="10.140625" bestFit="1" customWidth="1"/>
    <col min="333" max="334" width="10.140625" customWidth="1"/>
    <col min="335" max="335" width="10.140625" bestFit="1" customWidth="1"/>
    <col min="336" max="337" width="10.140625" customWidth="1"/>
    <col min="338" max="338" width="10.140625" bestFit="1" customWidth="1"/>
    <col min="339" max="340" width="10.140625" customWidth="1"/>
    <col min="341" max="341" width="10.140625" bestFit="1" customWidth="1"/>
    <col min="342" max="343" width="10.140625" customWidth="1"/>
    <col min="344" max="344" width="10.140625" bestFit="1" customWidth="1"/>
    <col min="345" max="346" width="10.140625" customWidth="1"/>
    <col min="347" max="347" width="10.140625" bestFit="1" customWidth="1"/>
    <col min="348" max="349" width="10.140625" customWidth="1"/>
    <col min="350" max="350" width="10.140625" bestFit="1" customWidth="1"/>
    <col min="351" max="352" width="10.140625" customWidth="1"/>
    <col min="353" max="353" width="10.140625" bestFit="1" customWidth="1"/>
    <col min="354" max="355" width="10.140625" customWidth="1"/>
    <col min="356" max="356" width="10.140625" bestFit="1" customWidth="1"/>
    <col min="357" max="358" width="10.140625" customWidth="1"/>
    <col min="359" max="359" width="10.140625" bestFit="1" customWidth="1"/>
    <col min="360" max="361" width="10.140625" customWidth="1"/>
    <col min="362" max="362" width="10.140625" bestFit="1" customWidth="1"/>
    <col min="363" max="364" width="10.140625" customWidth="1"/>
    <col min="365" max="365" width="10.28515625" bestFit="1" customWidth="1"/>
    <col min="366" max="371" width="10.28515625" customWidth="1"/>
    <col min="372" max="372" width="12.140625" bestFit="1" customWidth="1"/>
    <col min="378" max="378" width="9.5703125" bestFit="1" customWidth="1"/>
  </cols>
  <sheetData/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indexed="14"/>
  </sheetPr>
  <dimension ref="A1:W52"/>
  <sheetViews>
    <sheetView workbookViewId="0">
      <selection activeCell="E29" sqref="E29:G52"/>
    </sheetView>
  </sheetViews>
  <sheetFormatPr defaultRowHeight="12.95" customHeight="1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" style="53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202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16</v>
      </c>
      <c r="B2" s="67" t="str">
        <f>MID(A2,3,9)</f>
        <v>83162CRG0</v>
      </c>
      <c r="C2" s="131">
        <v>0.05</v>
      </c>
      <c r="D2" s="132">
        <f>IF(ISERROR(VLOOKUP(A2,'Bond Position per Summit'!$C$42:$E$56,3,0)),0,VLOOKUP(A2,'Bond Position per Summit'!$C$42:$E$56,3,0))</f>
        <v>66435950.490000002</v>
      </c>
      <c r="E2" s="67">
        <f>IF(ISERROR(VLOOKUP(A2,'Bond Position per Summit'!$C$65:$E$73,3,0)),0,VLOOKUP(A2,'Bond Position per Summit'!$C$65:$E$73,3,0))</f>
        <v>0</v>
      </c>
      <c r="F2" s="67" t="str">
        <f>_xll.BDP($B2&amp;" Mtge Cusip",F$1)</f>
        <v>SBAP 2007-20I 1</v>
      </c>
      <c r="G2" s="67">
        <f>VLOOKUP(A2,'Bond Position per Summit'!$C$10:$D$32,2,0)</f>
        <v>91000000</v>
      </c>
      <c r="H2" s="67">
        <f>VLOOKUP(A2,'Bond Position per Summit'!$C$10:$E$32,3,0)</f>
        <v>66435950.490000002</v>
      </c>
      <c r="I2" s="67" t="str">
        <f>_xll.BDP($B2&amp;" Mtge Cusip",I$1)</f>
        <v>12/09/2007</v>
      </c>
      <c r="J2" s="67" t="str">
        <f>_xll.BDP($B2&amp;" Mtge Cusip",J$1)</f>
        <v>12/09/2007</v>
      </c>
      <c r="K2" s="67" t="str">
        <f>_xll.BDP($B2&amp;" Mtge Cusip",K$1)</f>
        <v>01/03/2008</v>
      </c>
      <c r="L2" s="67" t="str">
        <f>_xll.BDP($B2&amp;" Mtge Cusip",L$1)</f>
        <v>01/09/2027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5.56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 ht="12.75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91000000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0.26835568300700008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169</v>
      </c>
      <c r="I6" s="108" t="s">
        <v>81</v>
      </c>
      <c r="J6" s="118">
        <v>40038</v>
      </c>
      <c r="K6" s="113">
        <f>ROUND(J6/J5,8)</f>
        <v>4.0037999999999997E-2</v>
      </c>
      <c r="L6" s="108" t="s">
        <v>81</v>
      </c>
      <c r="M6" s="112">
        <v>3643501</v>
      </c>
      <c r="N6" s="123">
        <f>ROUND(M6/M5,8)</f>
        <v>4.003847E-2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41737</v>
      </c>
      <c r="K7" s="115">
        <f>ROUND(J7/J5,8)</f>
        <v>4.1737000000000003E-2</v>
      </c>
      <c r="L7" s="109" t="s">
        <v>82</v>
      </c>
      <c r="M7" s="114">
        <v>3798099</v>
      </c>
      <c r="N7" s="124">
        <f>ROUND(M7/M5,8)</f>
        <v>4.1737349999999999E-2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5.3244389707548736</v>
      </c>
    </row>
    <row r="12" spans="1:23" ht="12.75">
      <c r="A12" s="49">
        <f>_xll.BDS($B2&amp;" Mtge Cusip",A11,"cols=2;rows=18")</f>
        <v>42430</v>
      </c>
      <c r="B12" s="50">
        <v>0.26835568300000001</v>
      </c>
      <c r="C12" s="52"/>
      <c r="D12" s="70" t="str">
        <f ca="1">IF(E12&lt;$A$4,"Actual","Model Num")</f>
        <v>Actual</v>
      </c>
      <c r="E12" s="71">
        <v>39337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39337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39337</v>
      </c>
      <c r="Q12" s="94"/>
      <c r="R12" s="95"/>
      <c r="S12" s="96">
        <f>M12</f>
        <v>1000000</v>
      </c>
      <c r="U12" s="139">
        <f>P12</f>
        <v>39337</v>
      </c>
      <c r="V12" s="94">
        <f ca="1">IF(U12&lt;$A$4,0,(YEARFRAC($A$4,U12,1)))</f>
        <v>0</v>
      </c>
      <c r="W12" s="140">
        <f ca="1">V12*(S12-S13)</f>
        <v>0</v>
      </c>
    </row>
    <row r="13" spans="1:23" ht="12.75">
      <c r="A13" s="49">
        <v>42248</v>
      </c>
      <c r="B13" s="50">
        <v>0.31763367799999997</v>
      </c>
      <c r="C13" s="52"/>
      <c r="D13" s="70" t="str">
        <f ca="1">IF(E13&lt;$A$4,"Actual","Model Num")</f>
        <v>Actual</v>
      </c>
      <c r="E13" s="71">
        <v>39508</v>
      </c>
      <c r="F13" s="74">
        <f>MAX(IF(ISERROR(VLOOKUP(E13,$A$12:$B$52,2,0)),VLOOKUP(E13,$P$11:$S$52,4,0)/1000000,(VLOOKUP(E13,$A$12:$B$52,2,0))),0)</f>
        <v>0.97517777000000005</v>
      </c>
      <c r="G13" s="128">
        <f>F13*1000000</f>
        <v>975177.77</v>
      </c>
      <c r="H13" s="64"/>
      <c r="I13" s="80">
        <f>E13</f>
        <v>39508</v>
      </c>
      <c r="J13" s="125">
        <f>$M$12*$N$6</f>
        <v>40038.47</v>
      </c>
      <c r="K13" s="88">
        <f>($F$6/360)*($O$2/100)*M12</f>
        <v>26101.111111111109</v>
      </c>
      <c r="L13" s="90">
        <f>J13-K13</f>
        <v>13937.358888888892</v>
      </c>
      <c r="M13" s="79">
        <f>M12-L13</f>
        <v>986062.64111111115</v>
      </c>
      <c r="N13" s="126">
        <f>L13/M12</f>
        <v>1.3937358888888892E-2</v>
      </c>
      <c r="O13" s="52"/>
      <c r="P13" s="80">
        <f>I13</f>
        <v>39508</v>
      </c>
      <c r="Q13" s="97">
        <f>S12*N13</f>
        <v>13937.358888888892</v>
      </c>
      <c r="R13" s="98">
        <f>S12*$C$2/2</f>
        <v>25000</v>
      </c>
      <c r="S13" s="99">
        <f ca="1">IF(P13&lt;$A$4,(VLOOKUP(P13,$A$11:$B$52,2,0)*$S$12),(S12-(Q13+R13)))</f>
        <v>975177.77</v>
      </c>
      <c r="U13" s="80">
        <f>P13</f>
        <v>39508</v>
      </c>
      <c r="V13" s="97">
        <f ca="1">IF(U13&lt;$A$4,0,(YEARFRAC($A$4,U13,1)))</f>
        <v>0</v>
      </c>
      <c r="W13" s="141">
        <f ca="1">V13*(S12-S13)</f>
        <v>0</v>
      </c>
    </row>
    <row r="14" spans="1:23" ht="12.75">
      <c r="A14" s="49">
        <v>42064</v>
      </c>
      <c r="B14" s="50">
        <v>0.36966890299999999</v>
      </c>
      <c r="C14" s="52"/>
      <c r="D14" s="70" t="str">
        <f ca="1">IF(E14&lt;$A$4,"Actual","Model Num")</f>
        <v>Actual</v>
      </c>
      <c r="E14" s="71">
        <f>DATE(YEAR(E13),MONTH(E13)+6,DAY(E13))</f>
        <v>39692</v>
      </c>
      <c r="F14" s="74">
        <f>MAX(IF(ISERROR(VLOOKUP(E14,$A$12:$B$52,2,0)),VLOOKUP(E14,$P$11:$S$52,4,0)/1000000,(VLOOKUP(E14,$A$12:$B$52,2,0))),0)</f>
        <v>0.94414408299999997</v>
      </c>
      <c r="G14" s="128">
        <f>F14*1000000</f>
        <v>944144.08299999998</v>
      </c>
      <c r="H14" s="64"/>
      <c r="I14" s="80">
        <f>E14</f>
        <v>39692</v>
      </c>
      <c r="J14" s="205">
        <f>$M$12*$N$7</f>
        <v>41737.35</v>
      </c>
      <c r="K14" s="88">
        <f>($F$7/360)*($O$2/100)*M13</f>
        <v>27412.541422888888</v>
      </c>
      <c r="L14" s="90">
        <f>J14-K14</f>
        <v>14324.808577111111</v>
      </c>
      <c r="M14" s="79">
        <f>M13-L14</f>
        <v>971737.83253400004</v>
      </c>
      <c r="N14" s="126">
        <f>L14/M13</f>
        <v>1.4527280499106718E-2</v>
      </c>
      <c r="O14" s="52"/>
      <c r="P14" s="80">
        <f>I14</f>
        <v>39692</v>
      </c>
      <c r="Q14" s="97">
        <f ca="1">S13*N14</f>
        <v>14166.681001283376</v>
      </c>
      <c r="R14" s="98">
        <f ca="1">S13*$C$2/2</f>
        <v>24379.44425</v>
      </c>
      <c r="S14" s="99">
        <f ca="1">IF(P14&lt;$A$4,(VLOOKUP(P14,$A$11:$B$52,2,0)*$S$12),(S13-(Q14+R14)))</f>
        <v>944144.08299999998</v>
      </c>
      <c r="U14" s="80">
        <f>P14</f>
        <v>39692</v>
      </c>
      <c r="V14" s="97">
        <f ca="1">IF(U14&lt;$A$4,0,(YEARFRAC($A$4,U14,1)))</f>
        <v>0</v>
      </c>
      <c r="W14" s="141">
        <f ca="1">V14*(S13-S14)</f>
        <v>0</v>
      </c>
    </row>
    <row r="15" spans="1:23" ht="12.75">
      <c r="A15" s="49">
        <v>41883</v>
      </c>
      <c r="B15" s="50">
        <v>0.40815416599999998</v>
      </c>
      <c r="C15" s="52"/>
      <c r="D15" s="70" t="str">
        <f ca="1">IF(E15&lt;$A$4,"Actual","Model Num")</f>
        <v>Actual</v>
      </c>
      <c r="E15" s="71">
        <f>DATE(YEAR(E14),MONTH(E14)+6,DAY(E14))</f>
        <v>39873</v>
      </c>
      <c r="F15" s="74">
        <f>MAX(IF(ISERROR(VLOOKUP(E15,$A$12:$B$52,2,0)),VLOOKUP(E15,$P$11:$S$52,4,0)/1000000,(VLOOKUP(E15,$A$12:$B$52,2,0))),0)</f>
        <v>0.90382606099999996</v>
      </c>
      <c r="G15" s="128">
        <f>F15*1000000</f>
        <v>903826.06099999999</v>
      </c>
      <c r="H15" s="64"/>
      <c r="I15" s="80">
        <f>E15</f>
        <v>39873</v>
      </c>
      <c r="J15" s="205">
        <f>$M$12*$N$7</f>
        <v>41737.35</v>
      </c>
      <c r="K15" s="88">
        <f>($F$7/360)*($O$2/100)*M14</f>
        <v>27014.3117444452</v>
      </c>
      <c r="L15" s="90">
        <f>J15-K15</f>
        <v>14723.038255554799</v>
      </c>
      <c r="M15" s="79">
        <f>M14-L15</f>
        <v>957014.79427844519</v>
      </c>
      <c r="N15" s="126">
        <f>L15/M14</f>
        <v>1.5151245287179508E-2</v>
      </c>
      <c r="O15" s="52"/>
      <c r="P15" s="80">
        <f>I15</f>
        <v>39873</v>
      </c>
      <c r="Q15" s="97">
        <f ca="1">S14*N15</f>
        <v>14304.958587972169</v>
      </c>
      <c r="R15" s="98">
        <f ca="1">S14*$C$2/2</f>
        <v>23603.602075000003</v>
      </c>
      <c r="S15" s="99">
        <f ca="1">IF(P15&lt;$A$4,(VLOOKUP(P15,$A$11:$B$52,2,0)*$S$12),(S14-(Q15+R15)))</f>
        <v>903826.06099999999</v>
      </c>
      <c r="U15" s="80">
        <f>P15</f>
        <v>39873</v>
      </c>
      <c r="V15" s="97">
        <f ca="1">IF(U15&lt;$A$4,0,(YEARFRAC($A$4,U15,1)))</f>
        <v>0</v>
      </c>
      <c r="W15" s="141">
        <f ca="1">V15*(S14-S15)</f>
        <v>0</v>
      </c>
    </row>
    <row r="16" spans="1:23" ht="12.75">
      <c r="A16" s="49">
        <v>41699</v>
      </c>
      <c r="B16" s="50">
        <v>0.43580432600000002</v>
      </c>
      <c r="C16" s="52"/>
      <c r="D16" s="70" t="str">
        <f ca="1">IF(E16&lt;$A$4,"Actual","Model Num")</f>
        <v>Actual</v>
      </c>
      <c r="E16" s="71">
        <f>DATE(YEAR(E15),MONTH(E15)+6,DAY(E15))</f>
        <v>40057</v>
      </c>
      <c r="F16" s="74">
        <f>MAX(IF(ISERROR(VLOOKUP(E16,$A$12:$B$52,2,0)),VLOOKUP(E16,$P$11:$S$52,4,0)/1000000,(VLOOKUP(E16,$A$12:$B$52,2,0))),0)</f>
        <v>0.85725200800000001</v>
      </c>
      <c r="G16" s="128">
        <f>F16*1000000</f>
        <v>857252.00800000003</v>
      </c>
      <c r="H16" s="64"/>
      <c r="I16" s="80">
        <f>E16</f>
        <v>40057</v>
      </c>
      <c r="J16" s="205">
        <f>$M$12*$N$7</f>
        <v>41737.35</v>
      </c>
      <c r="K16" s="88">
        <f>($F$7/360)*($O$2/100)*M15</f>
        <v>26605.011280940773</v>
      </c>
      <c r="L16" s="90">
        <f>J16-K16</f>
        <v>15132.338719059226</v>
      </c>
      <c r="M16" s="79">
        <f>M15-L16</f>
        <v>941882.45555938594</v>
      </c>
      <c r="N16" s="126">
        <f>L16/M15</f>
        <v>1.5812021725817169E-2</v>
      </c>
      <c r="O16" s="52"/>
      <c r="P16" s="80">
        <f>I16</f>
        <v>40057</v>
      </c>
      <c r="Q16" s="97">
        <f ca="1">S15*N16</f>
        <v>14291.317312891753</v>
      </c>
      <c r="R16" s="98">
        <f ca="1">S15*$C$2/2</f>
        <v>22595.651525000001</v>
      </c>
      <c r="S16" s="99">
        <f ca="1">IF(P16&lt;$A$4,(VLOOKUP(P16,$A$11:$B$52,2,0)*$S$12),(S15-(Q16+R16)))</f>
        <v>857252.00800000003</v>
      </c>
      <c r="U16" s="80">
        <f>P16</f>
        <v>40057</v>
      </c>
      <c r="V16" s="97">
        <f ca="1">IF(U16&lt;$A$4,0,(YEARFRAC($A$4,U16,1)))</f>
        <v>0</v>
      </c>
      <c r="W16" s="141">
        <f ca="1">V16*(S15-S16)</f>
        <v>0</v>
      </c>
    </row>
    <row r="17" spans="1:23" ht="12.75">
      <c r="A17" s="49">
        <v>41518</v>
      </c>
      <c r="B17" s="50">
        <v>0.46779404499999999</v>
      </c>
      <c r="C17" s="52"/>
      <c r="D17" s="70" t="str">
        <f ca="1">IF(E17&lt;$A$4,"Actual","Model Num")</f>
        <v>Actual</v>
      </c>
      <c r="E17" s="71">
        <f>DATE(YEAR(E16),MONTH(E16)+6,DAY(E16))</f>
        <v>40238</v>
      </c>
      <c r="F17" s="74">
        <f>MAX(IF(ISERROR(VLOOKUP(E17,$A$12:$B$52,2,0)),VLOOKUP(E17,$P$11:$S$52,4,0)/1000000,(VLOOKUP(E17,$A$12:$B$52,2,0))),0)</f>
        <v>0.80569302399999998</v>
      </c>
      <c r="G17" s="128">
        <f>F17*1000000</f>
        <v>805693.02399999998</v>
      </c>
      <c r="H17" s="64"/>
      <c r="I17" s="80">
        <f>E17</f>
        <v>40238</v>
      </c>
      <c r="J17" s="205">
        <f>$M$12*$N$7</f>
        <v>41737.35</v>
      </c>
      <c r="K17" s="88">
        <f>($F$7/360)*($O$2/100)*M16</f>
        <v>26184.332264550929</v>
      </c>
      <c r="L17" s="90">
        <f>J17-K17</f>
        <v>15553.01773544907</v>
      </c>
      <c r="M17" s="79">
        <f>M16-L17</f>
        <v>926329.43782393693</v>
      </c>
      <c r="N17" s="126">
        <f>L17/M16</f>
        <v>1.6512695022238313E-2</v>
      </c>
      <c r="O17" s="52"/>
      <c r="P17" s="80">
        <f>I17</f>
        <v>40238</v>
      </c>
      <c r="Q17" s="97">
        <f ca="1">S16*N17</f>
        <v>14155.540965305399</v>
      </c>
      <c r="R17" s="98">
        <f ca="1">S16*$C$2/2</f>
        <v>21431.300200000001</v>
      </c>
      <c r="S17" s="99">
        <f ca="1">IF(P17&lt;$A$4,(VLOOKUP(P17,$A$11:$B$52,2,0)*$S$12),(S16-(Q17+R17)))</f>
        <v>805693.02399999998</v>
      </c>
      <c r="U17" s="80">
        <f>P17</f>
        <v>40238</v>
      </c>
      <c r="V17" s="97">
        <f ca="1">IF(U17&lt;$A$4,0,(YEARFRAC($A$4,U17,1)))</f>
        <v>0</v>
      </c>
      <c r="W17" s="141">
        <f ca="1">V17*(S16-S17)</f>
        <v>0</v>
      </c>
    </row>
    <row r="18" spans="1:23" ht="12.75">
      <c r="A18" s="49">
        <v>41334</v>
      </c>
      <c r="B18" s="50">
        <v>0.50228612500000003</v>
      </c>
      <c r="C18" s="52"/>
      <c r="D18" s="70" t="str">
        <f ca="1">IF(E18&lt;$A$4,"Actual","Model Num")</f>
        <v>Actual</v>
      </c>
      <c r="E18" s="71">
        <f>DATE(YEAR(E17),MONTH(E17)+6,DAY(E17))</f>
        <v>40422</v>
      </c>
      <c r="F18" s="74">
        <f>MAX(IF(ISERROR(VLOOKUP(E18,$A$12:$B$52,2,0)),VLOOKUP(E18,$P$11:$S$52,4,0)/1000000,(VLOOKUP(E18,$A$12:$B$52,2,0))),0)</f>
        <v>0.73006538799999998</v>
      </c>
      <c r="G18" s="128">
        <f>F18*1000000</f>
        <v>730065.38800000004</v>
      </c>
      <c r="H18" s="64"/>
      <c r="I18" s="80">
        <f>E18</f>
        <v>40422</v>
      </c>
      <c r="J18" s="205">
        <f>$M$12*$N$7</f>
        <v>41737.35</v>
      </c>
      <c r="K18" s="88">
        <f>($F$7/360)*($O$2/100)*M17</f>
        <v>25751.958371505443</v>
      </c>
      <c r="L18" s="90">
        <f>J18-K18</f>
        <v>15985.391628494555</v>
      </c>
      <c r="M18" s="79">
        <f>M17-L18</f>
        <v>910344.04619544232</v>
      </c>
      <c r="N18" s="126">
        <f>L18/M17</f>
        <v>1.7256702611164153E-2</v>
      </c>
      <c r="O18" s="52"/>
      <c r="P18" s="80">
        <f>I18</f>
        <v>40422</v>
      </c>
      <c r="Q18" s="97">
        <f ca="1">S17*N18</f>
        <v>13903.604911057542</v>
      </c>
      <c r="R18" s="98">
        <f ca="1">S17*$C$2/2</f>
        <v>20142.3256</v>
      </c>
      <c r="S18" s="99">
        <f ca="1">IF(P18&lt;$A$4,(VLOOKUP(P18,$A$11:$B$52,2,0)*$S$12),(S17-(Q18+R18)))</f>
        <v>730065.38800000004</v>
      </c>
      <c r="U18" s="80">
        <f>P18</f>
        <v>40422</v>
      </c>
      <c r="V18" s="97">
        <f ca="1">IF(U18&lt;$A$4,0,(YEARFRAC($A$4,U18,1)))</f>
        <v>0</v>
      </c>
      <c r="W18" s="141">
        <f ca="1">V18*(S17-S18)</f>
        <v>0</v>
      </c>
    </row>
    <row r="19" spans="1:23" ht="12.75">
      <c r="A19" s="49">
        <v>41153</v>
      </c>
      <c r="B19" s="50">
        <v>0.54674645399999999</v>
      </c>
      <c r="C19" s="52"/>
      <c r="D19" s="70" t="str">
        <f ca="1">IF(E19&lt;$A$4,"Actual","Model Num")</f>
        <v>Actual</v>
      </c>
      <c r="E19" s="71">
        <f>DATE(YEAR(E18),MONTH(E18)+6,DAY(E18))</f>
        <v>40603</v>
      </c>
      <c r="F19" s="74">
        <f>MAX(IF(ISERROR(VLOOKUP(E19,$A$12:$B$52,2,0)),VLOOKUP(E19,$P$11:$S$52,4,0)/1000000,(VLOOKUP(E19,$A$12:$B$52,2,0))),0)</f>
        <v>0.66985792899999996</v>
      </c>
      <c r="G19" s="128">
        <f>F19*1000000</f>
        <v>669857.929</v>
      </c>
      <c r="H19" s="64"/>
      <c r="I19" s="80">
        <f>E19</f>
        <v>40603</v>
      </c>
      <c r="J19" s="205">
        <f>$M$12*$N$7</f>
        <v>41737.35</v>
      </c>
      <c r="K19" s="88">
        <f>($F$7/360)*($O$2/100)*M18</f>
        <v>25307.564484233295</v>
      </c>
      <c r="L19" s="90">
        <f>J19-K19</f>
        <v>16429.785515766704</v>
      </c>
      <c r="M19" s="79">
        <f>M18-L19</f>
        <v>893914.26067967562</v>
      </c>
      <c r="N19" s="126">
        <f>L19/M18</f>
        <v>1.8047885944254733E-2</v>
      </c>
      <c r="O19" s="52"/>
      <c r="P19" s="80">
        <f>I19</f>
        <v>40603</v>
      </c>
      <c r="Q19" s="97">
        <f ca="1">S18*N19</f>
        <v>13176.136854472079</v>
      </c>
      <c r="R19" s="98">
        <f ca="1">S18*$C$2/2</f>
        <v>18251.634700000002</v>
      </c>
      <c r="S19" s="99">
        <f ca="1">IF(P19&lt;$A$4,(VLOOKUP(P19,$A$11:$B$52,2,0)*$S$12),(S18-(Q19+R19)))</f>
        <v>669857.929</v>
      </c>
      <c r="U19" s="80">
        <f>P19</f>
        <v>40603</v>
      </c>
      <c r="V19" s="97">
        <f ca="1">IF(U19&lt;$A$4,0,(YEARFRAC($A$4,U19,1)))</f>
        <v>0</v>
      </c>
      <c r="W19" s="141">
        <f ca="1">V19*(S18-S19)</f>
        <v>0</v>
      </c>
    </row>
    <row r="20" spans="1:23" ht="12.75">
      <c r="A20" s="49">
        <v>40969</v>
      </c>
      <c r="B20" s="50">
        <v>0.58594374900000001</v>
      </c>
      <c r="C20" s="52"/>
      <c r="D20" s="70" t="str">
        <f ca="1">IF(E20&lt;$A$4,"Actual","Model Num")</f>
        <v>Actual</v>
      </c>
      <c r="E20" s="71">
        <f>DATE(YEAR(E19),MONTH(E19)+6,DAY(E19))</f>
        <v>40787</v>
      </c>
      <c r="F20" s="74">
        <f>MAX(IF(ISERROR(VLOOKUP(E20,$A$12:$B$52,2,0)),VLOOKUP(E20,$P$11:$S$52,4,0)/1000000,(VLOOKUP(E20,$A$12:$B$52,2,0))),0)</f>
        <v>0.63235261600000003</v>
      </c>
      <c r="G20" s="128">
        <f>F20*1000000</f>
        <v>632352.61600000004</v>
      </c>
      <c r="H20" s="64"/>
      <c r="I20" s="80">
        <f>E20</f>
        <v>40787</v>
      </c>
      <c r="J20" s="205">
        <f>$M$12*$N$7</f>
        <v>41737.35</v>
      </c>
      <c r="K20" s="88">
        <f>($F$7/360)*($O$2/100)*M19</f>
        <v>24850.81644689498</v>
      </c>
      <c r="L20" s="90">
        <f>J20-K20</f>
        <v>16886.533553105019</v>
      </c>
      <c r="M20" s="79">
        <f>M19-L20</f>
        <v>877027.72712657065</v>
      </c>
      <c r="N20" s="126">
        <f>L20/M19</f>
        <v>1.8890551695937337E-2</v>
      </c>
      <c r="O20" s="52"/>
      <c r="P20" s="80">
        <f>I20</f>
        <v>40787</v>
      </c>
      <c r="Q20" s="97">
        <f ca="1">S19*N20</f>
        <v>12653.985836708023</v>
      </c>
      <c r="R20" s="98">
        <f ca="1">S19*$C$2/2</f>
        <v>16746.448225</v>
      </c>
      <c r="S20" s="99">
        <f ca="1">IF(P20&lt;$A$4,(VLOOKUP(P20,$A$11:$B$52,2,0)*$S$12),(S19-(Q20+R20)))</f>
        <v>632352.61600000004</v>
      </c>
      <c r="U20" s="80">
        <f>P20</f>
        <v>40787</v>
      </c>
      <c r="V20" s="97">
        <f ca="1">IF(U20&lt;$A$4,0,(YEARFRAC($A$4,U20,1)))</f>
        <v>0</v>
      </c>
      <c r="W20" s="141">
        <f ca="1">V20*(S19-S20)</f>
        <v>0</v>
      </c>
    </row>
    <row r="21" spans="1:23" ht="12.75">
      <c r="A21" s="49">
        <v>40787</v>
      </c>
      <c r="B21" s="50">
        <v>0.63235261600000003</v>
      </c>
      <c r="C21" s="52"/>
      <c r="D21" s="70" t="str">
        <f ca="1">IF(E21&lt;$A$4,"Actual","Model Num")</f>
        <v>Actual</v>
      </c>
      <c r="E21" s="71">
        <f>DATE(YEAR(E20),MONTH(E20)+6,DAY(E20))</f>
        <v>40969</v>
      </c>
      <c r="F21" s="74">
        <f>MAX(IF(ISERROR(VLOOKUP(E21,$A$12:$B$52,2,0)),VLOOKUP(E21,$P$11:$S$52,4,0)/1000000,(VLOOKUP(E21,$A$12:$B$52,2,0))),0)</f>
        <v>0.58594374900000001</v>
      </c>
      <c r="G21" s="128">
        <f>F21*1000000</f>
        <v>585943.74900000007</v>
      </c>
      <c r="H21" s="64"/>
      <c r="I21" s="80">
        <f>E21</f>
        <v>40969</v>
      </c>
      <c r="J21" s="205">
        <f>$M$12*$N$7</f>
        <v>41737.35</v>
      </c>
      <c r="K21" s="88">
        <f>($F$7/360)*($O$2/100)*M20</f>
        <v>24381.370814118662</v>
      </c>
      <c r="L21" s="90">
        <f>J21-K21</f>
        <v>17355.979185881337</v>
      </c>
      <c r="M21" s="79">
        <f>M20-L21</f>
        <v>859671.74794068933</v>
      </c>
      <c r="N21" s="126">
        <f>L21/M20</f>
        <v>1.9789544445470608E-2</v>
      </c>
      <c r="O21" s="52"/>
      <c r="P21" s="80">
        <f>I21</f>
        <v>40969</v>
      </c>
      <c r="Q21" s="97">
        <f ca="1">S20*N21</f>
        <v>12513.970199541609</v>
      </c>
      <c r="R21" s="98">
        <f ca="1">S20*$C$2/2</f>
        <v>15808.815400000001</v>
      </c>
      <c r="S21" s="99">
        <f ca="1">IF(P21&lt;$A$4,(VLOOKUP(P21,$A$11:$B$52,2,0)*$S$12),(S20-(Q21+R21)))</f>
        <v>585943.74900000007</v>
      </c>
      <c r="U21" s="80">
        <f>P21</f>
        <v>40969</v>
      </c>
      <c r="V21" s="97">
        <f ca="1">IF(U21&lt;$A$4,0,(YEARFRAC($A$4,U21,1)))</f>
        <v>0</v>
      </c>
      <c r="W21" s="141">
        <f ca="1">V21*(S20-S21)</f>
        <v>0</v>
      </c>
    </row>
    <row r="22" spans="1:23" ht="12.75">
      <c r="A22" s="49">
        <v>40603</v>
      </c>
      <c r="B22" s="50">
        <v>0.66985792899999996</v>
      </c>
      <c r="C22" s="52"/>
      <c r="D22" s="70" t="str">
        <f ca="1">IF(E22&lt;$A$4,"Actual","Model Num")</f>
        <v>Actual</v>
      </c>
      <c r="E22" s="71">
        <f>DATE(YEAR(E21),MONTH(E21)+6,DAY(E21))</f>
        <v>41153</v>
      </c>
      <c r="F22" s="74">
        <f>MAX(IF(ISERROR(VLOOKUP(E22,$A$12:$B$52,2,0)),VLOOKUP(E22,$P$11:$S$52,4,0)/1000000,(VLOOKUP(E22,$A$12:$B$52,2,0))),0)</f>
        <v>0.54674645399999999</v>
      </c>
      <c r="G22" s="128">
        <f>F22*1000000</f>
        <v>546746.45400000003</v>
      </c>
      <c r="H22" s="64"/>
      <c r="I22" s="80">
        <f>E22</f>
        <v>41153</v>
      </c>
      <c r="J22" s="205">
        <f>$M$12*$N$7</f>
        <v>41737.35</v>
      </c>
      <c r="K22" s="88">
        <f>($F$7/360)*($O$2/100)*M21</f>
        <v>23898.874592751163</v>
      </c>
      <c r="L22" s="90">
        <f>J22-K22</f>
        <v>17838.475407248836</v>
      </c>
      <c r="M22" s="79">
        <f>M21-L22</f>
        <v>841833.2725334405</v>
      </c>
      <c r="N22" s="126">
        <f>L22/M21</f>
        <v>2.0750333426659908E-2</v>
      </c>
      <c r="O22" s="52"/>
      <c r="P22" s="80">
        <f>I22</f>
        <v>41153</v>
      </c>
      <c r="Q22" s="97">
        <f ca="1">S21*N22</f>
        <v>12158.528161017124</v>
      </c>
      <c r="R22" s="98">
        <f ca="1">S21*$C$2/2</f>
        <v>14648.593725000002</v>
      </c>
      <c r="S22" s="99">
        <f ca="1">IF(P22&lt;$A$4,(VLOOKUP(P22,$A$11:$B$52,2,0)*$S$12),(S21-(Q22+R22)))</f>
        <v>546746.45400000003</v>
      </c>
      <c r="U22" s="80">
        <f>P22</f>
        <v>41153</v>
      </c>
      <c r="V22" s="97">
        <f ca="1">IF(U22&lt;$A$4,0,(YEARFRAC($A$4,U22,1)))</f>
        <v>0</v>
      </c>
      <c r="W22" s="141">
        <f ca="1">V22*(S21-S22)</f>
        <v>0</v>
      </c>
    </row>
    <row r="23" spans="1:23" ht="12.75">
      <c r="A23" s="49">
        <v>40422</v>
      </c>
      <c r="B23" s="50">
        <v>0.73006538799999998</v>
      </c>
      <c r="C23" s="52"/>
      <c r="D23" s="70" t="str">
        <f ca="1">IF(E23&lt;$A$4,"Actual","Model Num")</f>
        <v>Actual</v>
      </c>
      <c r="E23" s="71">
        <f>DATE(YEAR(E22),MONTH(E22)+6,DAY(E22))</f>
        <v>41334</v>
      </c>
      <c r="F23" s="74">
        <f>MAX(IF(ISERROR(VLOOKUP(E23,$A$12:$B$52,2,0)),VLOOKUP(E23,$P$11:$S$52,4,0)/1000000,(VLOOKUP(E23,$A$12:$B$52,2,0))),0)</f>
        <v>0.50228612500000003</v>
      </c>
      <c r="G23" s="128">
        <f>F23*1000000</f>
        <v>502286.125</v>
      </c>
      <c r="H23" s="64"/>
      <c r="I23" s="80">
        <f>E23</f>
        <v>41334</v>
      </c>
      <c r="J23" s="205">
        <f>$M$12*$N$7</f>
        <v>41737.35</v>
      </c>
      <c r="K23" s="88">
        <f>($F$7/360)*($O$2/100)*M22</f>
        <v>23402.964976429645</v>
      </c>
      <c r="L23" s="90">
        <f>J23-K23</f>
        <v>18334.385023570354</v>
      </c>
      <c r="M23" s="79">
        <f>M22-L23</f>
        <v>823498.88750987011</v>
      </c>
      <c r="N23" s="126">
        <f>L23/M22</f>
        <v>2.1779116627683601E-2</v>
      </c>
      <c r="O23" s="52"/>
      <c r="P23" s="80">
        <f>I23</f>
        <v>41334</v>
      </c>
      <c r="Q23" s="97">
        <f ca="1">S22*N23</f>
        <v>11907.654787438447</v>
      </c>
      <c r="R23" s="98">
        <f ca="1">S22*$C$2/2</f>
        <v>13668.661350000002</v>
      </c>
      <c r="S23" s="99">
        <f ca="1">IF(P23&lt;$A$4,(VLOOKUP(P23,$A$11:$B$52,2,0)*$S$12),(S22-(Q23+R23)))</f>
        <v>502286.125</v>
      </c>
      <c r="U23" s="80">
        <f>P23</f>
        <v>41334</v>
      </c>
      <c r="V23" s="97">
        <f ca="1">IF(U23&lt;$A$4,0,(YEARFRAC($A$4,U23,1)))</f>
        <v>0</v>
      </c>
      <c r="W23" s="141">
        <f ca="1">V23*(S22-S23)</f>
        <v>0</v>
      </c>
    </row>
    <row r="24" spans="1:23" ht="12.75">
      <c r="A24" s="49">
        <v>40238</v>
      </c>
      <c r="B24" s="50">
        <v>0.80569302399999998</v>
      </c>
      <c r="C24" s="52"/>
      <c r="D24" s="70" t="str">
        <f ca="1">IF(E24&lt;$A$4,"Actual","Model Num")</f>
        <v>Actual</v>
      </c>
      <c r="E24" s="71">
        <f>DATE(YEAR(E23),MONTH(E23)+6,DAY(E23))</f>
        <v>41518</v>
      </c>
      <c r="F24" s="74">
        <f>MAX(IF(ISERROR(VLOOKUP(E24,$A$12:$B$52,2,0)),VLOOKUP(E24,$P$11:$S$52,4,0)/1000000,(VLOOKUP(E24,$A$12:$B$52,2,0))),0)</f>
        <v>0.46779404499999999</v>
      </c>
      <c r="G24" s="128">
        <f>F24*1000000</f>
        <v>467794.04499999998</v>
      </c>
      <c r="H24" s="64"/>
      <c r="I24" s="80">
        <f>E24</f>
        <v>41518</v>
      </c>
      <c r="J24" s="205">
        <f>$M$12*$N$7</f>
        <v>41737.35</v>
      </c>
      <c r="K24" s="88">
        <f>($F$7/360)*($O$2/100)*M23</f>
        <v>22893.269072774387</v>
      </c>
      <c r="L24" s="90">
        <f>J24-K24</f>
        <v>18844.080927225612</v>
      </c>
      <c r="M24" s="79">
        <f>M23-L24</f>
        <v>804654.80658264447</v>
      </c>
      <c r="N24" s="126">
        <f>L24/M23</f>
        <v>2.2882946428995334E-2</v>
      </c>
      <c r="O24" s="52"/>
      <c r="P24" s="80">
        <f>I24</f>
        <v>41518</v>
      </c>
      <c r="Q24" s="97">
        <f ca="1">S23*N24</f>
        <v>11493.786490402654</v>
      </c>
      <c r="R24" s="98">
        <f ca="1">S23*$C$2/2</f>
        <v>12557.153125000001</v>
      </c>
      <c r="S24" s="99">
        <f ca="1">IF(P24&lt;$A$4,(VLOOKUP(P24,$A$11:$B$52,2,0)*$S$12),(S23-(Q24+R24)))</f>
        <v>467794.04499999998</v>
      </c>
      <c r="U24" s="80">
        <f>P24</f>
        <v>41518</v>
      </c>
      <c r="V24" s="97">
        <f ca="1">IF(U24&lt;$A$4,0,(YEARFRAC($A$4,U24,1)))</f>
        <v>0</v>
      </c>
      <c r="W24" s="141">
        <f ca="1">V24*(S23-S24)</f>
        <v>0</v>
      </c>
    </row>
    <row r="25" spans="1:23" ht="12.75">
      <c r="A25" s="49">
        <v>40057</v>
      </c>
      <c r="B25" s="50">
        <v>0.85725200800000001</v>
      </c>
      <c r="C25" s="52"/>
      <c r="D25" s="70" t="str">
        <f ca="1">IF(E25&lt;$A$4,"Actual","Model Num")</f>
        <v>Actual</v>
      </c>
      <c r="E25" s="71">
        <f>DATE(YEAR(E24),MONTH(E24)+6,DAY(E24))</f>
        <v>41699</v>
      </c>
      <c r="F25" s="74">
        <f>MAX(IF(ISERROR(VLOOKUP(E25,$A$12:$B$52,2,0)),VLOOKUP(E25,$P$11:$S$52,4,0)/1000000,(VLOOKUP(E25,$A$12:$B$52,2,0))),0)</f>
        <v>0.43580432600000002</v>
      </c>
      <c r="G25" s="128">
        <f>F25*1000000</f>
        <v>435804.326</v>
      </c>
      <c r="H25" s="64"/>
      <c r="I25" s="80">
        <f>E25</f>
        <v>41699</v>
      </c>
      <c r="J25" s="205">
        <f>$M$12*$N$7</f>
        <v>41737.35</v>
      </c>
      <c r="K25" s="88">
        <f>($F$7/360)*($O$2/100)*M24</f>
        <v>22369.403622997514</v>
      </c>
      <c r="L25" s="90">
        <f>J25-K25</f>
        <v>19367.946377002485</v>
      </c>
      <c r="M25" s="79">
        <f>M24-L25</f>
        <v>785286.86020564195</v>
      </c>
      <c r="N25" s="126">
        <f>L25/M24</f>
        <v>2.4069882163828524E-2</v>
      </c>
      <c r="O25" s="52"/>
      <c r="P25" s="80">
        <f>I25</f>
        <v>41699</v>
      </c>
      <c r="Q25" s="97">
        <f ca="1">S24*N25</f>
        <v>11259.747540090697</v>
      </c>
      <c r="R25" s="98">
        <f ca="1">S24*$C$2/2</f>
        <v>11694.851125000001</v>
      </c>
      <c r="S25" s="99">
        <f ca="1">IF(P25&lt;$A$4,(VLOOKUP(P25,$A$11:$B$52,2,0)*$S$12),(S24-(Q25+R25)))</f>
        <v>435804.326</v>
      </c>
      <c r="U25" s="80">
        <f>P25</f>
        <v>41699</v>
      </c>
      <c r="V25" s="97">
        <f ca="1">IF(U25&lt;$A$4,0,(YEARFRAC($A$4,U25,1)))</f>
        <v>0</v>
      </c>
      <c r="W25" s="141">
        <f ca="1">V25*(S24-S25)</f>
        <v>0</v>
      </c>
    </row>
    <row r="26" spans="1:23" ht="12.75">
      <c r="A26" s="49">
        <v>39873</v>
      </c>
      <c r="B26" s="50">
        <v>0.90382606099999996</v>
      </c>
      <c r="C26" s="52"/>
      <c r="D26" s="70" t="str">
        <f ca="1">IF(E26&lt;$A$4,"Actual","Model Num")</f>
        <v>Actual</v>
      </c>
      <c r="E26" s="71">
        <f>DATE(YEAR(E25),MONTH(E25)+6,DAY(E25))</f>
        <v>41883</v>
      </c>
      <c r="F26" s="74">
        <f>MAX(IF(ISERROR(VLOOKUP(E26,$A$12:$B$52,2,0)),VLOOKUP(E26,$P$11:$S$52,4,0)/1000000,(VLOOKUP(E26,$A$12:$B$52,2,0))),0)</f>
        <v>0.40815416599999998</v>
      </c>
      <c r="G26" s="128">
        <f>F26*1000000</f>
        <v>408154.16599999997</v>
      </c>
      <c r="H26" s="64"/>
      <c r="I26" s="80">
        <f>E26</f>
        <v>41883</v>
      </c>
      <c r="J26" s="205">
        <f>$M$12*$N$7</f>
        <v>41737.35</v>
      </c>
      <c r="K26" s="88">
        <f>($F$7/360)*($O$2/100)*M25</f>
        <v>21830.974713716845</v>
      </c>
      <c r="L26" s="90">
        <f>J26-K26</f>
        <v>19906.375286283153</v>
      </c>
      <c r="M26" s="79">
        <f>M25-L26</f>
        <v>765380.48491935874</v>
      </c>
      <c r="N26" s="126">
        <f>L26/M25</f>
        <v>2.5349176581243572E-2</v>
      </c>
      <c r="O26" s="52"/>
      <c r="P26" s="80">
        <f>I26</f>
        <v>41883</v>
      </c>
      <c r="Q26" s="97">
        <f ca="1">S25*N26</f>
        <v>11047.280814643838</v>
      </c>
      <c r="R26" s="98">
        <f ca="1">S25*$C$2/2</f>
        <v>10895.10815</v>
      </c>
      <c r="S26" s="99">
        <f ca="1">IF(P26&lt;$A$4,(VLOOKUP(P26,$A$11:$B$52,2,0)*$S$12),(S25-(Q26+R26)))</f>
        <v>408154.16599999997</v>
      </c>
      <c r="U26" s="80">
        <f>P26</f>
        <v>41883</v>
      </c>
      <c r="V26" s="97">
        <f ca="1">IF(U26&lt;$A$4,0,(YEARFRAC($A$4,U26,1)))</f>
        <v>0</v>
      </c>
      <c r="W26" s="141">
        <f ca="1">V26*(S25-S26)</f>
        <v>0</v>
      </c>
    </row>
    <row r="27" spans="1:23" ht="12.75">
      <c r="A27" s="49">
        <v>39692</v>
      </c>
      <c r="B27" s="50">
        <v>0.94414408299999997</v>
      </c>
      <c r="C27" s="52"/>
      <c r="D27" s="70" t="str">
        <f ca="1">IF(E27&lt;$A$4,"Actual","Model Num")</f>
        <v>Actual</v>
      </c>
      <c r="E27" s="71">
        <f>DATE(YEAR(E26),MONTH(E26)+6,DAY(E26))</f>
        <v>42064</v>
      </c>
      <c r="F27" s="74">
        <f>MAX(IF(ISERROR(VLOOKUP(E27,$A$12:$B$52,2,0)),VLOOKUP(E27,$P$11:$S$52,4,0)/1000000,(VLOOKUP(E27,$A$12:$B$52,2,0))),0)</f>
        <v>0.36966890299999999</v>
      </c>
      <c r="G27" s="128">
        <f>F27*1000000</f>
        <v>369668.90299999999</v>
      </c>
      <c r="H27" s="64"/>
      <c r="I27" s="80">
        <f>E27</f>
        <v>42064</v>
      </c>
      <c r="J27" s="205">
        <f>$M$12*$N$7</f>
        <v>41737.35</v>
      </c>
      <c r="K27" s="88">
        <f>($F$7/360)*($O$2/100)*M26</f>
        <v>21277.577480758173</v>
      </c>
      <c r="L27" s="90">
        <f>J27-K27</f>
        <v>20459.772519241826</v>
      </c>
      <c r="M27" s="79">
        <f>M26-L27</f>
        <v>744920.71240011696</v>
      </c>
      <c r="N27" s="126">
        <f>L27/M26</f>
        <v>2.6731505339331309E-2</v>
      </c>
      <c r="O27" s="52"/>
      <c r="P27" s="80">
        <f>I27</f>
        <v>42064</v>
      </c>
      <c r="Q27" s="97">
        <f ca="1">S26*N27</f>
        <v>10910.575267699316</v>
      </c>
      <c r="R27" s="98">
        <f ca="1">S26*$C$2/2</f>
        <v>10203.854149999999</v>
      </c>
      <c r="S27" s="99">
        <f ca="1">IF(P27&lt;$A$4,(VLOOKUP(P27,$A$11:$B$52,2,0)*$S$12),(S26-(Q27+R27)))</f>
        <v>369668.90299999999</v>
      </c>
      <c r="U27" s="80">
        <f>P27</f>
        <v>42064</v>
      </c>
      <c r="V27" s="97">
        <f ca="1">IF(U27&lt;$A$4,0,(YEARFRAC($A$4,U27,1)))</f>
        <v>0</v>
      </c>
      <c r="W27" s="141">
        <f ca="1">V27*(S26-S27)</f>
        <v>0</v>
      </c>
    </row>
    <row r="28" spans="1:23" ht="12.75">
      <c r="A28" s="49">
        <v>39508</v>
      </c>
      <c r="B28" s="50">
        <v>0.97517777000000005</v>
      </c>
      <c r="C28" s="52"/>
      <c r="D28" s="70" t="str">
        <f ca="1">IF(E28&lt;$A$4,"Actual","Model Num")</f>
        <v>Actual</v>
      </c>
      <c r="E28" s="71">
        <f>DATE(YEAR(E27),MONTH(E27)+6,DAY(E27))</f>
        <v>42248</v>
      </c>
      <c r="F28" s="74">
        <f>MAX(IF(ISERROR(VLOOKUP(E28,$A$12:$B$52,2,0)),VLOOKUP(E28,$P$11:$S$52,4,0)/1000000,(VLOOKUP(E28,$A$12:$B$52,2,0))),0)</f>
        <v>0.31763367799999997</v>
      </c>
      <c r="G28" s="128">
        <f>F28*1000000</f>
        <v>317633.67799999996</v>
      </c>
      <c r="H28" s="64"/>
      <c r="I28" s="80">
        <f>E28</f>
        <v>42248</v>
      </c>
      <c r="J28" s="205">
        <f>$M$12*$N$7</f>
        <v>41737.35</v>
      </c>
      <c r="K28" s="88">
        <f>($F$7/360)*($O$2/100)*M27</f>
        <v>20708.79580472325</v>
      </c>
      <c r="L28" s="90">
        <f>J28-K28</f>
        <v>21028.554195276749</v>
      </c>
      <c r="M28" s="79">
        <f>M27-L28</f>
        <v>723892.15820484026</v>
      </c>
      <c r="N28" s="126">
        <f>L28/M27</f>
        <v>2.8229251577021188E-2</v>
      </c>
      <c r="O28" s="52"/>
      <c r="P28" s="80">
        <f>I28</f>
        <v>42248</v>
      </c>
      <c r="Q28" s="97">
        <f ca="1">S27*N28</f>
        <v>10435.476462988443</v>
      </c>
      <c r="R28" s="98">
        <f ca="1">S27*$C$2/2</f>
        <v>9241.7225749999998</v>
      </c>
      <c r="S28" s="99">
        <f ca="1">IF(P28&lt;$A$4,(VLOOKUP(P28,$A$11:$B$52,2,0)*$S$12),(S27-(Q28+R28)))</f>
        <v>317633.67799999996</v>
      </c>
      <c r="U28" s="80">
        <f>P28</f>
        <v>42248</v>
      </c>
      <c r="V28" s="97">
        <f ca="1">IF(U28&lt;$A$4,0,(YEARFRAC($A$4,U28,1)))</f>
        <v>0</v>
      </c>
      <c r="W28" s="141">
        <f ca="1">V28*(S27-S28)</f>
        <v>0</v>
      </c>
    </row>
    <row r="29" spans="1:23" ht="12.75">
      <c r="A29" s="49">
        <v>39337</v>
      </c>
      <c r="B29" s="50">
        <v>1</v>
      </c>
      <c r="C29" s="52"/>
      <c r="D29" s="70" t="str">
        <f ca="1">IF(E29&lt;$A$4,"Actual","Model Num")</f>
        <v>Actual</v>
      </c>
      <c r="E29" s="71">
        <f>DATE(YEAR(E28),MONTH(E28)+6,DAY(E28))</f>
        <v>42430</v>
      </c>
      <c r="F29" s="74">
        <f>MAX(IF(ISERROR(VLOOKUP(E29,$A$12:$B$52,2,0)),VLOOKUP(E29,$P$11:$S$52,4,0)/1000000,(VLOOKUP(E29,$A$12:$B$52,2,0))),0)</f>
        <v>0.26835568300000001</v>
      </c>
      <c r="G29" s="128">
        <f>F29*1000000</f>
        <v>268355.68300000002</v>
      </c>
      <c r="H29" s="64"/>
      <c r="I29" s="80">
        <f>E29</f>
        <v>42430</v>
      </c>
      <c r="J29" s="205">
        <f>$M$12*$N$7</f>
        <v>41737.35</v>
      </c>
      <c r="K29" s="88">
        <f>($F$7/360)*($O$2/100)*M28</f>
        <v>20124.201998094559</v>
      </c>
      <c r="L29" s="90">
        <f>J29-K29</f>
        <v>21613.14800190544</v>
      </c>
      <c r="M29" s="79">
        <f>M28-L29</f>
        <v>702279.01020293485</v>
      </c>
      <c r="N29" s="126">
        <f>L29/M28</f>
        <v>2.9856861629090271E-2</v>
      </c>
      <c r="O29" s="52"/>
      <c r="P29" s="80">
        <f>I29</f>
        <v>42430</v>
      </c>
      <c r="Q29" s="97">
        <f ca="1">S28*N29</f>
        <v>9483.5447727850133</v>
      </c>
      <c r="R29" s="98">
        <f ca="1">S28*$C$2/2</f>
        <v>7940.8419499999991</v>
      </c>
      <c r="S29" s="99">
        <f ca="1">IF(P29&lt;$A$4,(VLOOKUP(P29,$A$11:$B$52,2,0)*$S$12),(S28-(Q29+R29)))</f>
        <v>268355.68300000002</v>
      </c>
      <c r="U29" s="80">
        <f>P29</f>
        <v>42430</v>
      </c>
      <c r="V29" s="97">
        <f ca="1">IF(U29&lt;$A$4,0,(YEARFRAC($A$4,U29,1)))</f>
        <v>0</v>
      </c>
      <c r="W29" s="141">
        <f ca="1">V29*(S28-S29)</f>
        <v>0</v>
      </c>
    </row>
    <row r="30" spans="1:23" ht="12.75">
      <c r="A30" s="49"/>
      <c r="B30" s="50"/>
      <c r="C30" s="52"/>
      <c r="D30" s="70" t="str">
        <f ca="1">IF(E30&lt;$A$4,"Actual","Model Num")</f>
        <v>Model Num</v>
      </c>
      <c r="E30" s="71">
        <f>DATE(YEAR(E29),MONTH(E29)+6,DAY(E29))</f>
        <v>42614</v>
      </c>
      <c r="F30" s="74">
        <f ca="1">MAX(IF(ISERROR(VLOOKUP(E30,$A$12:$B$52,2,0)),VLOOKUP(E30,$P$11:$S$52,4,0)/1000000,(VLOOKUP(E30,$A$12:$B$52,2,0))),0)</f>
        <v>0.25315835354379829</v>
      </c>
      <c r="G30" s="128">
        <f ca="1">F30*1000000</f>
        <v>253158.35354379829</v>
      </c>
      <c r="H30" s="64"/>
      <c r="I30" s="80">
        <f>E30</f>
        <v>42614</v>
      </c>
      <c r="J30" s="205">
        <f>$M$12*$N$7</f>
        <v>41737.35</v>
      </c>
      <c r="K30" s="88">
        <f>($F$7/360)*($O$2/100)*M29</f>
        <v>19523.356483641586</v>
      </c>
      <c r="L30" s="90">
        <f>J30-K30</f>
        <v>22213.993516358412</v>
      </c>
      <c r="M30" s="79">
        <f>M29-L30</f>
        <v>680065.01668657642</v>
      </c>
      <c r="N30" s="126">
        <f>L30/M29</f>
        <v>3.1631293536651936E-2</v>
      </c>
      <c r="O30" s="52"/>
      <c r="P30" s="80">
        <f>I30</f>
        <v>42614</v>
      </c>
      <c r="Q30" s="97">
        <f ca="1">S29*N30</f>
        <v>8488.4373812017166</v>
      </c>
      <c r="R30" s="98">
        <f ca="1">S29*$C$2/2</f>
        <v>6708.8920750000007</v>
      </c>
      <c r="S30" s="99">
        <f ca="1">IF(P30&lt;$A$4,(VLOOKUP(P30,$A$11:$B$52,2,0)*$S$12),(S29-(Q30+R30)))</f>
        <v>253158.35354379829</v>
      </c>
      <c r="U30" s="80">
        <f>P30</f>
        <v>42614</v>
      </c>
      <c r="V30" s="97">
        <f ca="1">IF(U30&lt;$A$4,0,(YEARFRAC($A$4,U30,1)))</f>
        <v>0.39890710382513661</v>
      </c>
      <c r="W30" s="141">
        <f ca="1">V30*(S29-S30)</f>
        <v>6062.322679249869</v>
      </c>
    </row>
    <row r="31" spans="1:23" ht="12.75">
      <c r="A31" s="49"/>
      <c r="B31" s="50"/>
      <c r="C31" s="52"/>
      <c r="D31" s="70" t="str">
        <f ca="1">IF(E31&lt;$A$4,"Actual","Model Num")</f>
        <v>Model Num</v>
      </c>
      <c r="E31" s="71">
        <f>DATE(YEAR(E30),MONTH(E30)+6,DAY(E30))</f>
        <v>42795</v>
      </c>
      <c r="F31" s="74">
        <f ca="1">MAX(IF(ISERROR(VLOOKUP(E31,$A$12:$B$52,2,0)),VLOOKUP(E31,$P$11:$S$52,4,0)/1000000,(VLOOKUP(E31,$A$12:$B$52,2,0))),0)</f>
        <v>0.23833021363356258</v>
      </c>
      <c r="G31" s="128">
        <f ca="1">F31*1000000</f>
        <v>238330.21363356258</v>
      </c>
      <c r="H31" s="64"/>
      <c r="I31" s="80">
        <f>E31</f>
        <v>42795</v>
      </c>
      <c r="J31" s="205">
        <f>$M$12*$N$7</f>
        <v>41737.35</v>
      </c>
      <c r="K31" s="88">
        <f>($F$7/360)*($O$2/100)*M30</f>
        <v>18905.807463886824</v>
      </c>
      <c r="L31" s="90">
        <f>J31-K31</f>
        <v>22831.542536113175</v>
      </c>
      <c r="M31" s="79">
        <f>M30-L31</f>
        <v>657233.47415046324</v>
      </c>
      <c r="N31" s="126">
        <f>L31/M30</f>
        <v>3.3572587878955132E-2</v>
      </c>
      <c r="O31" s="52"/>
      <c r="P31" s="80">
        <f>I31</f>
        <v>42795</v>
      </c>
      <c r="Q31" s="97">
        <f ca="1">S30*N31</f>
        <v>8499.1810716407599</v>
      </c>
      <c r="R31" s="98">
        <f ca="1">S30*$C$2/2</f>
        <v>6328.9588385949573</v>
      </c>
      <c r="S31" s="99">
        <f ca="1">IF(P31&lt;$A$4,(VLOOKUP(P31,$A$11:$B$52,2,0)*$S$12),(S30-(Q31+R31)))</f>
        <v>238330.21363356258</v>
      </c>
      <c r="U31" s="80">
        <f>P31</f>
        <v>42795</v>
      </c>
      <c r="V31" s="97">
        <f ca="1">IF(U31&lt;$A$4,0,(YEARFRAC($A$4,U31,1)))</f>
        <v>0.89589041095890409</v>
      </c>
      <c r="W31" s="141">
        <f ca="1">V31*(S30-S31)</f>
        <v>13284.388357937198</v>
      </c>
    </row>
    <row r="32" spans="1:23" ht="12.75">
      <c r="A32" s="49"/>
      <c r="B32" s="50"/>
      <c r="C32" s="52"/>
      <c r="D32" s="70" t="str">
        <f ca="1">IF(E32&lt;$A$4,"Actual","Model Num")</f>
        <v>Model Num</v>
      </c>
      <c r="E32" s="71">
        <f>DATE(YEAR(E31),MONTH(E31)+6,DAY(E31))</f>
        <v>42979</v>
      </c>
      <c r="F32" s="74">
        <f ca="1">MAX(IF(ISERROR(VLOOKUP(E32,$A$12:$B$52,2,0)),VLOOKUP(E32,$P$11:$S$52,4,0)/1000000,(VLOOKUP(E32,$A$12:$B$52,2,0))),0)</f>
        <v>0.22386247294180048</v>
      </c>
      <c r="G32" s="128">
        <f ca="1">F32*1000000</f>
        <v>223862.47294180049</v>
      </c>
      <c r="H32" s="64"/>
      <c r="I32" s="80">
        <f>E32</f>
        <v>42979</v>
      </c>
      <c r="J32" s="205">
        <f>$M$12*$N$7</f>
        <v>41737.35</v>
      </c>
      <c r="K32" s="88">
        <f>($F$7/360)*($O$2/100)*M31</f>
        <v>18271.090581382876</v>
      </c>
      <c r="L32" s="90">
        <f>J32-K32</f>
        <v>23466.259418617123</v>
      </c>
      <c r="M32" s="79">
        <f>M31-L32</f>
        <v>633767.21473184612</v>
      </c>
      <c r="N32" s="126">
        <f>L32/M31</f>
        <v>3.5704601700254988E-2</v>
      </c>
      <c r="O32" s="52"/>
      <c r="P32" s="80">
        <f>I32</f>
        <v>42979</v>
      </c>
      <c r="Q32" s="97">
        <f ca="1">S31*N32</f>
        <v>8509.4853509230325</v>
      </c>
      <c r="R32" s="98">
        <f ca="1">S31*$C$2/2</f>
        <v>5958.255340839065</v>
      </c>
      <c r="S32" s="99">
        <f ca="1">IF(P32&lt;$A$4,(VLOOKUP(P32,$A$11:$B$52,2,0)*$S$12),(S31-(Q32+R32)))</f>
        <v>223862.47294180049</v>
      </c>
      <c r="U32" s="80">
        <f>P32</f>
        <v>42979</v>
      </c>
      <c r="V32" s="97">
        <f ca="1">IF(U32&lt;$A$4,0,(YEARFRAC($A$4,U32,1)))</f>
        <v>1.3980848153214773</v>
      </c>
      <c r="W32" s="141">
        <f ca="1">V32*(S31-S32)</f>
        <v>20227.128573161233</v>
      </c>
    </row>
    <row r="33" spans="1:23" ht="12.75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43160</v>
      </c>
      <c r="F33" s="74">
        <f ca="1">MAX(IF(ISERROR(VLOOKUP(E33,$A$12:$B$52,2,0)),VLOOKUP(E33,$P$11:$S$52,4,0)/1000000,(VLOOKUP(E33,$A$12:$B$52,2,0))),0)</f>
        <v>0.20974660921707841</v>
      </c>
      <c r="G33" s="128">
        <f ca="1">F33*1000000</f>
        <v>209746.60921707842</v>
      </c>
      <c r="H33" s="64"/>
      <c r="I33" s="80">
        <f>E33</f>
        <v>43160</v>
      </c>
      <c r="J33" s="205">
        <f>$M$12*$N$7</f>
        <v>41737.35</v>
      </c>
      <c r="K33" s="88">
        <f>($F$7/360)*($O$2/100)*M32</f>
        <v>17618.728569545321</v>
      </c>
      <c r="L33" s="90">
        <f>J33-K33</f>
        <v>24118.621430454677</v>
      </c>
      <c r="M33" s="79">
        <f>M32-L33</f>
        <v>609648.59330139146</v>
      </c>
      <c r="N33" s="126">
        <f>L33/M32</f>
        <v>3.8055962615010833E-2</v>
      </c>
      <c r="O33" s="52"/>
      <c r="P33" s="80">
        <f>I33</f>
        <v>43160</v>
      </c>
      <c r="Q33" s="97">
        <f ca="1">S32*N33</f>
        <v>8519.3019011770339</v>
      </c>
      <c r="R33" s="98">
        <f ca="1">S32*$C$2/2</f>
        <v>5596.5618235450129</v>
      </c>
      <c r="S33" s="99">
        <f ca="1">IF(P33&lt;$A$4,(VLOOKUP(P33,$A$11:$B$52,2,0)*$S$12),(S32-(Q33+R33)))</f>
        <v>209746.60921707842</v>
      </c>
      <c r="U33" s="80">
        <f>P33</f>
        <v>43160</v>
      </c>
      <c r="V33" s="97">
        <f ca="1">IF(U33&lt;$A$4,0,(YEARFRAC($A$4,U33,1)))</f>
        <v>1.894160583941606</v>
      </c>
      <c r="W33" s="141">
        <f ca="1">V33*(S32-S33)</f>
        <v>26737.712675659674</v>
      </c>
    </row>
    <row r="34" spans="1:23" ht="12.75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43344</v>
      </c>
      <c r="F34" s="74">
        <f ca="1">MAX(IF(ISERROR(VLOOKUP(E34,$A$12:$B$52,2,0)),VLOOKUP(E34,$P$11:$S$52,4,0)/1000000,(VLOOKUP(E34,$A$12:$B$52,2,0))),0)</f>
        <v>0.19597436910738858</v>
      </c>
      <c r="G34" s="128">
        <f ca="1">F34*1000000</f>
        <v>195974.36910738857</v>
      </c>
      <c r="H34" s="64"/>
      <c r="I34" s="80">
        <f>E34</f>
        <v>43344</v>
      </c>
      <c r="J34" s="205">
        <f>$M$12*$N$7</f>
        <v>41737.35</v>
      </c>
      <c r="K34" s="88">
        <f>($F$7/360)*($O$2/100)*M33</f>
        <v>16948.23089377868</v>
      </c>
      <c r="L34" s="90">
        <f>J34-K34</f>
        <v>24789.119106221318</v>
      </c>
      <c r="M34" s="79">
        <f>M33-L34</f>
        <v>584859.4741951701</v>
      </c>
      <c r="N34" s="126">
        <f>L34/M33</f>
        <v>4.0661324209709679E-2</v>
      </c>
      <c r="O34" s="52"/>
      <c r="P34" s="80">
        <f>I34</f>
        <v>43344</v>
      </c>
      <c r="Q34" s="97">
        <f ca="1">S33*N34</f>
        <v>8528.5748792629056</v>
      </c>
      <c r="R34" s="98">
        <f ca="1">S33*$C$2/2</f>
        <v>5243.665230426961</v>
      </c>
      <c r="S34" s="99">
        <f ca="1">IF(P34&lt;$A$4,(VLOOKUP(P34,$A$11:$B$52,2,0)*$S$12),(S33-(Q34+R34)))</f>
        <v>195974.36910738857</v>
      </c>
      <c r="U34" s="80">
        <f>P34</f>
        <v>43344</v>
      </c>
      <c r="V34" s="97">
        <f ca="1">IF(U34&lt;$A$4,0,(YEARFRAC($A$4,U34,1)))</f>
        <v>2.3978102189781021</v>
      </c>
      <c r="W34" s="141">
        <f ca="1">V34*(S33-S34)</f>
        <v>33023.218073234428</v>
      </c>
    </row>
    <row r="35" spans="1:23" ht="12.75">
      <c r="A35" s="49"/>
      <c r="B35" s="50"/>
      <c r="D35" s="70" t="str">
        <f ca="1">IF(E35&lt;$A$4,"Actual","Model Num")</f>
        <v>Model Num</v>
      </c>
      <c r="E35" s="71">
        <f>DATE(YEAR(E34),MONTH(E34)+6,DAY(E34))</f>
        <v>43525</v>
      </c>
      <c r="F35" s="74">
        <f ca="1">MAX(IF(ISERROR(VLOOKUP(E35,$A$12:$B$52,2,0)),VLOOKUP(E35,$P$11:$S$52,4,0)/1000000,(VLOOKUP(E35,$A$12:$B$52,2,0))),0)</f>
        <v>0.18253777061651658</v>
      </c>
      <c r="G35" s="128">
        <f ca="1">F35*1000000</f>
        <v>182537.77061651659</v>
      </c>
      <c r="I35" s="80">
        <f>E35</f>
        <v>43525</v>
      </c>
      <c r="J35" s="205">
        <f>$M$12*$N$7</f>
        <v>41737.35</v>
      </c>
      <c r="K35" s="88">
        <f>($F$7/360)*($O$2/100)*M34</f>
        <v>16259.093382625728</v>
      </c>
      <c r="L35" s="90">
        <f>J35-K35</f>
        <v>25478.256617374271</v>
      </c>
      <c r="M35" s="79">
        <f>M34-L35</f>
        <v>559381.21757779585</v>
      </c>
      <c r="N35" s="126">
        <f>L35/M34</f>
        <v>4.3563039912168831E-2</v>
      </c>
      <c r="O35" s="52"/>
      <c r="P35" s="80">
        <f>I35</f>
        <v>43525</v>
      </c>
      <c r="Q35" s="97">
        <f ca="1">S34*N35</f>
        <v>8537.2392631872754</v>
      </c>
      <c r="R35" s="98">
        <f ca="1">S34*$C$2/2</f>
        <v>4899.3592276847148</v>
      </c>
      <c r="S35" s="99">
        <f ca="1">IF(P35&lt;$A$4,(VLOOKUP(P35,$A$11:$B$52,2,0)*$S$12),(S34-(Q35+R35)))</f>
        <v>182537.77061651659</v>
      </c>
      <c r="U35" s="80">
        <f>P35</f>
        <v>43525</v>
      </c>
      <c r="V35" s="97">
        <f ca="1">IF(U35&lt;$A$4,0,(YEARFRAC($A$4,U35,1)))</f>
        <v>2.8939082819986313</v>
      </c>
      <c r="W35" s="141">
        <f ca="1">V35*(S34-S35)</f>
        <v>38884.283654624742</v>
      </c>
    </row>
    <row r="36" spans="1:23" ht="12.75">
      <c r="A36" s="49"/>
      <c r="B36" s="50"/>
      <c r="D36" s="70" t="str">
        <f ca="1">IF(E36&lt;$A$4,"Actual","Model Num")</f>
        <v>Model Num</v>
      </c>
      <c r="E36" s="71">
        <f>DATE(YEAR(E35),MONTH(E35)+6,DAY(E35))</f>
        <v>43709</v>
      </c>
      <c r="F36" s="74">
        <f ca="1">MAX(IF(ISERROR(VLOOKUP(E36,$A$12:$B$52,2,0)),VLOOKUP(E36,$P$11:$S$52,4,0)/1000000,(VLOOKUP(E36,$A$12:$B$52,2,0))),0)</f>
        <v>0.16942910763507935</v>
      </c>
      <c r="G36" s="128">
        <f ca="1">F36*1000000</f>
        <v>169429.10763507936</v>
      </c>
      <c r="I36" s="80">
        <f>E36</f>
        <v>43709</v>
      </c>
      <c r="J36" s="205">
        <f>$M$12*$N$7</f>
        <v>41737.35</v>
      </c>
      <c r="K36" s="88">
        <f>($F$7/360)*($O$2/100)*M35</f>
        <v>15550.797848662723</v>
      </c>
      <c r="L36" s="90">
        <f>J36-K36</f>
        <v>26186.552151337273</v>
      </c>
      <c r="M36" s="79">
        <f>M35-L36</f>
        <v>533194.66542645858</v>
      </c>
      <c r="N36" s="126">
        <f>L36/M35</f>
        <v>4.6813427638362534E-2</v>
      </c>
      <c r="O36" s="52"/>
      <c r="P36" s="80">
        <f>I36</f>
        <v>43709</v>
      </c>
      <c r="Q36" s="97">
        <f ca="1">S35*N36</f>
        <v>8545.2187160243175</v>
      </c>
      <c r="R36" s="98">
        <f ca="1">S35*$C$2/2</f>
        <v>4563.4442654129152</v>
      </c>
      <c r="S36" s="99">
        <f ca="1">IF(P36&lt;$A$4,(VLOOKUP(P36,$A$11:$B$52,2,0)*$S$12),(S35-(Q36+R36)))</f>
        <v>169429.10763507936</v>
      </c>
      <c r="U36" s="80">
        <f>P36</f>
        <v>43709</v>
      </c>
      <c r="V36" s="97">
        <f ca="1">IF(U36&lt;$A$4,0,(YEARFRAC($A$4,U36,1)))</f>
        <v>3.3976728268309375</v>
      </c>
      <c r="W36" s="141">
        <f ca="1">V36*(S35-S36)</f>
        <v>44538.94800811389</v>
      </c>
    </row>
    <row r="37" spans="1:23" ht="12.75">
      <c r="A37" s="49"/>
      <c r="B37" s="50"/>
      <c r="D37" s="70" t="str">
        <f ca="1">IF(E37&lt;$A$4,"Actual","Model Num")</f>
        <v>Model Num</v>
      </c>
      <c r="E37" s="71">
        <f>DATE(YEAR(E36),MONTH(E36)+6,DAY(E36))</f>
        <v>43891</v>
      </c>
      <c r="F37" s="74">
        <f ca="1">MAX(IF(ISERROR(VLOOKUP(E37,$A$12:$B$52,2,0)),VLOOKUP(E37,$P$11:$S$52,4,0)/1000000,(VLOOKUP(E37,$A$12:$B$52,2,0))),0)</f>
        <v>0.15664095715669038</v>
      </c>
      <c r="G37" s="128">
        <f ca="1">F37*1000000</f>
        <v>156640.95715669039</v>
      </c>
      <c r="I37" s="80">
        <f>E37</f>
        <v>43891</v>
      </c>
      <c r="J37" s="205">
        <f>$M$12*$N$7</f>
        <v>41737.35</v>
      </c>
      <c r="K37" s="88">
        <f>($F$7/360)*($O$2/100)*M36</f>
        <v>14822.811698855548</v>
      </c>
      <c r="L37" s="90">
        <f>J37-K37</f>
        <v>26914.53830114445</v>
      </c>
      <c r="M37" s="79">
        <f>M36-L37</f>
        <v>506280.12712531415</v>
      </c>
      <c r="N37" s="126">
        <f>L37/M36</f>
        <v>5.0477883681783881E-2</v>
      </c>
      <c r="O37" s="52"/>
      <c r="P37" s="80">
        <f>I37</f>
        <v>43891</v>
      </c>
      <c r="Q37" s="97">
        <f ca="1">S36*N37</f>
        <v>8552.4227875119777</v>
      </c>
      <c r="R37" s="98">
        <f ca="1">S36*$C$2/2</f>
        <v>4235.7276908769845</v>
      </c>
      <c r="S37" s="99">
        <f ca="1">IF(P37&lt;$A$4,(VLOOKUP(P37,$A$11:$B$52,2,0)*$S$12),(S36-(Q37+R37)))</f>
        <v>156640.95715669039</v>
      </c>
      <c r="U37" s="80">
        <f>P37</f>
        <v>43891</v>
      </c>
      <c r="V37" s="97">
        <f ca="1">IF(U37&lt;$A$4,0,(YEARFRAC($A$4,U37,1)))</f>
        <v>3.894362342638205</v>
      </c>
      <c r="W37" s="141">
        <f ca="1">V37*(S36-S37)</f>
        <v>49801.69165502875</v>
      </c>
    </row>
    <row r="38" spans="1:23" ht="12.75">
      <c r="A38" s="49"/>
      <c r="B38" s="50"/>
      <c r="D38" s="70" t="str">
        <f ca="1">IF(E38&lt;$A$4,"Actual","Model Num")</f>
        <v>Model Num</v>
      </c>
      <c r="E38" s="71">
        <f>DATE(YEAR(E37),MONTH(E37)+6,DAY(E37))</f>
        <v>44075</v>
      </c>
      <c r="F38" s="74">
        <f ca="1">MAX(IF(ISERROR(VLOOKUP(E38,$A$12:$B$52,2,0)),VLOOKUP(E38,$P$11:$S$52,4,0)/1000000,(VLOOKUP(E38,$A$12:$B$52,2,0))),0)</f>
        <v>0.14416619003778661</v>
      </c>
      <c r="G38" s="128">
        <f ca="1">F38*1000000</f>
        <v>144166.19003778661</v>
      </c>
      <c r="I38" s="80">
        <f>E38</f>
        <v>44075</v>
      </c>
      <c r="J38" s="205">
        <f>$M$12*$N$7</f>
        <v>41737.35</v>
      </c>
      <c r="K38" s="88">
        <f>($F$7/360)*($O$2/100)*M37</f>
        <v>14074.587534083732</v>
      </c>
      <c r="L38" s="90">
        <f>J38-K38</f>
        <v>27662.762465916268</v>
      </c>
      <c r="M38" s="79">
        <f>M37-L38</f>
        <v>478617.36465939786</v>
      </c>
      <c r="N38" s="126">
        <f>L38/M37</f>
        <v>5.4639242158263102E-2</v>
      </c>
      <c r="O38" s="52"/>
      <c r="P38" s="80">
        <f>I38</f>
        <v>44075</v>
      </c>
      <c r="Q38" s="97">
        <f ca="1">S37*N38</f>
        <v>8558.7431899865223</v>
      </c>
      <c r="R38" s="98">
        <f ca="1">S37*$C$2/2</f>
        <v>3916.02392891726</v>
      </c>
      <c r="S38" s="99">
        <f ca="1">IF(P38&lt;$A$4,(VLOOKUP(P38,$A$11:$B$52,2,0)*$S$12),(S37-(Q38+R38)))</f>
        <v>144166.19003778661</v>
      </c>
      <c r="U38" s="80">
        <f>P38</f>
        <v>44075</v>
      </c>
      <c r="V38" s="97">
        <f ca="1">IF(U38&lt;$A$4,0,(YEARFRAC($A$4,U38,1)))</f>
        <v>4.39792008757526</v>
      </c>
      <c r="W38" s="141">
        <f ca="1">V38*(S37-S38)</f>
        <v>54863.028900050282</v>
      </c>
    </row>
    <row r="39" spans="1:23" ht="12.75">
      <c r="A39" s="49"/>
      <c r="B39" s="50"/>
      <c r="D39" s="70" t="str">
        <f ca="1">IF(E39&lt;$A$4,"Actual","Model Num")</f>
        <v>Model Num</v>
      </c>
      <c r="E39" s="71">
        <f>DATE(YEAR(E38),MONTH(E38)+6,DAY(E38))</f>
        <v>44256</v>
      </c>
      <c r="F39" s="74">
        <f ca="1">MAX(IF(ISERROR(VLOOKUP(E39,$A$12:$B$52,2,0)),VLOOKUP(E39,$P$11:$S$52,4,0)/1000000,(VLOOKUP(E39,$A$12:$B$52,2,0))),0)</f>
        <v>0.13199798653254755</v>
      </c>
      <c r="G39" s="128">
        <f ca="1">F39*1000000</f>
        <v>131997.98653254754</v>
      </c>
      <c r="I39" s="80">
        <f>E39</f>
        <v>44256</v>
      </c>
      <c r="J39" s="205">
        <f>$M$12*$N$7</f>
        <v>41737.35</v>
      </c>
      <c r="K39" s="88">
        <f>($F$7/360)*($O$2/100)*M38</f>
        <v>13305.56273753126</v>
      </c>
      <c r="L39" s="90">
        <f>J39-K39</f>
        <v>28431.787262468737</v>
      </c>
      <c r="M39" s="79">
        <f>M38-L39</f>
        <v>450185.57739692915</v>
      </c>
      <c r="N39" s="126">
        <f>L39/M38</f>
        <v>5.9404002783521793E-2</v>
      </c>
      <c r="O39" s="52"/>
      <c r="P39" s="80">
        <f>I39</f>
        <v>44256</v>
      </c>
      <c r="Q39" s="97">
        <f ca="1">S38*N39</f>
        <v>8564.0487542944084</v>
      </c>
      <c r="R39" s="98">
        <f ca="1">S38*$C$2/2</f>
        <v>3604.1547509446655</v>
      </c>
      <c r="S39" s="99">
        <f ca="1">IF(P39&lt;$A$4,(VLOOKUP(P39,$A$11:$B$52,2,0)*$S$12),(S38-(Q39+R39)))</f>
        <v>131997.98653254754</v>
      </c>
      <c r="U39" s="80">
        <f>P39</f>
        <v>44256</v>
      </c>
      <c r="V39" s="97">
        <f ca="1">IF(U39&lt;$A$4,0,(YEARFRAC($A$4,U39,1)))</f>
        <v>4.8941605839416065</v>
      </c>
      <c r="W39" s="141">
        <f ca="1">V39*(S38-S39)</f>
        <v>59553.141972721154</v>
      </c>
    </row>
    <row r="40" spans="1:23" ht="12.75">
      <c r="A40" s="49"/>
      <c r="B40" s="50"/>
      <c r="D40" s="70" t="str">
        <f ca="1">IF(E40&lt;$A$4,"Actual","Model Num")</f>
        <v>Model Num</v>
      </c>
      <c r="E40" s="71">
        <f>DATE(YEAR(E39),MONTH(E39)+6,DAY(E39))</f>
        <v>44440</v>
      </c>
      <c r="F40" s="74">
        <f ca="1">MAX(IF(ISERROR(VLOOKUP(E40,$A$12:$B$52,2,0)),VLOOKUP(E40,$P$11:$S$52,4,0)/1000000,(VLOOKUP(E40,$A$12:$B$52,2,0))),0)</f>
        <v>0.12012985840923644</v>
      </c>
      <c r="G40" s="128">
        <f ca="1">F40*1000000</f>
        <v>120129.85840923645</v>
      </c>
      <c r="I40" s="80">
        <f>E40</f>
        <v>44440</v>
      </c>
      <c r="J40" s="205">
        <f>$M$12*$N$7</f>
        <v>41737.35</v>
      </c>
      <c r="K40" s="88">
        <f>($F$7/360)*($O$2/100)*M39</f>
        <v>12515.15905163463</v>
      </c>
      <c r="L40" s="90">
        <f>J40-K40</f>
        <v>29222.190948365369</v>
      </c>
      <c r="M40" s="79">
        <f>M39-L40</f>
        <v>420963.38644856378</v>
      </c>
      <c r="N40" s="126">
        <f>L40/M39</f>
        <v>6.4911433007992902E-2</v>
      </c>
      <c r="O40" s="52"/>
      <c r="P40" s="80">
        <f>I40</f>
        <v>44440</v>
      </c>
      <c r="Q40" s="97">
        <f ca="1">S39*N40</f>
        <v>8568.1784599974089</v>
      </c>
      <c r="R40" s="98">
        <f ca="1">S39*$C$2/2</f>
        <v>3299.9496633136887</v>
      </c>
      <c r="S40" s="99">
        <f ca="1">IF(P40&lt;$A$4,(VLOOKUP(P40,$A$11:$B$52,2,0)*$S$12),(S39-(Q40+R40)))</f>
        <v>120129.85840923645</v>
      </c>
      <c r="U40" s="80">
        <f>P40</f>
        <v>44440</v>
      </c>
      <c r="V40" s="97">
        <f ca="1">IF(U40&lt;$A$4,0,(YEARFRAC($A$4,U40,1)))</f>
        <v>5.3978102189781021</v>
      </c>
      <c r="W40" s="141">
        <f ca="1">V40*(S39-S40)</f>
        <v>64061.903264150023</v>
      </c>
    </row>
    <row r="41" spans="1:23" ht="12.75">
      <c r="A41" s="49"/>
      <c r="B41" s="50"/>
      <c r="D41" s="70" t="str">
        <f ca="1">IF(E41&lt;$A$4,"Actual","Model Num")</f>
        <v>Model Num</v>
      </c>
      <c r="E41" s="71">
        <f>DATE(YEAR(E40),MONTH(E40)+6,DAY(E40))</f>
        <v>44621</v>
      </c>
      <c r="F41" s="74">
        <f ca="1">MAX(IF(ISERROR(VLOOKUP(E41,$A$12:$B$52,2,0)),VLOOKUP(E41,$P$11:$S$52,4,0)/1000000,(VLOOKUP(E41,$A$12:$B$52,2,0))),0)</f>
        <v>0.1085556803664499</v>
      </c>
      <c r="G41" s="128">
        <f ca="1">F41*1000000</f>
        <v>108555.6803664499</v>
      </c>
      <c r="I41" s="80">
        <f>E41</f>
        <v>44621</v>
      </c>
      <c r="J41" s="205">
        <f>$M$12*$N$7</f>
        <v>41737.35</v>
      </c>
      <c r="K41" s="88">
        <f>($F$7/360)*($O$2/100)*M40</f>
        <v>11702.782143270073</v>
      </c>
      <c r="L41" s="90">
        <f>J41-K41</f>
        <v>30034.567856729926</v>
      </c>
      <c r="M41" s="79">
        <f>M40-L41</f>
        <v>390928.81859183387</v>
      </c>
      <c r="N41" s="126">
        <f>L41/M40</f>
        <v>7.1347221215875875E-2</v>
      </c>
      <c r="O41" s="52"/>
      <c r="P41" s="80">
        <f>I41</f>
        <v>44621</v>
      </c>
      <c r="Q41" s="97">
        <f ca="1">S40*N41</f>
        <v>8570.9315825556387</v>
      </c>
      <c r="R41" s="98">
        <f ca="1">S40*$C$2/2</f>
        <v>3003.2464602309115</v>
      </c>
      <c r="S41" s="99">
        <f ca="1">IF(P41&lt;$A$4,(VLOOKUP(P41,$A$11:$B$52,2,0)*$S$12),(S40-(Q41+R41)))</f>
        <v>108555.6803664499</v>
      </c>
      <c r="U41" s="80">
        <f>P41</f>
        <v>44621</v>
      </c>
      <c r="V41" s="97">
        <f ca="1">IF(U41&lt;$A$4,0,(YEARFRAC($A$4,U41,1)))</f>
        <v>5.8940164254986316</v>
      </c>
      <c r="W41" s="141">
        <f ca="1">V41*(S40-S41)</f>
        <v>68218.395495829507</v>
      </c>
    </row>
    <row r="42" spans="1:23" ht="12.75">
      <c r="A42" s="49"/>
      <c r="B42" s="50"/>
      <c r="D42" s="70" t="str">
        <f ca="1">IF(E42&lt;$A$4,"Actual","Model Num")</f>
        <v>Model Num</v>
      </c>
      <c r="E42" s="71">
        <f>DATE(YEAR(E41),MONTH(E41)+6,DAY(E41))</f>
        <v>44805</v>
      </c>
      <c r="F42" s="74">
        <f ca="1">MAX(IF(ISERROR(VLOOKUP(E42,$A$12:$B$52,2,0)),VLOOKUP(E42,$P$11:$S$52,4,0)/1000000,(VLOOKUP(E42,$A$12:$B$52,2,0))),0)</f>
        <v>9.7269734963449719E-2</v>
      </c>
      <c r="G42" s="128">
        <f ca="1">F42*1000000</f>
        <v>97269.734963449722</v>
      </c>
      <c r="I42" s="80">
        <f>E42</f>
        <v>44805</v>
      </c>
      <c r="J42" s="205">
        <f>$M$12*$N$7</f>
        <v>41737.35</v>
      </c>
      <c r="K42" s="88">
        <f>($F$7/360)*($O$2/100)*M41</f>
        <v>10867.82115685298</v>
      </c>
      <c r="L42" s="90">
        <f>J42-K42</f>
        <v>30869.528843147018</v>
      </c>
      <c r="M42" s="79">
        <f>M41-L42</f>
        <v>360059.28974868683</v>
      </c>
      <c r="N42" s="126">
        <f>L42/M41</f>
        <v>7.8964577117497409E-2</v>
      </c>
      <c r="O42" s="52"/>
      <c r="P42" s="80">
        <f>I42</f>
        <v>44805</v>
      </c>
      <c r="Q42" s="97">
        <f ca="1">S41*N42</f>
        <v>8572.0533938389326</v>
      </c>
      <c r="R42" s="98">
        <f ca="1">S41*$C$2/2</f>
        <v>2713.8920091612476</v>
      </c>
      <c r="S42" s="99">
        <f ca="1">IF(P42&lt;$A$4,(VLOOKUP(P42,$A$11:$B$52,2,0)*$S$12),(S41-(Q42+R42)))</f>
        <v>97269.734963449722</v>
      </c>
      <c r="U42" s="80">
        <f>P42</f>
        <v>44805</v>
      </c>
      <c r="V42" s="97">
        <f ca="1">IF(U42&lt;$A$4,0,(YEARFRAC($A$4,U42,1)))</f>
        <v>6.3977317168556906</v>
      </c>
      <c r="W42" s="141">
        <f ca="1">V42*(S41-S42)</f>
        <v>72204.450859475925</v>
      </c>
    </row>
    <row r="43" spans="1:23" ht="12.75">
      <c r="A43" s="49"/>
      <c r="B43" s="50"/>
      <c r="D43" s="70" t="str">
        <f ca="1">IF(E43&lt;$A$4,"Actual","Model Num")</f>
        <v>Model Num</v>
      </c>
      <c r="E43" s="71">
        <f>DATE(YEAR(E42),MONTH(E42)+6,DAY(E42))</f>
        <v>44986</v>
      </c>
      <c r="F43" s="74">
        <f ca="1">MAX(IF(ISERROR(VLOOKUP(E43,$A$12:$B$52,2,0)),VLOOKUP(E43,$P$11:$S$52,4,0)/1000000,(VLOOKUP(E43,$A$12:$B$52,2,0))),0)</f>
        <v>8.6266777826518259E-2</v>
      </c>
      <c r="G43" s="128">
        <f ca="1">F43*1000000</f>
        <v>86266.777826518257</v>
      </c>
      <c r="I43" s="80">
        <f>E43</f>
        <v>44986</v>
      </c>
      <c r="J43" s="205">
        <f>$M$12*$N$7</f>
        <v>41737.35</v>
      </c>
      <c r="K43" s="88">
        <f>($F$7/360)*($O$2/100)*M42</f>
        <v>10009.648255013493</v>
      </c>
      <c r="L43" s="90">
        <f>J43-K43</f>
        <v>31727.701744986505</v>
      </c>
      <c r="M43" s="79">
        <f>M42-L43</f>
        <v>328331.58800370031</v>
      </c>
      <c r="N43" s="126">
        <f>L43/M42</f>
        <v>8.8117992364901115E-2</v>
      </c>
      <c r="O43" s="52"/>
      <c r="P43" s="80">
        <f>I43</f>
        <v>44986</v>
      </c>
      <c r="Q43" s="97">
        <f ca="1">S42*N43</f>
        <v>8571.2137628452183</v>
      </c>
      <c r="R43" s="98">
        <f ca="1">S42*$C$2/2</f>
        <v>2431.743374086243</v>
      </c>
      <c r="S43" s="99">
        <f ca="1">IF(P43&lt;$A$4,(VLOOKUP(P43,$A$11:$B$52,2,0)*$S$12),(S42-(Q43+R43)))</f>
        <v>86266.777826518257</v>
      </c>
      <c r="U43" s="80">
        <f>P43</f>
        <v>44986</v>
      </c>
      <c r="V43" s="97">
        <f ca="1">IF(U43&lt;$A$4,0,(YEARFRAC($A$4,U43,1)))</f>
        <v>6.8939082819986313</v>
      </c>
      <c r="W43" s="141">
        <f ca="1">V43*(S42-S43)</f>
        <v>75853.377332767777</v>
      </c>
    </row>
    <row r="44" spans="1:23" ht="12.75">
      <c r="A44" s="49"/>
      <c r="B44" s="50"/>
      <c r="D44" s="70" t="str">
        <f ca="1">IF(E44&lt;$A$4,"Actual","Model Num")</f>
        <v>Model Num</v>
      </c>
      <c r="E44" s="71">
        <f>DATE(YEAR(E43),MONTH(E43)+6,DAY(E43))</f>
        <v>45170</v>
      </c>
      <c r="F44" s="74">
        <f ca="1">MAX(IF(ISERROR(VLOOKUP(E44,$A$12:$B$52,2,0)),VLOOKUP(E44,$P$11:$S$52,4,0)/1000000,(VLOOKUP(E44,$A$12:$B$52,2,0))),0)</f>
        <v>7.5542134431433566E-2</v>
      </c>
      <c r="G44" s="128">
        <f ca="1">F44*1000000</f>
        <v>75542.134431433573</v>
      </c>
      <c r="I44" s="80">
        <f>E44</f>
        <v>45170</v>
      </c>
      <c r="J44" s="205">
        <f>$M$12*$N$7</f>
        <v>41737.35</v>
      </c>
      <c r="K44" s="88">
        <f>($F$7/360)*($O$2/100)*M43</f>
        <v>9127.6181465028676</v>
      </c>
      <c r="L44" s="90">
        <f>J44-K44</f>
        <v>32609.731853497131</v>
      </c>
      <c r="M44" s="79">
        <f>M43-L44</f>
        <v>295721.85615020315</v>
      </c>
      <c r="N44" s="126">
        <f>L44/M43</f>
        <v>9.9319508219628316E-2</v>
      </c>
      <c r="O44" s="52"/>
      <c r="P44" s="80">
        <f>I44</f>
        <v>45170</v>
      </c>
      <c r="Q44" s="97">
        <f ca="1">S43*N44</f>
        <v>8567.9739494217301</v>
      </c>
      <c r="R44" s="98">
        <f ca="1">S43*$C$2/2</f>
        <v>2156.6694456629566</v>
      </c>
      <c r="S44" s="99">
        <f ca="1">IF(P44&lt;$A$4,(VLOOKUP(P44,$A$11:$B$52,2,0)*$S$12),(S43-(Q44+R44)))</f>
        <v>75542.134431433573</v>
      </c>
      <c r="U44" s="80">
        <f>P44</f>
        <v>45170</v>
      </c>
      <c r="V44" s="97">
        <f ca="1">IF(U44&lt;$A$4,0,(YEARFRAC($A$4,U44,1)))</f>
        <v>7.397672826830938</v>
      </c>
      <c r="W44" s="141">
        <f ca="1">V44*(S43-S44)</f>
        <v>79337.403021269856</v>
      </c>
    </row>
    <row r="45" spans="1:23" ht="12.75">
      <c r="A45" s="49"/>
      <c r="B45" s="50"/>
      <c r="D45" s="70" t="str">
        <f ca="1">IF(E45&lt;$A$4,"Actual","Model Num")</f>
        <v>Model Num</v>
      </c>
      <c r="E45" s="71">
        <f>DATE(YEAR(E44),MONTH(E44)+6,DAY(E44))</f>
        <v>45352</v>
      </c>
      <c r="F45" s="74">
        <f ca="1">MAX(IF(ISERROR(VLOOKUP(E45,$A$12:$B$52,2,0)),VLOOKUP(E45,$P$11:$S$52,4,0)/1000000,(VLOOKUP(E45,$A$12:$B$52,2,0))),0)</f>
        <v>6.5091848287045201E-2</v>
      </c>
      <c r="G45" s="128">
        <f ca="1">F45*1000000</f>
        <v>65091.848287045199</v>
      </c>
      <c r="I45" s="80">
        <f>E45</f>
        <v>45352</v>
      </c>
      <c r="J45" s="205">
        <f>$M$12*$N$7</f>
        <v>41737.35</v>
      </c>
      <c r="K45" s="88">
        <f>($F$7/360)*($O$2/100)*M44</f>
        <v>8221.067600975648</v>
      </c>
      <c r="L45" s="90">
        <f>J45-K45</f>
        <v>33516.282399024349</v>
      </c>
      <c r="M45" s="79">
        <f>M44-L45</f>
        <v>262205.5737511788</v>
      </c>
      <c r="N45" s="126">
        <f>L45/M44</f>
        <v>0.11333718391785268</v>
      </c>
      <c r="O45" s="52"/>
      <c r="P45" s="80">
        <f>I45</f>
        <v>45352</v>
      </c>
      <c r="Q45" s="97">
        <f ca="1">S44*N45</f>
        <v>8561.7327836025379</v>
      </c>
      <c r="R45" s="98">
        <f ca="1">S44*$C$2/2</f>
        <v>1888.5533607858395</v>
      </c>
      <c r="S45" s="99">
        <f ca="1">IF(P45&lt;$A$4,(VLOOKUP(P45,$A$11:$B$52,2,0)*$S$12),(S44-(Q45+R45)))</f>
        <v>65091.848287045199</v>
      </c>
      <c r="U45" s="80">
        <f>P45</f>
        <v>45352</v>
      </c>
      <c r="V45" s="97">
        <f ca="1">IF(U45&lt;$A$4,0,(YEARFRAC($A$4,U45,1)))</f>
        <v>7.8941605839416065</v>
      </c>
      <c r="W45" s="141">
        <f ca="1">V45*(S44-S45)</f>
        <v>82496.236971941806</v>
      </c>
    </row>
    <row r="46" spans="1:23" ht="12.75">
      <c r="A46" s="49"/>
      <c r="B46" s="50"/>
      <c r="D46" s="70" t="str">
        <f ca="1">IF(E46&lt;$A$4,"Actual","Model Num")</f>
        <v>Model Num</v>
      </c>
      <c r="E46" s="71">
        <f>DATE(YEAR(E45),MONTH(E45)+6,DAY(E45))</f>
        <v>45536</v>
      </c>
      <c r="F46" s="74">
        <f ca="1">MAX(IF(ISERROR(VLOOKUP(E46,$A$12:$B$52,2,0)),VLOOKUP(E46,$P$11:$S$52,4,0)/1000000,(VLOOKUP(E46,$A$12:$B$52,2,0))),0)</f>
        <v>5.4912917424799396E-2</v>
      </c>
      <c r="G46" s="128">
        <f ca="1">F46*1000000</f>
        <v>54912.917424799394</v>
      </c>
      <c r="I46" s="80">
        <f>E46</f>
        <v>45536</v>
      </c>
      <c r="J46" s="205">
        <f>$M$12*$N$7</f>
        <v>41737.35</v>
      </c>
      <c r="K46" s="88">
        <f>($F$7/360)*($O$2/100)*M45</f>
        <v>7289.31495028277</v>
      </c>
      <c r="L46" s="90">
        <f>J46-K46</f>
        <v>34448.035049717226</v>
      </c>
      <c r="M46" s="79">
        <f>M45-L46</f>
        <v>227757.53870146157</v>
      </c>
      <c r="N46" s="126">
        <f>L46/M45</f>
        <v>0.13137796636774338</v>
      </c>
      <c r="O46" s="52"/>
      <c r="P46" s="80">
        <f>I46</f>
        <v>45536</v>
      </c>
      <c r="Q46" s="97">
        <f ca="1">S45*N46</f>
        <v>8551.634655069678</v>
      </c>
      <c r="R46" s="98">
        <f ca="1">S45*$C$2/2</f>
        <v>1627.2962071761301</v>
      </c>
      <c r="S46" s="99">
        <f ca="1">IF(P46&lt;$A$4,(VLOOKUP(P46,$A$11:$B$52,2,0)*$S$12),(S45-(Q46+R46)))</f>
        <v>54912.917424799394</v>
      </c>
      <c r="U46" s="80">
        <f>P46</f>
        <v>45536</v>
      </c>
      <c r="V46" s="97">
        <f ca="1">IF(U46&lt;$A$4,0,(YEARFRAC($A$4,U46,1)))</f>
        <v>8.397810218978103</v>
      </c>
      <c r="W46" s="141">
        <f ca="1">V46*(S45-S46)</f>
        <v>85480.729613239411</v>
      </c>
    </row>
    <row r="47" spans="1:23" ht="12.75">
      <c r="A47" s="49"/>
      <c r="B47" s="50"/>
      <c r="D47" s="70" t="str">
        <f ca="1">IF(E47&lt;$A$4,"Actual","Model Num")</f>
        <v>Model Num</v>
      </c>
      <c r="E47" s="71">
        <f>DATE(YEAR(E46),MONTH(E46)+6,DAY(E46))</f>
        <v>45717</v>
      </c>
      <c r="F47" s="74">
        <f ca="1">MAX(IF(ISERROR(VLOOKUP(E47,$A$12:$B$52,2,0)),VLOOKUP(E47,$P$11:$S$52,4,0)/1000000,(VLOOKUP(E47,$A$12:$B$52,2,0))),0)</f>
        <v>4.5003693166477093E-2</v>
      </c>
      <c r="G47" s="128">
        <f ca="1">F47*1000000</f>
        <v>45003.693166477096</v>
      </c>
      <c r="I47" s="80">
        <f>E47</f>
        <v>45717</v>
      </c>
      <c r="J47" s="205">
        <f>$M$12*$N$7</f>
        <v>41737.35</v>
      </c>
      <c r="K47" s="88">
        <f>($F$7/360)*($O$2/100)*M46</f>
        <v>6331.6595759006314</v>
      </c>
      <c r="L47" s="90">
        <f>J47-K47</f>
        <v>35405.690424099368</v>
      </c>
      <c r="M47" s="79">
        <f>M46-L47</f>
        <v>192351.84827736221</v>
      </c>
      <c r="N47" s="126">
        <f>L47/M46</f>
        <v>0.15545342922988026</v>
      </c>
      <c r="O47" s="52"/>
      <c r="P47" s="80">
        <f>I47</f>
        <v>45717</v>
      </c>
      <c r="Q47" s="97">
        <f ca="1">S46*N47</f>
        <v>8536.4013227023115</v>
      </c>
      <c r="R47" s="98">
        <f ca="1">S46*$C$2/2</f>
        <v>1372.8229356199849</v>
      </c>
      <c r="S47" s="99">
        <f ca="1">IF(P47&lt;$A$4,(VLOOKUP(P47,$A$11:$B$52,2,0)*$S$12),(S46-(Q47+R47)))</f>
        <v>45003.693166477096</v>
      </c>
      <c r="U47" s="80">
        <f>P47</f>
        <v>45717</v>
      </c>
      <c r="V47" s="97">
        <f ca="1">IF(U47&lt;$A$4,0,(YEARFRAC($A$4,U47,1)))</f>
        <v>8.8940596769778253</v>
      </c>
      <c r="W47" s="141">
        <f ca="1">V47*(S46-S47)</f>
        <v>88133.231906074841</v>
      </c>
    </row>
    <row r="48" spans="1:23" ht="12.75">
      <c r="A48" s="49"/>
      <c r="B48" s="50"/>
      <c r="D48" s="70" t="str">
        <f ca="1">IF(E48&lt;$A$4,"Actual","Model Num")</f>
        <v>Model Num</v>
      </c>
      <c r="E48" s="71">
        <f>DATE(YEAR(E47),MONTH(E47)+6,DAY(E47))</f>
        <v>45901</v>
      </c>
      <c r="F48" s="74">
        <f ca="1">MAX(IF(ISERROR(VLOOKUP(E48,$A$12:$B$52,2,0)),VLOOKUP(E48,$P$11:$S$52,4,0)/1000000,(VLOOKUP(E48,$A$12:$B$52,2,0))),0)</f>
        <v>3.5364604238458677E-2</v>
      </c>
      <c r="G48" s="128">
        <f ca="1">F48*1000000</f>
        <v>35364.604238458676</v>
      </c>
      <c r="I48" s="80">
        <f>E48</f>
        <v>45901</v>
      </c>
      <c r="J48" s="205">
        <f>$M$12*$N$7</f>
        <v>41737.35</v>
      </c>
      <c r="K48" s="88">
        <f>($F$7/360)*($O$2/100)*M47</f>
        <v>5347.3813821106687</v>
      </c>
      <c r="L48" s="90">
        <f>J48-K48</f>
        <v>36389.968617889332</v>
      </c>
      <c r="M48" s="79">
        <f>M47-L48</f>
        <v>155961.87965947288</v>
      </c>
      <c r="N48" s="126">
        <f>L48/M47</f>
        <v>0.18918439798621914</v>
      </c>
      <c r="O48" s="52"/>
      <c r="P48" s="80">
        <f>I48</f>
        <v>45901</v>
      </c>
      <c r="Q48" s="97">
        <f ca="1">S47*N48</f>
        <v>8513.9965988564927</v>
      </c>
      <c r="R48" s="98">
        <f ca="1">S47*$C$2/2</f>
        <v>1125.0923291619274</v>
      </c>
      <c r="S48" s="99">
        <f ca="1">IF(P48&lt;$A$4,(VLOOKUP(P48,$A$11:$B$52,2,0)*$S$12),(S47-(Q48+R48)))</f>
        <v>35364.604238458676</v>
      </c>
      <c r="U48" s="80">
        <f>P48</f>
        <v>45901</v>
      </c>
      <c r="V48" s="97">
        <f ca="1">IF(U48&lt;$A$4,0,(YEARFRAC($A$4,U48,1)))</f>
        <v>9.3977552696413902</v>
      </c>
      <c r="W48" s="141">
        <f ca="1">V48*(S47-S48)</f>
        <v>90585.798767827087</v>
      </c>
    </row>
    <row r="49" spans="1:23" ht="12.75">
      <c r="A49" s="49"/>
      <c r="B49" s="50"/>
      <c r="D49" s="70" t="str">
        <f ca="1">IF(E49&lt;$A$4,"Actual","Model Num")</f>
        <v>Model Num</v>
      </c>
      <c r="E49" s="71">
        <f>DATE(YEAR(E48),MONTH(E48)+6,DAY(E48))</f>
        <v>46082</v>
      </c>
      <c r="F49" s="74">
        <f ca="1">MAX(IF(ISERROR(VLOOKUP(E49,$A$12:$B$52,2,0)),VLOOKUP(E49,$P$11:$S$52,4,0)/1000000,(VLOOKUP(E49,$A$12:$B$52,2,0))),0)</f>
        <v>2.5999614643053538E-2</v>
      </c>
      <c r="G49" s="128">
        <f ca="1">F49*1000000</f>
        <v>25999.614643053537</v>
      </c>
      <c r="I49" s="80">
        <f>E49</f>
        <v>46082</v>
      </c>
      <c r="J49" s="205">
        <f>$M$12*$N$7</f>
        <v>41737.35</v>
      </c>
      <c r="K49" s="88">
        <f>($F$7/360)*($O$2/100)*M48</f>
        <v>4335.7402545333462</v>
      </c>
      <c r="L49" s="90">
        <f>J49-K49</f>
        <v>37401.609745466652</v>
      </c>
      <c r="M49" s="79">
        <f>M48-L49</f>
        <v>118560.26991400623</v>
      </c>
      <c r="N49" s="126">
        <f>L49/M48</f>
        <v>0.23981250948712157</v>
      </c>
      <c r="O49" s="52"/>
      <c r="P49" s="80">
        <f>I49</f>
        <v>46082</v>
      </c>
      <c r="Q49" s="97">
        <f ca="1">S48*N49</f>
        <v>8480.8744894436713</v>
      </c>
      <c r="R49" s="98">
        <f ca="1">S48*$C$2/2</f>
        <v>884.11510596146695</v>
      </c>
      <c r="S49" s="99">
        <f ca="1">IF(P49&lt;$A$4,(VLOOKUP(P49,$A$11:$B$52,2,0)*$S$12),(S48-(Q49+R49)))</f>
        <v>25999.614643053537</v>
      </c>
      <c r="U49" s="80">
        <f>P49</f>
        <v>46082</v>
      </c>
      <c r="V49" s="97">
        <f ca="1">IF(U49&lt;$A$4,0,(YEARFRAC($A$4,U49,1)))</f>
        <v>9.8939771030363364</v>
      </c>
      <c r="W49" s="141">
        <f ca="1">V49*(S48-S49)</f>
        <v>92656.992627111962</v>
      </c>
    </row>
    <row r="50" spans="1:23" ht="12.75">
      <c r="A50" s="49"/>
      <c r="B50" s="50"/>
      <c r="D50" s="70" t="str">
        <f ca="1">IF(E50&lt;$A$4,"Actual","Model Num")</f>
        <v>Model Num</v>
      </c>
      <c r="E50" s="71">
        <f>DATE(YEAR(E49),MONTH(E49)+6,DAY(E49))</f>
        <v>46266</v>
      </c>
      <c r="F50" s="74">
        <f ca="1">MAX(IF(ISERROR(VLOOKUP(E50,$A$12:$B$52,2,0)),VLOOKUP(E50,$P$11:$S$52,4,0)/1000000,(VLOOKUP(E50,$A$12:$B$52,2,0))),0)</f>
        <v>1.691964242909183E-2</v>
      </c>
      <c r="G50" s="128">
        <f ca="1">F50*1000000</f>
        <v>16919.642429091829</v>
      </c>
      <c r="I50" s="80">
        <f>E50</f>
        <v>46266</v>
      </c>
      <c r="J50" s="205">
        <f>$M$12*$N$7</f>
        <v>41737.35</v>
      </c>
      <c r="K50" s="88">
        <f>($F$7/360)*($O$2/100)*M49</f>
        <v>3295.9755036093729</v>
      </c>
      <c r="L50" s="90">
        <f>J50-K50</f>
        <v>38441.374496390628</v>
      </c>
      <c r="M50" s="79">
        <f>M49-L50</f>
        <v>80118.895417615597</v>
      </c>
      <c r="N50" s="126">
        <f>L50/M49</f>
        <v>0.32423487669413037</v>
      </c>
      <c r="O50" s="52"/>
      <c r="P50" s="80">
        <f>I50</f>
        <v>46266</v>
      </c>
      <c r="Q50" s="97">
        <f ca="1">S49*N50</f>
        <v>8429.9818478853704</v>
      </c>
      <c r="R50" s="98">
        <f ca="1">S49*$C$2/2</f>
        <v>649.99036607633843</v>
      </c>
      <c r="S50" s="99">
        <f ca="1">IF(P50&lt;$A$4,(VLOOKUP(P50,$A$11:$B$52,2,0)*$S$12),(S49-(Q50+R50)))</f>
        <v>16919.642429091829</v>
      </c>
      <c r="U50" s="80">
        <f>P50</f>
        <v>46266</v>
      </c>
      <c r="V50" s="97">
        <f ca="1">IF(U50&lt;$A$4,0,(YEARFRAC($A$4,U50,1)))</f>
        <v>10.39771030363365</v>
      </c>
      <c r="W50" s="141">
        <f ca="1">V50*(S49-S50)</f>
        <v>94410.920645816892</v>
      </c>
    </row>
    <row r="51" spans="1:23" ht="12.75">
      <c r="A51" s="49"/>
      <c r="B51" s="50"/>
      <c r="D51" s="70" t="str">
        <f ca="1">IF(E51&lt;$A$4,"Actual","Model Num")</f>
        <v>Model Num</v>
      </c>
      <c r="E51" s="71">
        <f>DATE(YEAR(E50),MONTH(E50)+6,DAY(E50))</f>
        <v>46447</v>
      </c>
      <c r="F51" s="74">
        <f ca="1">MAX(IF(ISERROR(VLOOKUP(E51,$A$12:$B$52,2,0)),VLOOKUP(E51,$P$11:$S$52,4,0)/1000000,(VLOOKUP(E51,$A$12:$B$52,2,0))),0)</f>
        <v>8.1528539991924335E-3</v>
      </c>
      <c r="G51" s="128">
        <f ca="1">F51*1000000</f>
        <v>8152.8539991924335</v>
      </c>
      <c r="I51" s="80">
        <f>E51</f>
        <v>46447</v>
      </c>
      <c r="J51" s="205">
        <f>$M$12*$N$7</f>
        <v>41737.35</v>
      </c>
      <c r="K51" s="88">
        <f>($F$7/360)*($O$2/100)*M50</f>
        <v>2227.3052926097134</v>
      </c>
      <c r="L51" s="90">
        <f>J51-K51</f>
        <v>39510.044707390283</v>
      </c>
      <c r="M51" s="79">
        <f>M50-L51</f>
        <v>40608.850710225313</v>
      </c>
      <c r="N51" s="126">
        <f>L51/M50</f>
        <v>0.49314265382025324</v>
      </c>
      <c r="O51" s="52"/>
      <c r="P51" s="80">
        <f>I51</f>
        <v>46447</v>
      </c>
      <c r="Q51" s="97">
        <f ca="1">S50*N51</f>
        <v>8343.7973691720999</v>
      </c>
      <c r="R51" s="98">
        <f ca="1">S50*$C$2/2</f>
        <v>422.99106072729575</v>
      </c>
      <c r="S51" s="99">
        <f ca="1">IF(P51&lt;$A$4,(VLOOKUP(P51,$A$11:$B$52,2,0)*$S$12),(S50-(Q51+R51)))</f>
        <v>8152.8539991924335</v>
      </c>
      <c r="U51" s="80">
        <f>P51</f>
        <v>46447</v>
      </c>
      <c r="V51" s="97">
        <f ca="1">IF(U51&lt;$A$4,0,(YEARFRAC($A$4,U51,1)))</f>
        <v>10.89390828199863</v>
      </c>
      <c r="W51" s="141">
        <f ca="1">V51*(S50-S51)</f>
        <v>95504.589083010796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46631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46631</v>
      </c>
      <c r="J52" s="206">
        <f>$M$12*$N$7</f>
        <v>41737.35</v>
      </c>
      <c r="K52" s="89">
        <f>($F$7/360)*($O$2/100)*M51</f>
        <v>1128.9260497442635</v>
      </c>
      <c r="L52" s="91">
        <f>J52-K52</f>
        <v>40608.423950255732</v>
      </c>
      <c r="M52" s="85">
        <f>M51-L52</f>
        <v>0.426759969581326</v>
      </c>
      <c r="N52" s="127">
        <f>L52/M51</f>
        <v>0.99998949096164713</v>
      </c>
      <c r="O52" s="86"/>
      <c r="P52" s="84">
        <f>I52</f>
        <v>46631</v>
      </c>
      <c r="Q52" s="100">
        <f ca="1">S51*N52</f>
        <v>8152.7683205370704</v>
      </c>
      <c r="R52" s="98">
        <f ca="1">S51*$C$2/2</f>
        <v>203.82134997981086</v>
      </c>
      <c r="S52" s="102">
        <v>0</v>
      </c>
      <c r="U52" s="142">
        <f>P52</f>
        <v>46631</v>
      </c>
      <c r="V52" s="143">
        <f ca="1">IF(U52&lt;$A$4,0,(YEARFRAC($A$4,U52,1)))</f>
        <v>11.397672826830938</v>
      </c>
      <c r="W52" s="141">
        <f ca="1">V52*(S51-S52)</f>
        <v>92923.562487715535</v>
      </c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83" priority="1" stopIfTrue="1">
      <formula>$D1="Actual"</formula>
    </cfRule>
  </conditionalFormatting>
  <conditionalFormatting sqref="A4">
    <cfRule type="expression" dxfId="82" priority="2" stopIfTrue="1">
      <formula>#REF!="Actual"</formula>
    </cfRule>
  </conditionalFormatting>
  <conditionalFormatting sqref="C6:C9">
    <cfRule type="cellIs" dxfId="81" priority="3" stopIfTrue="1" operator="equal">
      <formula>"PROB!!"</formula>
    </cfRule>
  </conditionalFormatting>
  <conditionalFormatting sqref="A7">
    <cfRule type="expression" dxfId="80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indexed="14"/>
  </sheetPr>
  <dimension ref="A1:W200"/>
  <sheetViews>
    <sheetView workbookViewId="0">
      <selection activeCell="E29" sqref="E29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202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14</v>
      </c>
      <c r="B2" s="67" t="str">
        <f>MID(A2,3,9)</f>
        <v>83162CRA3</v>
      </c>
      <c r="C2" s="131">
        <v>0.05</v>
      </c>
      <c r="D2" s="132">
        <f>IF(ISERROR(VLOOKUP(A2,'Bond Position per Summit'!$C$42:$E$56,3,0)),0,VLOOKUP(A2,'Bond Position per Summit'!$C$42:$E$56,3,0))</f>
        <v>38472614.460000001</v>
      </c>
      <c r="E2" s="67">
        <f>IF(ISERROR(VLOOKUP(A2,'Bond Position per Summit'!$C$65:$E$73,3,0)),0,VLOOKUP(A2,'Bond Position per Summit'!$C$65:$E$73,3,0))</f>
        <v>0</v>
      </c>
      <c r="F2" s="67" t="str">
        <f>_xll.BDP($B2&amp;" Mtge Cusip",F$1)</f>
        <v>SBAP 2007-20E 1</v>
      </c>
      <c r="G2" s="67">
        <f>VLOOKUP(A2,'Bond Position per Summit'!$C$10:$D$32,2,0)</f>
        <v>55961000</v>
      </c>
      <c r="H2" s="67">
        <f>VLOOKUP(A2,'Bond Position per Summit'!$C$10:$E$32,3,0)</f>
        <v>38472614.460000001</v>
      </c>
      <c r="I2" s="67" t="str">
        <f>_xll.BDP($B2&amp;" Mtge Cusip",I$1)</f>
        <v>16/05/2007</v>
      </c>
      <c r="J2" s="67" t="str">
        <f>_xll.BDP($B2&amp;" Mtge Cusip",J$1)</f>
        <v>16/05/2007</v>
      </c>
      <c r="K2" s="67" t="str">
        <f>_xll.BDP($B2&amp;" Mtge Cusip",K$1)</f>
        <v>01/11/2007</v>
      </c>
      <c r="L2" s="67" t="str">
        <f>_xll.BDP($B2&amp;" Mtge Cusip",L$1)</f>
        <v>01/05/2027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5.31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55961000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0.28756673469300004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165</v>
      </c>
      <c r="I6" s="108" t="s">
        <v>81</v>
      </c>
      <c r="J6" s="118">
        <v>38671</v>
      </c>
      <c r="K6" s="113">
        <f>ROUND(J6/J5,8)</f>
        <v>3.8670999999999997E-2</v>
      </c>
      <c r="L6" s="108" t="s">
        <v>81</v>
      </c>
      <c r="M6" s="112">
        <v>2164044</v>
      </c>
      <c r="N6" s="123">
        <f>ROUND(M6/M5,8)</f>
        <v>3.8670570000000001E-2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40883</v>
      </c>
      <c r="K7" s="115">
        <f>ROUND(J7/J5,8)</f>
        <v>4.0883000000000003E-2</v>
      </c>
      <c r="L7" s="109" t="s">
        <v>82</v>
      </c>
      <c r="M7" s="114">
        <v>2287858</v>
      </c>
      <c r="N7" s="124">
        <f>ROUND(M7/M5,8)</f>
        <v>4.0883080000000002E-2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4.9715263793098723</v>
      </c>
    </row>
    <row r="12" spans="1:23">
      <c r="A12" s="49">
        <f>_xll.BDS($B2&amp;" Mtge Cusip",A11,"cols=2;rows=18")</f>
        <v>42309</v>
      </c>
      <c r="B12" s="50">
        <v>0.28756673500000002</v>
      </c>
      <c r="C12" s="52"/>
      <c r="D12" s="70" t="str">
        <f ca="1">IF(E12&lt;$A$4,"Actual","Model Num")</f>
        <v>Actual</v>
      </c>
      <c r="E12" s="71">
        <v>39218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39218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39218</v>
      </c>
      <c r="Q12" s="94"/>
      <c r="R12" s="95"/>
      <c r="S12" s="96">
        <f>M12</f>
        <v>1000000</v>
      </c>
      <c r="U12" s="139">
        <f>P12</f>
        <v>39218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42125</v>
      </c>
      <c r="B13" s="50">
        <v>0.32270515500000002</v>
      </c>
      <c r="C13" s="52"/>
      <c r="D13" s="70" t="str">
        <f ca="1">IF(E13&lt;$A$4,"Actual","Model Num")</f>
        <v>Actual</v>
      </c>
      <c r="E13" s="71">
        <v>39387</v>
      </c>
      <c r="F13" s="74">
        <f>MAX(IF(ISERROR(VLOOKUP(E13,$A$12:$B$52,2,0)),VLOOKUP(E13,$P$11:$S$52,4,0)/1000000,(VLOOKUP(E13,$A$12:$B$52,2,0))),0)</f>
        <v>0.97665134399999998</v>
      </c>
      <c r="G13" s="128">
        <f>F13*1000000</f>
        <v>976651.34399999992</v>
      </c>
      <c r="H13" s="64"/>
      <c r="I13" s="80">
        <f>E13</f>
        <v>39387</v>
      </c>
      <c r="J13" s="125">
        <f>$M$12*$N$6</f>
        <v>38670.57</v>
      </c>
      <c r="K13" s="88">
        <f>($F$6/360)*($O$2/100)*M12</f>
        <v>24337.499999999996</v>
      </c>
      <c r="L13" s="90">
        <f>J13-K13</f>
        <v>14333.070000000003</v>
      </c>
      <c r="M13" s="79">
        <f>M12-L13</f>
        <v>985666.93</v>
      </c>
      <c r="N13" s="126">
        <f>L13/M12</f>
        <v>1.4333070000000003E-2</v>
      </c>
      <c r="O13" s="52"/>
      <c r="P13" s="80">
        <f>I13</f>
        <v>39387</v>
      </c>
      <c r="Q13" s="97">
        <f>S12*N13</f>
        <v>14333.070000000003</v>
      </c>
      <c r="R13" s="98">
        <f>S12*$C$2/2</f>
        <v>25000</v>
      </c>
      <c r="S13" s="99">
        <f ca="1">IF(P13&lt;$A$4,(VLOOKUP(P13,$A$11:$B$52,2,0)*$S$12),(S12-(Q13+R13)))</f>
        <v>976651.34399999992</v>
      </c>
      <c r="U13" s="80">
        <f>P13</f>
        <v>39387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41944</v>
      </c>
      <c r="B14" s="50">
        <v>0.37020826400000001</v>
      </c>
      <c r="C14" s="52"/>
      <c r="D14" s="70" t="str">
        <f ca="1">IF(E14&lt;$A$4,"Actual","Model Num")</f>
        <v>Actual</v>
      </c>
      <c r="E14" s="71">
        <f>DATE(YEAR(E13),MONTH(E13)+6,DAY(E13))</f>
        <v>39569</v>
      </c>
      <c r="F14" s="74">
        <f>MAX(IF(ISERROR(VLOOKUP(E14,$A$12:$B$52,2,0)),VLOOKUP(E14,$P$11:$S$52,4,0)/1000000,(VLOOKUP(E14,$A$12:$B$52,2,0))),0)</f>
        <v>0.94533758499999998</v>
      </c>
      <c r="G14" s="128">
        <f>F14*1000000</f>
        <v>945337.58499999996</v>
      </c>
      <c r="H14" s="64"/>
      <c r="I14" s="80">
        <f>E14</f>
        <v>39569</v>
      </c>
      <c r="J14" s="205">
        <f>$M$12*$N$7</f>
        <v>40883.08</v>
      </c>
      <c r="K14" s="88">
        <f>($F$7/360)*($O$2/100)*M13</f>
        <v>26169.456991499999</v>
      </c>
      <c r="L14" s="90">
        <f>J14-K14</f>
        <v>14713.623008500002</v>
      </c>
      <c r="M14" s="79">
        <f>M13-L14</f>
        <v>970953.30699150008</v>
      </c>
      <c r="N14" s="126">
        <f>L14/M13</f>
        <v>1.4927581072949258E-2</v>
      </c>
      <c r="O14" s="52"/>
      <c r="P14" s="80">
        <f>I14</f>
        <v>39569</v>
      </c>
      <c r="Q14" s="97">
        <f ca="1">S13*N14</f>
        <v>14579.042117564853</v>
      </c>
      <c r="R14" s="98">
        <f ca="1">S13*$C$2/2</f>
        <v>24416.283599999999</v>
      </c>
      <c r="S14" s="99">
        <f ca="1">IF(P14&lt;$A$4,(VLOOKUP(P14,$A$11:$B$52,2,0)*$S$12),(S13-(Q14+R14)))</f>
        <v>945337.58499999996</v>
      </c>
      <c r="U14" s="80">
        <f>P14</f>
        <v>39569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41760</v>
      </c>
      <c r="B15" s="50">
        <v>0.40471501300000001</v>
      </c>
      <c r="C15" s="52"/>
      <c r="D15" s="70" t="str">
        <f ca="1">IF(E15&lt;$A$4,"Actual","Model Num")</f>
        <v>Actual</v>
      </c>
      <c r="E15" s="71">
        <f>DATE(YEAR(E14),MONTH(E14)+6,DAY(E14))</f>
        <v>39753</v>
      </c>
      <c r="F15" s="74">
        <f>MAX(IF(ISERROR(VLOOKUP(E15,$A$12:$B$52,2,0)),VLOOKUP(E15,$P$11:$S$52,4,0)/1000000,(VLOOKUP(E15,$A$12:$B$52,2,0))),0)</f>
        <v>0.906387214</v>
      </c>
      <c r="G15" s="128">
        <f>F15*1000000</f>
        <v>906387.21400000004</v>
      </c>
      <c r="H15" s="64"/>
      <c r="I15" s="80">
        <f>E15</f>
        <v>39753</v>
      </c>
      <c r="J15" s="205">
        <f>$M$12*$N$7</f>
        <v>40883.08</v>
      </c>
      <c r="K15" s="88">
        <f>($F$7/360)*($O$2/100)*M14</f>
        <v>25778.810300624325</v>
      </c>
      <c r="L15" s="90">
        <f>J15-K15</f>
        <v>15104.269699375676</v>
      </c>
      <c r="M15" s="79">
        <f>M14-L15</f>
        <v>955849.03729212435</v>
      </c>
      <c r="N15" s="126">
        <f>L15/M14</f>
        <v>1.5556123647362892E-2</v>
      </c>
      <c r="O15" s="52"/>
      <c r="P15" s="80">
        <f>I15</f>
        <v>39753</v>
      </c>
      <c r="Q15" s="97">
        <f ca="1">S14*N15</f>
        <v>14705.788360759427</v>
      </c>
      <c r="R15" s="98">
        <f ca="1">S14*$C$2/2</f>
        <v>23633.439624999999</v>
      </c>
      <c r="S15" s="99">
        <f ca="1">IF(P15&lt;$A$4,(VLOOKUP(P15,$A$11:$B$52,2,0)*$S$12),(S14-(Q15+R15)))</f>
        <v>906387.21400000004</v>
      </c>
      <c r="U15" s="80">
        <f>P15</f>
        <v>39753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41579</v>
      </c>
      <c r="B16" s="50">
        <v>0.43666591300000002</v>
      </c>
      <c r="C16" s="52"/>
      <c r="D16" s="70" t="str">
        <f ca="1">IF(E16&lt;$A$4,"Actual","Model Num")</f>
        <v>Actual</v>
      </c>
      <c r="E16" s="71">
        <f>DATE(YEAR(E15),MONTH(E15)+6,DAY(E15))</f>
        <v>39934</v>
      </c>
      <c r="F16" s="74">
        <f>MAX(IF(ISERROR(VLOOKUP(E16,$A$12:$B$52,2,0)),VLOOKUP(E16,$P$11:$S$52,4,0)/1000000,(VLOOKUP(E16,$A$12:$B$52,2,0))),0)</f>
        <v>0.86253124599999997</v>
      </c>
      <c r="G16" s="128">
        <f>F16*1000000</f>
        <v>862531.24599999993</v>
      </c>
      <c r="H16" s="64"/>
      <c r="I16" s="80">
        <f>E16</f>
        <v>39934</v>
      </c>
      <c r="J16" s="205">
        <f>$M$12*$N$7</f>
        <v>40883.08</v>
      </c>
      <c r="K16" s="88">
        <f>($F$7/360)*($O$2/100)*M15</f>
        <v>25377.791940105901</v>
      </c>
      <c r="L16" s="90">
        <f>J16-K16</f>
        <v>15505.288059894101</v>
      </c>
      <c r="M16" s="79">
        <f>M15-L16</f>
        <v>940343.74923223024</v>
      </c>
      <c r="N16" s="126">
        <f>L16/M15</f>
        <v>1.6221482111673048E-2</v>
      </c>
      <c r="O16" s="52"/>
      <c r="P16" s="80">
        <f>I16</f>
        <v>39934</v>
      </c>
      <c r="Q16" s="97">
        <f ca="1">S15*N16</f>
        <v>14702.943978150171</v>
      </c>
      <c r="R16" s="98">
        <f ca="1">S15*$C$2/2</f>
        <v>22659.680350000002</v>
      </c>
      <c r="S16" s="99">
        <f ca="1">IF(P16&lt;$A$4,(VLOOKUP(P16,$A$11:$B$52,2,0)*$S$12),(S15-(Q16+R16)))</f>
        <v>862531.24599999993</v>
      </c>
      <c r="U16" s="80">
        <f>P16</f>
        <v>39934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41395</v>
      </c>
      <c r="B17" s="50">
        <v>0.47616052199999997</v>
      </c>
      <c r="C17" s="52"/>
      <c r="D17" s="70" t="str">
        <f ca="1">IF(E17&lt;$A$4,"Actual","Model Num")</f>
        <v>Actual</v>
      </c>
      <c r="E17" s="71">
        <f>DATE(YEAR(E16),MONTH(E16)+6,DAY(E16))</f>
        <v>40118</v>
      </c>
      <c r="F17" s="74">
        <f>MAX(IF(ISERROR(VLOOKUP(E17,$A$12:$B$52,2,0)),VLOOKUP(E17,$P$11:$S$52,4,0)/1000000,(VLOOKUP(E17,$A$12:$B$52,2,0))),0)</f>
        <v>0.81354671999999995</v>
      </c>
      <c r="G17" s="128">
        <f>F17*1000000</f>
        <v>813546.72</v>
      </c>
      <c r="H17" s="64"/>
      <c r="I17" s="80">
        <f>E17</f>
        <v>40118</v>
      </c>
      <c r="J17" s="205">
        <f>$M$12*$N$7</f>
        <v>40883.08</v>
      </c>
      <c r="K17" s="88">
        <f>($F$7/360)*($O$2/100)*M16</f>
        <v>24966.126542115711</v>
      </c>
      <c r="L17" s="90">
        <f>J17-K17</f>
        <v>15916.95345788429</v>
      </c>
      <c r="M17" s="79">
        <f>M16-L17</f>
        <v>924426.79577434598</v>
      </c>
      <c r="N17" s="126">
        <f>L17/M16</f>
        <v>1.6926739259850592E-2</v>
      </c>
      <c r="O17" s="52"/>
      <c r="P17" s="80">
        <f>I17</f>
        <v>40118</v>
      </c>
      <c r="Q17" s="97">
        <f ca="1">S16*N17</f>
        <v>14599.841504516047</v>
      </c>
      <c r="R17" s="98">
        <f ca="1">S16*$C$2/2</f>
        <v>21563.281149999999</v>
      </c>
      <c r="S17" s="99">
        <f ca="1">IF(P17&lt;$A$4,(VLOOKUP(P17,$A$11:$B$52,2,0)*$S$12),(S16-(Q17+R17)))</f>
        <v>813546.72</v>
      </c>
      <c r="U17" s="80">
        <f>P17</f>
        <v>40118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41214</v>
      </c>
      <c r="B18" s="50">
        <v>0.51867762799999995</v>
      </c>
      <c r="C18" s="52"/>
      <c r="D18" s="70" t="str">
        <f ca="1">IF(E18&lt;$A$4,"Actual","Model Num")</f>
        <v>Actual</v>
      </c>
      <c r="E18" s="71">
        <f>DATE(YEAR(E17),MONTH(E17)+6,DAY(E17))</f>
        <v>40299</v>
      </c>
      <c r="F18" s="74">
        <f>MAX(IF(ISERROR(VLOOKUP(E18,$A$12:$B$52,2,0)),VLOOKUP(E18,$P$11:$S$52,4,0)/1000000,(VLOOKUP(E18,$A$12:$B$52,2,0))),0)</f>
        <v>0.75379645699999998</v>
      </c>
      <c r="G18" s="128">
        <f>F18*1000000</f>
        <v>753796.45699999994</v>
      </c>
      <c r="H18" s="64"/>
      <c r="I18" s="80">
        <f>E18</f>
        <v>40299</v>
      </c>
      <c r="J18" s="205">
        <f>$M$12*$N$7</f>
        <v>40883.08</v>
      </c>
      <c r="K18" s="88">
        <f>($F$7/360)*($O$2/100)*M17</f>
        <v>24543.531427808884</v>
      </c>
      <c r="L18" s="90">
        <f>J18-K18</f>
        <v>16339.548572191117</v>
      </c>
      <c r="M18" s="79">
        <f>M17-L18</f>
        <v>908087.24720215483</v>
      </c>
      <c r="N18" s="126">
        <f>L18/M17</f>
        <v>1.7675329887537818E-2</v>
      </c>
      <c r="O18" s="52"/>
      <c r="P18" s="80">
        <f>I18</f>
        <v>40299</v>
      </c>
      <c r="Q18" s="97">
        <f ca="1">S17*N18</f>
        <v>14379.706654924359</v>
      </c>
      <c r="R18" s="98">
        <f ca="1">S17*$C$2/2</f>
        <v>20338.668000000001</v>
      </c>
      <c r="S18" s="99">
        <f ca="1">IF(P18&lt;$A$4,(VLOOKUP(P18,$A$11:$B$52,2,0)*$S$12),(S17-(Q18+R18)))</f>
        <v>753796.45699999994</v>
      </c>
      <c r="U18" s="80">
        <f>P18</f>
        <v>40299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41030</v>
      </c>
      <c r="B19" s="50">
        <v>0.56233530600000003</v>
      </c>
      <c r="C19" s="52"/>
      <c r="D19" s="70" t="str">
        <f ca="1">IF(E19&lt;$A$4,"Actual","Model Num")</f>
        <v>Actual</v>
      </c>
      <c r="E19" s="71">
        <f>DATE(YEAR(E18),MONTH(E18)+6,DAY(E18))</f>
        <v>40483</v>
      </c>
      <c r="F19" s="74">
        <f>MAX(IF(ISERROR(VLOOKUP(E19,$A$12:$B$52,2,0)),VLOOKUP(E19,$P$11:$S$52,4,0)/1000000,(VLOOKUP(E19,$A$12:$B$52,2,0))),0)</f>
        <v>0.68748975999999995</v>
      </c>
      <c r="G19" s="128">
        <f>F19*1000000</f>
        <v>687489.75999999989</v>
      </c>
      <c r="H19" s="64"/>
      <c r="I19" s="80">
        <f>E19</f>
        <v>40483</v>
      </c>
      <c r="J19" s="205">
        <f>$M$12*$N$7</f>
        <v>40883.08</v>
      </c>
      <c r="K19" s="88">
        <f>($F$7/360)*($O$2/100)*M18</f>
        <v>24109.716413217207</v>
      </c>
      <c r="L19" s="90">
        <f>J19-K19</f>
        <v>16773.363586782794</v>
      </c>
      <c r="M19" s="79">
        <f>M18-L19</f>
        <v>891313.883615372</v>
      </c>
      <c r="N19" s="126">
        <f>L19/M18</f>
        <v>1.8471092550261057E-2</v>
      </c>
      <c r="O19" s="52"/>
      <c r="P19" s="80">
        <f>I19</f>
        <v>40483</v>
      </c>
      <c r="Q19" s="97">
        <f ca="1">S18*N19</f>
        <v>13923.444121305878</v>
      </c>
      <c r="R19" s="98">
        <f ca="1">S18*$C$2/2</f>
        <v>18844.911424999998</v>
      </c>
      <c r="S19" s="99">
        <f ca="1">IF(P19&lt;$A$4,(VLOOKUP(P19,$A$11:$B$52,2,0)*$S$12),(S18-(Q19+R19)))</f>
        <v>687489.75999999989</v>
      </c>
      <c r="U19" s="80">
        <f>P19</f>
        <v>40483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40848</v>
      </c>
      <c r="B20" s="50">
        <v>0.60448070700000001</v>
      </c>
      <c r="C20" s="52"/>
      <c r="D20" s="70" t="str">
        <f ca="1">IF(E20&lt;$A$4,"Actual","Model Num")</f>
        <v>Actual</v>
      </c>
      <c r="E20" s="71">
        <f>DATE(YEAR(E19),MONTH(E19)+6,DAY(E19))</f>
        <v>40664</v>
      </c>
      <c r="F20" s="74">
        <f>MAX(IF(ISERROR(VLOOKUP(E20,$A$12:$B$52,2,0)),VLOOKUP(E20,$P$11:$S$52,4,0)/1000000,(VLOOKUP(E20,$A$12:$B$52,2,0))),0)</f>
        <v>0.642576221</v>
      </c>
      <c r="G20" s="128">
        <f>F20*1000000</f>
        <v>642576.22100000002</v>
      </c>
      <c r="H20" s="64"/>
      <c r="I20" s="80">
        <f>E20</f>
        <v>40664</v>
      </c>
      <c r="J20" s="205">
        <f>$M$12*$N$7</f>
        <v>40883.08</v>
      </c>
      <c r="K20" s="88">
        <f>($F$7/360)*($O$2/100)*M19</f>
        <v>23664.383609988123</v>
      </c>
      <c r="L20" s="90">
        <f>J20-K20</f>
        <v>17218.696390011879</v>
      </c>
      <c r="M20" s="79">
        <f>M19-L20</f>
        <v>874095.18722536007</v>
      </c>
      <c r="N20" s="126">
        <f>L20/M19</f>
        <v>1.9318330732344173E-2</v>
      </c>
      <c r="O20" s="52"/>
      <c r="P20" s="80">
        <f>I20</f>
        <v>40664</v>
      </c>
      <c r="Q20" s="97">
        <f ca="1">S19*N20</f>
        <v>13281.154558779917</v>
      </c>
      <c r="R20" s="98">
        <f ca="1">S19*$C$2/2</f>
        <v>17187.243999999999</v>
      </c>
      <c r="S20" s="99">
        <f ca="1">IF(P20&lt;$A$4,(VLOOKUP(P20,$A$11:$B$52,2,0)*$S$12),(S19-(Q20+R20)))</f>
        <v>642576.22100000002</v>
      </c>
      <c r="U20" s="80">
        <f>P20</f>
        <v>40664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40664</v>
      </c>
      <c r="B21" s="50">
        <v>0.642576221</v>
      </c>
      <c r="C21" s="52"/>
      <c r="D21" s="70" t="str">
        <f ca="1">IF(E21&lt;$A$4,"Actual","Model Num")</f>
        <v>Actual</v>
      </c>
      <c r="E21" s="71">
        <f>DATE(YEAR(E20),MONTH(E20)+6,DAY(E20))</f>
        <v>40848</v>
      </c>
      <c r="F21" s="74">
        <f>MAX(IF(ISERROR(VLOOKUP(E21,$A$12:$B$52,2,0)),VLOOKUP(E21,$P$11:$S$52,4,0)/1000000,(VLOOKUP(E21,$A$12:$B$52,2,0))),0)</f>
        <v>0.60448070700000001</v>
      </c>
      <c r="G21" s="128">
        <f>F21*1000000</f>
        <v>604480.70700000005</v>
      </c>
      <c r="H21" s="64"/>
      <c r="I21" s="80">
        <f>E21</f>
        <v>40848</v>
      </c>
      <c r="J21" s="205">
        <f>$M$12*$N$7</f>
        <v>40883.08</v>
      </c>
      <c r="K21" s="88">
        <f>($F$7/360)*($O$2/100)*M20</f>
        <v>23207.227220833309</v>
      </c>
      <c r="L21" s="90">
        <f>J21-K21</f>
        <v>17675.852779166693</v>
      </c>
      <c r="M21" s="79">
        <f>M20-L21</f>
        <v>856419.33444619342</v>
      </c>
      <c r="N21" s="126">
        <f>L21/M20</f>
        <v>2.022188548512107E-2</v>
      </c>
      <c r="O21" s="52"/>
      <c r="P21" s="80">
        <f>I21</f>
        <v>40848</v>
      </c>
      <c r="Q21" s="97">
        <f ca="1">S20*N21</f>
        <v>12994.102756523849</v>
      </c>
      <c r="R21" s="98">
        <f ca="1">S20*$C$2/2</f>
        <v>16064.405525000002</v>
      </c>
      <c r="S21" s="99">
        <f ca="1">IF(P21&lt;$A$4,(VLOOKUP(P21,$A$11:$B$52,2,0)*$S$12),(S20-(Q21+R21)))</f>
        <v>604480.70700000005</v>
      </c>
      <c r="U21" s="80">
        <f>P21</f>
        <v>40848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40483</v>
      </c>
      <c r="B22" s="50">
        <v>0.68748975999999995</v>
      </c>
      <c r="C22" s="52"/>
      <c r="D22" s="70" t="str">
        <f ca="1">IF(E22&lt;$A$4,"Actual","Model Num")</f>
        <v>Actual</v>
      </c>
      <c r="E22" s="71">
        <f>DATE(YEAR(E21),MONTH(E21)+6,DAY(E21))</f>
        <v>41030</v>
      </c>
      <c r="F22" s="74">
        <f>MAX(IF(ISERROR(VLOOKUP(E22,$A$12:$B$52,2,0)),VLOOKUP(E22,$P$11:$S$52,4,0)/1000000,(VLOOKUP(E22,$A$12:$B$52,2,0))),0)</f>
        <v>0.56233530600000003</v>
      </c>
      <c r="G22" s="128">
        <f>F22*1000000</f>
        <v>562335.30599999998</v>
      </c>
      <c r="H22" s="64"/>
      <c r="I22" s="80">
        <f>E22</f>
        <v>41030</v>
      </c>
      <c r="J22" s="205">
        <f>$M$12*$N$7</f>
        <v>40883.08</v>
      </c>
      <c r="K22" s="88">
        <f>($F$7/360)*($O$2/100)*M21</f>
        <v>22737.933329546431</v>
      </c>
      <c r="L22" s="90">
        <f>J22-K22</f>
        <v>18145.146670453571</v>
      </c>
      <c r="M22" s="79">
        <f>M21-L22</f>
        <v>838274.18777573982</v>
      </c>
      <c r="N22" s="126">
        <f>L22/M21</f>
        <v>2.1187222124296381E-2</v>
      </c>
      <c r="O22" s="52"/>
      <c r="P22" s="80">
        <f>I22</f>
        <v>41030</v>
      </c>
      <c r="Q22" s="97">
        <f ca="1">S21*N22</f>
        <v>12807.267009060719</v>
      </c>
      <c r="R22" s="98">
        <f ca="1">S21*$C$2/2</f>
        <v>15112.017675000003</v>
      </c>
      <c r="S22" s="99">
        <f ca="1">IF(P22&lt;$A$4,(VLOOKUP(P22,$A$11:$B$52,2,0)*$S$12),(S21-(Q22+R22)))</f>
        <v>562335.30599999998</v>
      </c>
      <c r="U22" s="80">
        <f>P22</f>
        <v>41030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40299</v>
      </c>
      <c r="B23" s="50">
        <v>0.75379645699999998</v>
      </c>
      <c r="C23" s="52"/>
      <c r="D23" s="70" t="str">
        <f ca="1">IF(E23&lt;$A$4,"Actual","Model Num")</f>
        <v>Actual</v>
      </c>
      <c r="E23" s="71">
        <f>DATE(YEAR(E22),MONTH(E22)+6,DAY(E22))</f>
        <v>41214</v>
      </c>
      <c r="F23" s="74">
        <f>MAX(IF(ISERROR(VLOOKUP(E23,$A$12:$B$52,2,0)),VLOOKUP(E23,$P$11:$S$52,4,0)/1000000,(VLOOKUP(E23,$A$12:$B$52,2,0))),0)</f>
        <v>0.51867762799999995</v>
      </c>
      <c r="G23" s="128">
        <f>F23*1000000</f>
        <v>518677.62799999997</v>
      </c>
      <c r="H23" s="64"/>
      <c r="I23" s="80">
        <f>E23</f>
        <v>41214</v>
      </c>
      <c r="J23" s="205">
        <f>$M$12*$N$7</f>
        <v>40883.08</v>
      </c>
      <c r="K23" s="88">
        <f>($F$7/360)*($O$2/100)*M22</f>
        <v>22256.179685445888</v>
      </c>
      <c r="L23" s="90">
        <f>J23-K23</f>
        <v>18626.900314554114</v>
      </c>
      <c r="M23" s="79">
        <f>M22-L23</f>
        <v>819647.28746118571</v>
      </c>
      <c r="N23" s="126">
        <f>L23/M22</f>
        <v>2.2220534266930447E-2</v>
      </c>
      <c r="O23" s="52"/>
      <c r="P23" s="80">
        <f>I23</f>
        <v>41214</v>
      </c>
      <c r="Q23" s="97">
        <f ca="1">S22*N23</f>
        <v>12495.390936477817</v>
      </c>
      <c r="R23" s="98">
        <f ca="1">S22*$C$2/2</f>
        <v>14058.38265</v>
      </c>
      <c r="S23" s="99">
        <f ca="1">IF(P23&lt;$A$4,(VLOOKUP(P23,$A$11:$B$52,2,0)*$S$12),(S22-(Q23+R23)))</f>
        <v>518677.62799999997</v>
      </c>
      <c r="U23" s="80">
        <f>P23</f>
        <v>41214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40118</v>
      </c>
      <c r="B24" s="50">
        <v>0.81354671999999995</v>
      </c>
      <c r="C24" s="52"/>
      <c r="D24" s="70" t="str">
        <f ca="1">IF(E24&lt;$A$4,"Actual","Model Num")</f>
        <v>Actual</v>
      </c>
      <c r="E24" s="71">
        <f>DATE(YEAR(E23),MONTH(E23)+6,DAY(E23))</f>
        <v>41395</v>
      </c>
      <c r="F24" s="74">
        <f>MAX(IF(ISERROR(VLOOKUP(E24,$A$12:$B$52,2,0)),VLOOKUP(E24,$P$11:$S$52,4,0)/1000000,(VLOOKUP(E24,$A$12:$B$52,2,0))),0)</f>
        <v>0.47616052199999997</v>
      </c>
      <c r="G24" s="128">
        <f>F24*1000000</f>
        <v>476160.522</v>
      </c>
      <c r="H24" s="64"/>
      <c r="I24" s="80">
        <f>E24</f>
        <v>41395</v>
      </c>
      <c r="J24" s="205">
        <f>$M$12*$N$7</f>
        <v>40883.08</v>
      </c>
      <c r="K24" s="88">
        <f>($F$7/360)*($O$2/100)*M23</f>
        <v>21761.63548209448</v>
      </c>
      <c r="L24" s="90">
        <f>J24-K24</f>
        <v>19121.444517905522</v>
      </c>
      <c r="M24" s="79">
        <f>M23-L24</f>
        <v>800525.84294328024</v>
      </c>
      <c r="N24" s="126">
        <f>L24/M23</f>
        <v>2.3328869393484102E-2</v>
      </c>
      <c r="O24" s="52"/>
      <c r="P24" s="80">
        <f>I24</f>
        <v>41395</v>
      </c>
      <c r="Q24" s="97">
        <f ca="1">S23*N24</f>
        <v>12100.162640934132</v>
      </c>
      <c r="R24" s="98">
        <f ca="1">S23*$C$2/2</f>
        <v>12966.940699999999</v>
      </c>
      <c r="S24" s="99">
        <f ca="1">IF(P24&lt;$A$4,(VLOOKUP(P24,$A$11:$B$52,2,0)*$S$12),(S23-(Q24+R24)))</f>
        <v>476160.522</v>
      </c>
      <c r="U24" s="80">
        <f>P24</f>
        <v>41395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39934</v>
      </c>
      <c r="B25" s="50">
        <v>0.86253124599999997</v>
      </c>
      <c r="C25" s="52"/>
      <c r="D25" s="70" t="str">
        <f ca="1">IF(E25&lt;$A$4,"Actual","Model Num")</f>
        <v>Actual</v>
      </c>
      <c r="E25" s="71">
        <f>DATE(YEAR(E24),MONTH(E24)+6,DAY(E24))</f>
        <v>41579</v>
      </c>
      <c r="F25" s="74">
        <f>MAX(IF(ISERROR(VLOOKUP(E25,$A$12:$B$52,2,0)),VLOOKUP(E25,$P$11:$S$52,4,0)/1000000,(VLOOKUP(E25,$A$12:$B$52,2,0))),0)</f>
        <v>0.43666591300000002</v>
      </c>
      <c r="G25" s="128">
        <f>F25*1000000</f>
        <v>436665.913</v>
      </c>
      <c r="H25" s="64"/>
      <c r="I25" s="80">
        <f>E25</f>
        <v>41579</v>
      </c>
      <c r="J25" s="205">
        <f>$M$12*$N$7</f>
        <v>40883.08</v>
      </c>
      <c r="K25" s="88">
        <f>($F$7/360)*($O$2/100)*M24</f>
        <v>21253.961130144089</v>
      </c>
      <c r="L25" s="90">
        <f>J25-K25</f>
        <v>19629.118869855913</v>
      </c>
      <c r="M25" s="79">
        <f>M24-L25</f>
        <v>780896.72407342435</v>
      </c>
      <c r="N25" s="126">
        <f>L25/M24</f>
        <v>2.452028131619818E-2</v>
      </c>
      <c r="O25" s="52"/>
      <c r="P25" s="80">
        <f>I25</f>
        <v>41579</v>
      </c>
      <c r="Q25" s="97">
        <f ca="1">S24*N25</f>
        <v>11675.589951107773</v>
      </c>
      <c r="R25" s="98">
        <f ca="1">S24*$C$2/2</f>
        <v>11904.013050000001</v>
      </c>
      <c r="S25" s="99">
        <f ca="1">IF(P25&lt;$A$4,(VLOOKUP(P25,$A$11:$B$52,2,0)*$S$12),(S24-(Q25+R25)))</f>
        <v>436665.913</v>
      </c>
      <c r="U25" s="80">
        <f>P25</f>
        <v>41579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39753</v>
      </c>
      <c r="B26" s="50">
        <v>0.906387214</v>
      </c>
      <c r="C26" s="52"/>
      <c r="D26" s="70" t="str">
        <f ca="1">IF(E26&lt;$A$4,"Actual","Model Num")</f>
        <v>Actual</v>
      </c>
      <c r="E26" s="71">
        <f>DATE(YEAR(E25),MONTH(E25)+6,DAY(E25))</f>
        <v>41760</v>
      </c>
      <c r="F26" s="74">
        <f>MAX(IF(ISERROR(VLOOKUP(E26,$A$12:$B$52,2,0)),VLOOKUP(E26,$P$11:$S$52,4,0)/1000000,(VLOOKUP(E26,$A$12:$B$52,2,0))),0)</f>
        <v>0.40471501300000001</v>
      </c>
      <c r="G26" s="128">
        <f>F26*1000000</f>
        <v>404715.01300000004</v>
      </c>
      <c r="H26" s="64"/>
      <c r="I26" s="80">
        <f>E26</f>
        <v>41760</v>
      </c>
      <c r="J26" s="205">
        <f>$M$12*$N$7</f>
        <v>40883.08</v>
      </c>
      <c r="K26" s="88">
        <f>($F$7/360)*($O$2/100)*M25</f>
        <v>20732.808024149414</v>
      </c>
      <c r="L26" s="90">
        <f>J26-K26</f>
        <v>20150.271975850588</v>
      </c>
      <c r="M26" s="79">
        <f>M25-L26</f>
        <v>760746.45209757378</v>
      </c>
      <c r="N26" s="126">
        <f>L26/M25</f>
        <v>2.5804016529535276E-2</v>
      </c>
      <c r="O26" s="52"/>
      <c r="P26" s="80">
        <f>I26</f>
        <v>41760</v>
      </c>
      <c r="Q26" s="97">
        <f ca="1">S25*N26</f>
        <v>11267.734436936613</v>
      </c>
      <c r="R26" s="98">
        <f ca="1">S25*$C$2/2</f>
        <v>10916.647825</v>
      </c>
      <c r="S26" s="99">
        <f ca="1">IF(P26&lt;$A$4,(VLOOKUP(P26,$A$11:$B$52,2,0)*$S$12),(S25-(Q26+R26)))</f>
        <v>404715.01300000004</v>
      </c>
      <c r="U26" s="80">
        <f>P26</f>
        <v>41760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39569</v>
      </c>
      <c r="B27" s="50">
        <v>0.94533758499999998</v>
      </c>
      <c r="C27" s="52"/>
      <c r="D27" s="70" t="str">
        <f ca="1">IF(E27&lt;$A$4,"Actual","Model Num")</f>
        <v>Actual</v>
      </c>
      <c r="E27" s="71">
        <f>DATE(YEAR(E26),MONTH(E26)+6,DAY(E26))</f>
        <v>41944</v>
      </c>
      <c r="F27" s="74">
        <f>MAX(IF(ISERROR(VLOOKUP(E27,$A$12:$B$52,2,0)),VLOOKUP(E27,$P$11:$S$52,4,0)/1000000,(VLOOKUP(E27,$A$12:$B$52,2,0))),0)</f>
        <v>0.37020826400000001</v>
      </c>
      <c r="G27" s="128">
        <f>F27*1000000</f>
        <v>370208.26400000002</v>
      </c>
      <c r="H27" s="64"/>
      <c r="I27" s="80">
        <f>E27</f>
        <v>41944</v>
      </c>
      <c r="J27" s="205">
        <f>$M$12*$N$7</f>
        <v>40883.08</v>
      </c>
      <c r="K27" s="88">
        <f>($F$7/360)*($O$2/100)*M26</f>
        <v>20197.818303190583</v>
      </c>
      <c r="L27" s="90">
        <f>J27-K27</f>
        <v>20685.261696809419</v>
      </c>
      <c r="M27" s="79">
        <f>M26-L27</f>
        <v>740061.19040076435</v>
      </c>
      <c r="N27" s="126">
        <f>L27/M26</f>
        <v>2.7190743564790645E-2</v>
      </c>
      <c r="O27" s="52"/>
      <c r="P27" s="80">
        <f>I27</f>
        <v>41944</v>
      </c>
      <c r="Q27" s="97">
        <f ca="1">S26*N27</f>
        <v>11004.502135303914</v>
      </c>
      <c r="R27" s="98">
        <f ca="1">S26*$C$2/2</f>
        <v>10117.875325000001</v>
      </c>
      <c r="S27" s="99">
        <f ca="1">IF(P27&lt;$A$4,(VLOOKUP(P27,$A$11:$B$52,2,0)*$S$12),(S26-(Q27+R27)))</f>
        <v>370208.26400000002</v>
      </c>
      <c r="U27" s="80">
        <f>P27</f>
        <v>41944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39387</v>
      </c>
      <c r="B28" s="50">
        <v>0.97665134399999998</v>
      </c>
      <c r="C28" s="52"/>
      <c r="D28" s="70" t="str">
        <f ca="1">IF(E28&lt;$A$4,"Actual","Model Num")</f>
        <v>Actual</v>
      </c>
      <c r="E28" s="71">
        <f>DATE(YEAR(E27),MONTH(E27)+6,DAY(E27))</f>
        <v>42125</v>
      </c>
      <c r="F28" s="74">
        <f>MAX(IF(ISERROR(VLOOKUP(E28,$A$12:$B$52,2,0)),VLOOKUP(E28,$P$11:$S$52,4,0)/1000000,(VLOOKUP(E28,$A$12:$B$52,2,0))),0)</f>
        <v>0.32270515500000002</v>
      </c>
      <c r="G28" s="128">
        <f>F28*1000000</f>
        <v>322705.15500000003</v>
      </c>
      <c r="H28" s="64"/>
      <c r="I28" s="80">
        <f>E28</f>
        <v>42125</v>
      </c>
      <c r="J28" s="205">
        <f>$M$12*$N$7</f>
        <v>40883.08</v>
      </c>
      <c r="K28" s="88">
        <f>($F$7/360)*($O$2/100)*M27</f>
        <v>19648.624605140292</v>
      </c>
      <c r="L28" s="90">
        <f>J28-K28</f>
        <v>21234.455394859709</v>
      </c>
      <c r="M28" s="79">
        <f>M27-L28</f>
        <v>718826.73500590469</v>
      </c>
      <c r="N28" s="126">
        <f>L28/M27</f>
        <v>2.8692837390055063E-2</v>
      </c>
      <c r="O28" s="52"/>
      <c r="P28" s="80">
        <f>I28</f>
        <v>42125</v>
      </c>
      <c r="Q28" s="97">
        <f ca="1">S27*N28</f>
        <v>10622.325519406577</v>
      </c>
      <c r="R28" s="98">
        <f ca="1">S27*$C$2/2</f>
        <v>9255.2066000000013</v>
      </c>
      <c r="S28" s="99">
        <f ca="1">IF(P28&lt;$A$4,(VLOOKUP(P28,$A$11:$B$52,2,0)*$S$12),(S27-(Q28+R28)))</f>
        <v>322705.15500000003</v>
      </c>
      <c r="U28" s="80">
        <f>P28</f>
        <v>42125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39218</v>
      </c>
      <c r="B29" s="50">
        <v>1</v>
      </c>
      <c r="C29" s="52"/>
      <c r="D29" s="70" t="str">
        <f ca="1">IF(E29&lt;$A$4,"Actual","Model Num")</f>
        <v>Actual</v>
      </c>
      <c r="E29" s="71">
        <f>DATE(YEAR(E28),MONTH(E28)+6,DAY(E28))</f>
        <v>42309</v>
      </c>
      <c r="F29" s="74">
        <f>MAX(IF(ISERROR(VLOOKUP(E29,$A$12:$B$52,2,0)),VLOOKUP(E29,$P$11:$S$52,4,0)/1000000,(VLOOKUP(E29,$A$12:$B$52,2,0))),0)</f>
        <v>0.28756673500000002</v>
      </c>
      <c r="G29" s="128">
        <f>F29*1000000</f>
        <v>287566.73500000004</v>
      </c>
      <c r="H29" s="64"/>
      <c r="I29" s="80">
        <f>E29</f>
        <v>42309</v>
      </c>
      <c r="J29" s="205">
        <f>$M$12*$N$7</f>
        <v>40883.08</v>
      </c>
      <c r="K29" s="88">
        <f>($F$7/360)*($O$2/100)*M28</f>
        <v>19084.849814406767</v>
      </c>
      <c r="L29" s="90">
        <f>J29-K29</f>
        <v>21798.230185593235</v>
      </c>
      <c r="M29" s="79">
        <f>M28-L29</f>
        <v>697028.50482031144</v>
      </c>
      <c r="N29" s="126">
        <f>L29/M28</f>
        <v>3.0324734910442887E-2</v>
      </c>
      <c r="O29" s="52"/>
      <c r="P29" s="80">
        <f>I29</f>
        <v>42309</v>
      </c>
      <c r="Q29" s="97">
        <f ca="1">S28*N29</f>
        <v>9785.948279608383</v>
      </c>
      <c r="R29" s="98">
        <f ca="1">S28*$C$2/2</f>
        <v>8067.6288750000012</v>
      </c>
      <c r="S29" s="99">
        <f ca="1">IF(P29&lt;$A$4,(VLOOKUP(P29,$A$11:$B$52,2,0)*$S$12),(S28-(Q29+R29)))</f>
        <v>287566.73500000004</v>
      </c>
      <c r="U29" s="80">
        <f>P29</f>
        <v>42309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/>
      <c r="B30" s="50"/>
      <c r="C30" s="52"/>
      <c r="D30" s="70" t="str">
        <f ca="1">IF(E30&lt;$A$4,"Actual","Model Num")</f>
        <v>Model Num</v>
      </c>
      <c r="E30" s="71">
        <f>DATE(YEAR(E29),MONTH(E29)+6,DAY(E29))</f>
        <v>42491</v>
      </c>
      <c r="F30" s="74">
        <f ca="1">MAX(IF(ISERROR(VLOOKUP(E30,$A$12:$B$52,2,0)),VLOOKUP(E30,$P$11:$S$52,4,0)/1000000,(VLOOKUP(E30,$A$12:$B$52,2,0))),0)</f>
        <v>0.27114570153347323</v>
      </c>
      <c r="G30" s="128">
        <f ca="1">F30*1000000</f>
        <v>271145.70153347321</v>
      </c>
      <c r="H30" s="64"/>
      <c r="I30" s="80">
        <f>E30</f>
        <v>42491</v>
      </c>
      <c r="J30" s="205">
        <f>$M$12*$N$7</f>
        <v>40883.08</v>
      </c>
      <c r="K30" s="88">
        <f>($F$7/360)*($O$2/100)*M29</f>
        <v>18506.106802979266</v>
      </c>
      <c r="L30" s="90">
        <f>J30-K30</f>
        <v>22376.973197020736</v>
      </c>
      <c r="M30" s="79">
        <f>M29-L30</f>
        <v>674651.53162329074</v>
      </c>
      <c r="N30" s="126">
        <f>L30/M29</f>
        <v>3.210338320782067E-2</v>
      </c>
      <c r="O30" s="52"/>
      <c r="P30" s="80">
        <f>I30</f>
        <v>42491</v>
      </c>
      <c r="Q30" s="97">
        <f ca="1">S29*N30</f>
        <v>9231.8650915268172</v>
      </c>
      <c r="R30" s="98">
        <f ca="1">S29*$C$2/2</f>
        <v>7189.1683750000011</v>
      </c>
      <c r="S30" s="99">
        <f ca="1">IF(P30&lt;$A$4,(VLOOKUP(P30,$A$11:$B$52,2,0)*$S$12),(S29-(Q30+R30)))</f>
        <v>271145.70153347321</v>
      </c>
      <c r="U30" s="80">
        <f>P30</f>
        <v>42491</v>
      </c>
      <c r="V30" s="97">
        <f ca="1">IF(U30&lt;$A$4,0,(YEARFRAC($A$4,U30,1)))</f>
        <v>6.2841530054644809E-2</v>
      </c>
      <c r="W30" s="141">
        <f ca="1">V30*(S29-S30)</f>
        <v>1031.9228681150742</v>
      </c>
    </row>
    <row r="31" spans="1:23">
      <c r="A31" s="49"/>
      <c r="B31" s="50"/>
      <c r="C31" s="52"/>
      <c r="D31" s="70" t="str">
        <f ca="1">IF(E31&lt;$A$4,"Actual","Model Num")</f>
        <v>Model Num</v>
      </c>
      <c r="E31" s="71">
        <f>DATE(YEAR(E30),MONTH(E30)+6,DAY(E30))</f>
        <v>42675</v>
      </c>
      <c r="F31" s="74">
        <f ca="1">MAX(IF(ISERROR(VLOOKUP(E31,$A$12:$B$52,2,0)),VLOOKUP(E31,$P$11:$S$52,4,0)/1000000,(VLOOKUP(E31,$A$12:$B$52,2,0))),0)</f>
        <v>0.25513487051368983</v>
      </c>
      <c r="G31" s="128">
        <f ca="1">F31*1000000</f>
        <v>255134.87051368982</v>
      </c>
      <c r="H31" s="64"/>
      <c r="I31" s="80">
        <f>E31</f>
        <v>42675</v>
      </c>
      <c r="J31" s="205">
        <f>$M$12*$N$7</f>
        <v>40883.08</v>
      </c>
      <c r="K31" s="88">
        <f>($F$7/360)*($O$2/100)*M30</f>
        <v>17911.998164598368</v>
      </c>
      <c r="L31" s="90">
        <f>J31-K31</f>
        <v>22971.081835401634</v>
      </c>
      <c r="M31" s="79">
        <f>M30-L31</f>
        <v>651680.44978788914</v>
      </c>
      <c r="N31" s="126">
        <f>L31/M30</f>
        <v>3.4048810028090376E-2</v>
      </c>
      <c r="O31" s="52"/>
      <c r="P31" s="80">
        <f>I31</f>
        <v>42675</v>
      </c>
      <c r="Q31" s="97">
        <f ca="1">S30*N31</f>
        <v>9232.1884814465229</v>
      </c>
      <c r="R31" s="98">
        <f ca="1">S30*$C$2/2</f>
        <v>6778.6425383368305</v>
      </c>
      <c r="S31" s="99">
        <f ca="1">IF(P31&lt;$A$4,(VLOOKUP(P31,$A$11:$B$52,2,0)*$S$12),(S30-(Q31+R31)))</f>
        <v>255134.87051368985</v>
      </c>
      <c r="U31" s="80">
        <f>P31</f>
        <v>42675</v>
      </c>
      <c r="V31" s="97">
        <f ca="1">IF(U31&lt;$A$4,0,(YEARFRAC($A$4,U31,1)))</f>
        <v>0.56557377049180324</v>
      </c>
      <c r="W31" s="141">
        <f ca="1">V31*(S30-S31)</f>
        <v>9055.3060685660002</v>
      </c>
    </row>
    <row r="32" spans="1:23">
      <c r="A32" s="49"/>
      <c r="B32" s="50"/>
      <c r="C32" s="52"/>
      <c r="D32" s="70" t="str">
        <f ca="1">IF(E32&lt;$A$4,"Actual","Model Num")</f>
        <v>Model Num</v>
      </c>
      <c r="E32" s="71">
        <f>DATE(YEAR(E31),MONTH(E31)+6,DAY(E31))</f>
        <v>42856</v>
      </c>
      <c r="F32" s="74">
        <f ca="1">MAX(IF(ISERROR(VLOOKUP(E32,$A$12:$B$52,2,0)),VLOOKUP(E32,$P$11:$S$52,4,0)/1000000,(VLOOKUP(E32,$A$12:$B$52,2,0))),0)</f>
        <v>0.23952447987792058</v>
      </c>
      <c r="G32" s="128">
        <f ca="1">F32*1000000</f>
        <v>239524.47987792059</v>
      </c>
      <c r="H32" s="64"/>
      <c r="I32" s="80">
        <f>E32</f>
        <v>42856</v>
      </c>
      <c r="J32" s="205">
        <f>$M$12*$N$7</f>
        <v>40883.08</v>
      </c>
      <c r="K32" s="88">
        <f>($F$7/360)*($O$2/100)*M31</f>
        <v>17302.115941868455</v>
      </c>
      <c r="L32" s="90">
        <f>J32-K32</f>
        <v>23580.964058131547</v>
      </c>
      <c r="M32" s="79">
        <f>M31-L32</f>
        <v>628099.48572975758</v>
      </c>
      <c r="N32" s="126">
        <f>L32/M31</f>
        <v>3.6184857265254389E-2</v>
      </c>
      <c r="O32" s="52"/>
      <c r="P32" s="80">
        <f>I32</f>
        <v>42856</v>
      </c>
      <c r="Q32" s="97">
        <f ca="1">S31*N32</f>
        <v>9232.0188729270285</v>
      </c>
      <c r="R32" s="98">
        <f ca="1">S31*$C$2/2</f>
        <v>6378.3717628422464</v>
      </c>
      <c r="S32" s="99">
        <f ca="1">IF(P32&lt;$A$4,(VLOOKUP(P32,$A$11:$B$52,2,0)*$S$12),(S31-(Q32+R32)))</f>
        <v>239524.47987792059</v>
      </c>
      <c r="U32" s="80">
        <f>P32</f>
        <v>42856</v>
      </c>
      <c r="V32" s="97">
        <f ca="1">IF(U32&lt;$A$4,0,(YEARFRAC($A$4,U32,1)))</f>
        <v>1.0615595075239399</v>
      </c>
      <c r="W32" s="141">
        <f ca="1">V32*(S31-S32)</f>
        <v>16571.358595563539</v>
      </c>
    </row>
    <row r="33" spans="1:23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43040</v>
      </c>
      <c r="F33" s="74">
        <f ca="1">MAX(IF(ISERROR(VLOOKUP(E33,$A$12:$B$52,2,0)),VLOOKUP(E33,$P$11:$S$52,4,0)/1000000,(VLOOKUP(E33,$A$12:$B$52,2,0))),0)</f>
        <v>0.22430506221254412</v>
      </c>
      <c r="G33" s="128">
        <f ca="1">F33*1000000</f>
        <v>224305.06221254412</v>
      </c>
      <c r="H33" s="64"/>
      <c r="I33" s="80">
        <f>E33</f>
        <v>43040</v>
      </c>
      <c r="J33" s="205">
        <f>$M$12*$N$7</f>
        <v>40883.08</v>
      </c>
      <c r="K33" s="88">
        <f>($F$7/360)*($O$2/100)*M32</f>
        <v>16676.041346125061</v>
      </c>
      <c r="L33" s="90">
        <f>J33-K33</f>
        <v>24207.038653874941</v>
      </c>
      <c r="M33" s="79">
        <f>M32-L33</f>
        <v>603892.44707588269</v>
      </c>
      <c r="N33" s="126">
        <f>L33/M32</f>
        <v>3.8540134491194471E-2</v>
      </c>
      <c r="O33" s="52"/>
      <c r="P33" s="80">
        <f>I33</f>
        <v>43040</v>
      </c>
      <c r="Q33" s="97">
        <f ca="1">S32*N33</f>
        <v>9231.3056684284638</v>
      </c>
      <c r="R33" s="98">
        <f ca="1">S32*$C$2/2</f>
        <v>5988.1119969480151</v>
      </c>
      <c r="S33" s="99">
        <f ca="1">IF(P33&lt;$A$4,(VLOOKUP(P33,$A$11:$B$52,2,0)*$S$12),(S32-(Q33+R33)))</f>
        <v>224305.06221254412</v>
      </c>
      <c r="U33" s="80">
        <f>P33</f>
        <v>43040</v>
      </c>
      <c r="V33" s="97">
        <f ca="1">IF(U33&lt;$A$4,0,(YEARFRAC($A$4,U33,1)))</f>
        <v>1.5649794801641588</v>
      </c>
      <c r="W33" s="141">
        <f ca="1">V33*(S32-S33)</f>
        <v>23818.07634636209</v>
      </c>
    </row>
    <row r="34" spans="1:23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43221</v>
      </c>
      <c r="F34" s="74">
        <f ca="1">MAX(IF(ISERROR(VLOOKUP(E34,$A$12:$B$52,2,0)),VLOOKUP(E34,$P$11:$S$52,4,0)/1000000,(VLOOKUP(E34,$A$12:$B$52,2,0))),0)</f>
        <v>0.20946744528221944</v>
      </c>
      <c r="G34" s="128">
        <f ca="1">F34*1000000</f>
        <v>209467.44528221944</v>
      </c>
      <c r="H34" s="64"/>
      <c r="I34" s="80">
        <f>E34</f>
        <v>43221</v>
      </c>
      <c r="J34" s="205">
        <f>$M$12*$N$7</f>
        <v>40883.08</v>
      </c>
      <c r="K34" s="88">
        <f>($F$7/360)*($O$2/100)*M33</f>
        <v>16033.344469864684</v>
      </c>
      <c r="L34" s="90">
        <f>J34-K34</f>
        <v>24849.735530135316</v>
      </c>
      <c r="M34" s="79">
        <f>M33-L34</f>
        <v>579042.71154574736</v>
      </c>
      <c r="N34" s="126">
        <f>L34/M33</f>
        <v>4.1149273600722479E-2</v>
      </c>
      <c r="O34" s="52"/>
      <c r="P34" s="80">
        <f>I34</f>
        <v>43221</v>
      </c>
      <c r="Q34" s="97">
        <f ca="1">S33*N34</f>
        <v>9229.9903750110552</v>
      </c>
      <c r="R34" s="98">
        <f ca="1">S33*$C$2/2</f>
        <v>5607.6265553136036</v>
      </c>
      <c r="S34" s="99">
        <f ca="1">IF(P34&lt;$A$4,(VLOOKUP(P34,$A$11:$B$52,2,0)*$S$12),(S33-(Q34+R34)))</f>
        <v>209467.44528221944</v>
      </c>
      <c r="U34" s="80">
        <f>P34</f>
        <v>43221</v>
      </c>
      <c r="V34" s="97">
        <f ca="1">IF(U34&lt;$A$4,0,(YEARFRAC($A$4,U34,1)))</f>
        <v>2.0611313868613141</v>
      </c>
      <c r="W34" s="141">
        <f ca="1">V34*(S33-S34)</f>
        <v>30582.277961317006</v>
      </c>
    </row>
    <row r="35" spans="1:23">
      <c r="A35" s="49"/>
      <c r="B35" s="50"/>
      <c r="D35" s="70" t="str">
        <f ca="1">IF(E35&lt;$A$4,"Actual","Model Num")</f>
        <v>Model Num</v>
      </c>
      <c r="E35" s="71">
        <f>DATE(YEAR(E34),MONTH(E34)+6,DAY(E34))</f>
        <v>43405</v>
      </c>
      <c r="F35" s="74">
        <f ca="1">MAX(IF(ISERROR(VLOOKUP(E35,$A$12:$B$52,2,0)),VLOOKUP(E35,$P$11:$S$52,4,0)/1000000,(VLOOKUP(E35,$A$12:$B$52,2,0))),0)</f>
        <v>0.19500275428491834</v>
      </c>
      <c r="G35" s="128">
        <f ca="1">F35*1000000</f>
        <v>195002.75428491834</v>
      </c>
      <c r="I35" s="80">
        <f>E35</f>
        <v>43405</v>
      </c>
      <c r="J35" s="205">
        <f>$M$12*$N$7</f>
        <v>40883.08</v>
      </c>
      <c r="K35" s="88">
        <f>($F$7/360)*($O$2/100)*M34</f>
        <v>15373.58399153959</v>
      </c>
      <c r="L35" s="90">
        <f>J35-K35</f>
        <v>25509.49600846041</v>
      </c>
      <c r="M35" s="79">
        <f>M34-L35</f>
        <v>553533.21553728695</v>
      </c>
      <c r="N35" s="126">
        <f>L35/M34</f>
        <v>4.4054601672410529E-2</v>
      </c>
      <c r="O35" s="52"/>
      <c r="P35" s="80">
        <f>I35</f>
        <v>43405</v>
      </c>
      <c r="Q35" s="97">
        <f ca="1">S34*N35</f>
        <v>9228.0048652456262</v>
      </c>
      <c r="R35" s="98">
        <f ca="1">S34*$C$2/2</f>
        <v>5236.6861320554863</v>
      </c>
      <c r="S35" s="99">
        <f ca="1">IF(P35&lt;$A$4,(VLOOKUP(P35,$A$11:$B$52,2,0)*$S$12),(S34-(Q35+R35)))</f>
        <v>195002.75428491834</v>
      </c>
      <c r="U35" s="80">
        <f>P35</f>
        <v>43405</v>
      </c>
      <c r="V35" s="97">
        <f ca="1">IF(U35&lt;$A$4,0,(YEARFRAC($A$4,U35,1)))</f>
        <v>2.5647810218978102</v>
      </c>
      <c r="W35" s="141">
        <f ca="1">V35*(S34-S35)</f>
        <v>37098.764957493986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43586</v>
      </c>
      <c r="F36" s="74">
        <f ca="1">MAX(IF(ISERROR(VLOOKUP(E36,$A$12:$B$52,2,0)),VLOOKUP(E36,$P$11:$S$52,4,0)/1000000,(VLOOKUP(E36,$A$12:$B$52,2,0))),0)</f>
        <v>0.18090241629785303</v>
      </c>
      <c r="G36" s="128">
        <f ca="1">F36*1000000</f>
        <v>180902.41629785302</v>
      </c>
      <c r="I36" s="80">
        <f>E36</f>
        <v>43586</v>
      </c>
      <c r="J36" s="205">
        <f>$M$12*$N$7</f>
        <v>40883.08</v>
      </c>
      <c r="K36" s="88">
        <f>($F$7/360)*($O$2/100)*M35</f>
        <v>14696.306872514966</v>
      </c>
      <c r="L36" s="90">
        <f>J36-K36</f>
        <v>26186.773127485038</v>
      </c>
      <c r="M36" s="79">
        <f>M35-L36</f>
        <v>527346.44240980188</v>
      </c>
      <c r="N36" s="126">
        <f>L36/M35</f>
        <v>4.7308404251887308E-2</v>
      </c>
      <c r="O36" s="52"/>
      <c r="P36" s="80">
        <f>I36</f>
        <v>43586</v>
      </c>
      <c r="Q36" s="97">
        <f ca="1">S35*N36</f>
        <v>9225.2691299423659</v>
      </c>
      <c r="R36" s="98">
        <f ca="1">S35*$C$2/2</f>
        <v>4875.0688571229584</v>
      </c>
      <c r="S36" s="99">
        <f ca="1">IF(P36&lt;$A$4,(VLOOKUP(P36,$A$11:$B$52,2,0)*$S$12),(S35-(Q36+R36)))</f>
        <v>180902.41629785302</v>
      </c>
      <c r="U36" s="80">
        <f>P36</f>
        <v>43586</v>
      </c>
      <c r="V36" s="97">
        <f ca="1">IF(U36&lt;$A$4,0,(YEARFRAC($A$4,U36,1)))</f>
        <v>3.0609171800136892</v>
      </c>
      <c r="W36" s="141">
        <f ca="1">V36*(S35-S36)</f>
        <v>43159.966788607861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43770</v>
      </c>
      <c r="F37" s="74">
        <f ca="1">MAX(IF(ISERROR(VLOOKUP(E37,$A$12:$B$52,2,0)),VLOOKUP(E37,$P$11:$S$52,4,0)/1000000,(VLOOKUP(E37,$A$12:$B$52,2,0))),0)</f>
        <v>0.16715816755729529</v>
      </c>
      <c r="G37" s="128">
        <f ca="1">F37*1000000</f>
        <v>167158.1675572953</v>
      </c>
      <c r="I37" s="80">
        <f>E37</f>
        <v>43770</v>
      </c>
      <c r="J37" s="205">
        <f>$M$12*$N$7</f>
        <v>40883.08</v>
      </c>
      <c r="K37" s="88">
        <f>($F$7/360)*($O$2/100)*M36</f>
        <v>14001.048045980238</v>
      </c>
      <c r="L37" s="90">
        <f>J37-K37</f>
        <v>26882.031954019763</v>
      </c>
      <c r="M37" s="79">
        <f>M36-L37</f>
        <v>500464.41045578214</v>
      </c>
      <c r="N37" s="126">
        <f>L37/M36</f>
        <v>5.0976037367726636E-2</v>
      </c>
      <c r="O37" s="52"/>
      <c r="P37" s="80">
        <f>I37</f>
        <v>43770</v>
      </c>
      <c r="Q37" s="97">
        <f ca="1">S36*N37</f>
        <v>9221.688333111395</v>
      </c>
      <c r="R37" s="98">
        <f ca="1">S36*$C$2/2</f>
        <v>4522.5604074463254</v>
      </c>
      <c r="S37" s="99">
        <f ca="1">IF(P37&lt;$A$4,(VLOOKUP(P37,$A$11:$B$52,2,0)*$S$12),(S36-(Q37+R37)))</f>
        <v>167158.1675572953</v>
      </c>
      <c r="U37" s="80">
        <f>P37</f>
        <v>43770</v>
      </c>
      <c r="V37" s="97">
        <f ca="1">IF(U37&lt;$A$4,0,(YEARFRAC($A$4,U37,1)))</f>
        <v>3.5646817248459959</v>
      </c>
      <c r="W37" s="141">
        <f ca="1">V37*(S36-S37)</f>
        <v>48993.872307203725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43952</v>
      </c>
      <c r="F38" s="74">
        <f ca="1">MAX(IF(ISERROR(VLOOKUP(E38,$A$12:$B$52,2,0)),VLOOKUP(E38,$P$11:$S$52,4,0)/1000000,(VLOOKUP(E38,$A$12:$B$52,2,0))),0)</f>
        <v>0.15376206447688948</v>
      </c>
      <c r="G38" s="128">
        <f ca="1">F38*1000000</f>
        <v>153762.06447688947</v>
      </c>
      <c r="I38" s="80">
        <f>E38</f>
        <v>43952</v>
      </c>
      <c r="J38" s="205">
        <f>$M$12*$N$7</f>
        <v>40883.08</v>
      </c>
      <c r="K38" s="88">
        <f>($F$7/360)*($O$2/100)*M37</f>
        <v>13287.330097601014</v>
      </c>
      <c r="L38" s="90">
        <f>J38-K38</f>
        <v>27595.749902398988</v>
      </c>
      <c r="M38" s="79">
        <f>M37-L38</f>
        <v>472868.66055338318</v>
      </c>
      <c r="N38" s="126">
        <f>L38/M37</f>
        <v>5.5140284355618872E-2</v>
      </c>
      <c r="O38" s="52"/>
      <c r="P38" s="80">
        <f>I38</f>
        <v>43952</v>
      </c>
      <c r="Q38" s="97">
        <f ca="1">S37*N38</f>
        <v>9217.1488914734473</v>
      </c>
      <c r="R38" s="98">
        <f ca="1">S37*$C$2/2</f>
        <v>4178.9541889323827</v>
      </c>
      <c r="S38" s="99">
        <f ca="1">IF(P38&lt;$A$4,(VLOOKUP(P38,$A$11:$B$52,2,0)*$S$12),(S37-(Q38+R38)))</f>
        <v>153762.06447688947</v>
      </c>
      <c r="U38" s="80">
        <f>P38</f>
        <v>43952</v>
      </c>
      <c r="V38" s="97">
        <f ca="1">IF(U38&lt;$A$4,0,(YEARFRAC($A$4,U38,1)))</f>
        <v>4.0613026819923377</v>
      </c>
      <c r="W38" s="141">
        <f ca="1">V38*(S37-S38)</f>
        <v>54405.629368697992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44136</v>
      </c>
      <c r="F39" s="74">
        <f ca="1">MAX(IF(ISERROR(VLOOKUP(E39,$A$12:$B$52,2,0)),VLOOKUP(E39,$P$11:$S$52,4,0)/1000000,(VLOOKUP(E39,$A$12:$B$52,2,0))),0)</f>
        <v>0.14070649970237939</v>
      </c>
      <c r="G39" s="128">
        <f ca="1">F39*1000000</f>
        <v>140706.4997023794</v>
      </c>
      <c r="I39" s="80">
        <f>E39</f>
        <v>44136</v>
      </c>
      <c r="J39" s="205">
        <f>$M$12*$N$7</f>
        <v>40883.08</v>
      </c>
      <c r="K39" s="88">
        <f>($F$7/360)*($O$2/100)*M38</f>
        <v>12554.662937692323</v>
      </c>
      <c r="L39" s="90">
        <f>J39-K39</f>
        <v>28328.417062307679</v>
      </c>
      <c r="M39" s="79">
        <f>M38-L39</f>
        <v>444540.24349107547</v>
      </c>
      <c r="N39" s="126">
        <f>L39/M38</f>
        <v>5.990757989577028E-2</v>
      </c>
      <c r="O39" s="52"/>
      <c r="P39" s="80">
        <f>I39</f>
        <v>44136</v>
      </c>
      <c r="Q39" s="97">
        <f ca="1">S38*N39</f>
        <v>9211.5131625878366</v>
      </c>
      <c r="R39" s="98">
        <f ca="1">S38*$C$2/2</f>
        <v>3844.051611922237</v>
      </c>
      <c r="S39" s="99">
        <f ca="1">IF(P39&lt;$A$4,(VLOOKUP(P39,$A$11:$B$52,2,0)*$S$12),(S38-(Q39+R39)))</f>
        <v>140706.4997023794</v>
      </c>
      <c r="U39" s="80">
        <f>P39</f>
        <v>44136</v>
      </c>
      <c r="V39" s="97">
        <f ca="1">IF(U39&lt;$A$4,0,(YEARFRAC($A$4,U39,1)))</f>
        <v>4.5648604269293926</v>
      </c>
      <c r="W39" s="141">
        <f ca="1">V39*(S38-S39)</f>
        <v>59596.830990374387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44317</v>
      </c>
      <c r="F40" s="74">
        <f ca="1">MAX(IF(ISERROR(VLOOKUP(E40,$A$12:$B$52,2,0)),VLOOKUP(E40,$P$11:$S$52,4,0)/1000000,(VLOOKUP(E40,$A$12:$B$52,2,0))),0)</f>
        <v>0.12798422510717447</v>
      </c>
      <c r="G40" s="128">
        <f ca="1">F40*1000000</f>
        <v>127984.22510717447</v>
      </c>
      <c r="I40" s="80">
        <f>E40</f>
        <v>44317</v>
      </c>
      <c r="J40" s="205">
        <f>$M$12*$N$7</f>
        <v>40883.08</v>
      </c>
      <c r="K40" s="88">
        <f>($F$7/360)*($O$2/100)*M39</f>
        <v>11802.543464688053</v>
      </c>
      <c r="L40" s="90">
        <f>J40-K40</f>
        <v>29080.536535311949</v>
      </c>
      <c r="M40" s="79">
        <f>M39-L40</f>
        <v>415459.70695576351</v>
      </c>
      <c r="N40" s="126">
        <f>L40/M39</f>
        <v>6.5417106687430351E-2</v>
      </c>
      <c r="O40" s="52"/>
      <c r="P40" s="80">
        <f>I40</f>
        <v>44317</v>
      </c>
      <c r="Q40" s="97">
        <f ca="1">S39*N40</f>
        <v>9204.6121026454402</v>
      </c>
      <c r="R40" s="98">
        <f ca="1">S39*$C$2/2</f>
        <v>3517.6624925594851</v>
      </c>
      <c r="S40" s="99">
        <f ca="1">IF(P40&lt;$A$4,(VLOOKUP(P40,$A$11:$B$52,2,0)*$S$12),(S39-(Q40+R40)))</f>
        <v>127984.22510717447</v>
      </c>
      <c r="U40" s="80">
        <f>P40</f>
        <v>44317</v>
      </c>
      <c r="V40" s="97">
        <f ca="1">IF(U40&lt;$A$4,0,(YEARFRAC($A$4,U40,1)))</f>
        <v>5.0611313868613141</v>
      </c>
      <c r="W40" s="141">
        <f ca="1">V40*(S39-S40)</f>
        <v>64389.103266059989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44501</v>
      </c>
      <c r="F41" s="74">
        <f ca="1">MAX(IF(ISERROR(VLOOKUP(E41,$A$12:$B$52,2,0)),VLOOKUP(E41,$P$11:$S$52,4,0)/1000000,(VLOOKUP(E41,$A$12:$B$52,2,0))),0)</f>
        <v>0.11558838459568273</v>
      </c>
      <c r="G41" s="128">
        <f ca="1">F41*1000000</f>
        <v>115588.38459568273</v>
      </c>
      <c r="I41" s="80">
        <f>E41</f>
        <v>44501</v>
      </c>
      <c r="J41" s="205">
        <f>$M$12*$N$7</f>
        <v>40883.08</v>
      </c>
      <c r="K41" s="88">
        <f>($F$7/360)*($O$2/100)*M40</f>
        <v>11030.455219675519</v>
      </c>
      <c r="L41" s="90">
        <f>J41-K41</f>
        <v>29852.624780324484</v>
      </c>
      <c r="M41" s="79">
        <f>M40-L41</f>
        <v>385607.08217543905</v>
      </c>
      <c r="N41" s="126">
        <f>L41/M40</f>
        <v>7.1854440468045372E-2</v>
      </c>
      <c r="O41" s="52"/>
      <c r="P41" s="80">
        <f>I41</f>
        <v>44501</v>
      </c>
      <c r="Q41" s="97">
        <f ca="1">S40*N41</f>
        <v>9196.2348838123853</v>
      </c>
      <c r="R41" s="98">
        <f ca="1">S40*$C$2/2</f>
        <v>3199.605627679362</v>
      </c>
      <c r="S41" s="99">
        <f ca="1">IF(P41&lt;$A$4,(VLOOKUP(P41,$A$11:$B$52,2,0)*$S$12),(S40-(Q41+R41)))</f>
        <v>115588.38459568273</v>
      </c>
      <c r="U41" s="80">
        <f>P41</f>
        <v>44501</v>
      </c>
      <c r="V41" s="97">
        <f ca="1">IF(U41&lt;$A$4,0,(YEARFRAC($A$4,U41,1)))</f>
        <v>5.5647810218978107</v>
      </c>
      <c r="W41" s="141">
        <f ca="1">V41*(S40-S41)</f>
        <v>68980.138028821282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44682</v>
      </c>
      <c r="F42" s="74">
        <f ca="1">MAX(IF(ISERROR(VLOOKUP(E42,$A$12:$B$52,2,0)),VLOOKUP(E42,$P$11:$S$52,4,0)/1000000,(VLOOKUP(E42,$A$12:$B$52,2,0))),0)</f>
        <v>0.10351256115990969</v>
      </c>
      <c r="G42" s="128">
        <f ca="1">F42*1000000</f>
        <v>103512.56115990969</v>
      </c>
      <c r="I42" s="80">
        <f>E42</f>
        <v>44682</v>
      </c>
      <c r="J42" s="205">
        <f>$M$12*$N$7</f>
        <v>40883.08</v>
      </c>
      <c r="K42" s="88">
        <f>($F$7/360)*($O$2/100)*M41</f>
        <v>10237.868031757906</v>
      </c>
      <c r="L42" s="90">
        <f>J42-K42</f>
        <v>30645.211968242096</v>
      </c>
      <c r="M42" s="79">
        <f>M41-L42</f>
        <v>354961.87020719697</v>
      </c>
      <c r="N42" s="126">
        <f>L42/M41</f>
        <v>7.9472637782880481E-2</v>
      </c>
      <c r="O42" s="52"/>
      <c r="P42" s="80">
        <f>I42</f>
        <v>44682</v>
      </c>
      <c r="Q42" s="97">
        <f ca="1">S41*N42</f>
        <v>9186.1138208809753</v>
      </c>
      <c r="R42" s="98">
        <f ca="1">S41*$C$2/2</f>
        <v>2889.7096148920682</v>
      </c>
      <c r="S42" s="99">
        <f ca="1">IF(P42&lt;$A$4,(VLOOKUP(P42,$A$11:$B$52,2,0)*$S$12),(S41-(Q42+R42)))</f>
        <v>103512.56115990969</v>
      </c>
      <c r="U42" s="80">
        <f>P42</f>
        <v>44682</v>
      </c>
      <c r="V42" s="97">
        <f ca="1">IF(U42&lt;$A$4,0,(YEARFRAC($A$4,U42,1)))</f>
        <v>6.0610089949159169</v>
      </c>
      <c r="W42" s="141">
        <f ca="1">V42*(S41-S42)</f>
        <v>73191.674465236822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44866</v>
      </c>
      <c r="F43" s="74">
        <f ca="1">MAX(IF(ISERROR(VLOOKUP(E43,$A$12:$B$52,2,0)),VLOOKUP(E43,$P$11:$S$52,4,0)/1000000,(VLOOKUP(E43,$A$12:$B$52,2,0))),0)</f>
        <v>9.1750845324333766E-2</v>
      </c>
      <c r="G43" s="128">
        <f ca="1">F43*1000000</f>
        <v>91750.845324333772</v>
      </c>
      <c r="I43" s="80">
        <f>E43</f>
        <v>44866</v>
      </c>
      <c r="J43" s="205">
        <f>$M$12*$N$7</f>
        <v>40883.08</v>
      </c>
      <c r="K43" s="88">
        <f>($F$7/360)*($O$2/100)*M42</f>
        <v>9424.2376540010791</v>
      </c>
      <c r="L43" s="90">
        <f>J43-K43</f>
        <v>31458.842345998921</v>
      </c>
      <c r="M43" s="79">
        <f>M42-L43</f>
        <v>323503.02786119806</v>
      </c>
      <c r="N43" s="126">
        <f>L43/M42</f>
        <v>8.8625976439767704E-2</v>
      </c>
      <c r="O43" s="52"/>
      <c r="P43" s="80">
        <f>I43</f>
        <v>44866</v>
      </c>
      <c r="Q43" s="97">
        <f ca="1">S42*N43</f>
        <v>9173.9018065781693</v>
      </c>
      <c r="R43" s="98">
        <f ca="1">S42*$C$2/2</f>
        <v>2587.8140289977423</v>
      </c>
      <c r="S43" s="99">
        <f ca="1">IF(P43&lt;$A$4,(VLOOKUP(P43,$A$11:$B$52,2,0)*$S$12),(S42-(Q43+R43)))</f>
        <v>91750.845324333772</v>
      </c>
      <c r="U43" s="80">
        <f>P43</f>
        <v>44866</v>
      </c>
      <c r="V43" s="97">
        <f ca="1">IF(U43&lt;$A$4,0,(YEARFRAC($A$4,U43,1)))</f>
        <v>6.564724286272976</v>
      </c>
      <c r="W43" s="141">
        <f ca="1">V43*(S42-S43)</f>
        <v>77212.421594046667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45047</v>
      </c>
      <c r="F44" s="74">
        <f ca="1">MAX(IF(ISERROR(VLOOKUP(E44,$A$12:$B$52,2,0)),VLOOKUP(E44,$P$11:$S$52,4,0)/1000000,(VLOOKUP(E44,$A$12:$B$52,2,0))),0)</f>
        <v>8.0297936905709577E-2</v>
      </c>
      <c r="G44" s="128">
        <f ca="1">F44*1000000</f>
        <v>80297.936905709576</v>
      </c>
      <c r="I44" s="80">
        <f>E44</f>
        <v>45047</v>
      </c>
      <c r="J44" s="205">
        <f>$M$12*$N$7</f>
        <v>40883.08</v>
      </c>
      <c r="K44" s="88">
        <f>($F$7/360)*($O$2/100)*M43</f>
        <v>8589.0053897148082</v>
      </c>
      <c r="L44" s="90">
        <f>J44-K44</f>
        <v>32294.074610285192</v>
      </c>
      <c r="M44" s="79">
        <f>M43-L44</f>
        <v>291208.95325091289</v>
      </c>
      <c r="N44" s="126">
        <f>L44/M43</f>
        <v>9.9826189645870214E-2</v>
      </c>
      <c r="O44" s="52"/>
      <c r="P44" s="80">
        <f>I44</f>
        <v>45047</v>
      </c>
      <c r="Q44" s="97">
        <f ca="1">S43*N44</f>
        <v>9159.1372855158479</v>
      </c>
      <c r="R44" s="98">
        <f ca="1">S43*$C$2/2</f>
        <v>2293.7711331083442</v>
      </c>
      <c r="S44" s="99">
        <f ca="1">IF(P44&lt;$A$4,(VLOOKUP(P44,$A$11:$B$52,2,0)*$S$12),(S43-(Q44+R44)))</f>
        <v>80297.936905709576</v>
      </c>
      <c r="U44" s="80">
        <f>P44</f>
        <v>45047</v>
      </c>
      <c r="V44" s="97">
        <f ca="1">IF(U44&lt;$A$4,0,(YEARFRAC($A$4,U44,1)))</f>
        <v>7.0609171800136892</v>
      </c>
      <c r="W44" s="141">
        <f ca="1">V44*(S43-S44)</f>
        <v>80868.037814187002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45231</v>
      </c>
      <c r="F45" s="74">
        <f ca="1">MAX(IF(ISERROR(VLOOKUP(E45,$A$12:$B$52,2,0)),VLOOKUP(E45,$P$11:$S$52,4,0)/1000000,(VLOOKUP(E45,$A$12:$B$52,2,0))),0)</f>
        <v>6.9149301017395262E-2</v>
      </c>
      <c r="G45" s="128">
        <f ca="1">F45*1000000</f>
        <v>69149.301017395264</v>
      </c>
      <c r="I45" s="80">
        <f>E45</f>
        <v>45231</v>
      </c>
      <c r="J45" s="205">
        <f>$M$12*$N$7</f>
        <v>40883.08</v>
      </c>
      <c r="K45" s="88">
        <f>($F$7/360)*($O$2/100)*M44</f>
        <v>7731.5977088117361</v>
      </c>
      <c r="L45" s="90">
        <f>J45-K45</f>
        <v>33151.482291188266</v>
      </c>
      <c r="M45" s="79">
        <f>M44-L45</f>
        <v>258057.47095972463</v>
      </c>
      <c r="N45" s="126">
        <f>L45/M44</f>
        <v>0.11384087584224831</v>
      </c>
      <c r="O45" s="52"/>
      <c r="P45" s="80">
        <f>I45</f>
        <v>45231</v>
      </c>
      <c r="Q45" s="97">
        <f ca="1">S44*N45</f>
        <v>9141.1874656715718</v>
      </c>
      <c r="R45" s="98">
        <f ca="1">S44*$C$2/2</f>
        <v>2007.4484226427394</v>
      </c>
      <c r="S45" s="99">
        <f ca="1">IF(P45&lt;$A$4,(VLOOKUP(P45,$A$11:$B$52,2,0)*$S$12),(S44-(Q45+R45)))</f>
        <v>69149.301017395264</v>
      </c>
      <c r="U45" s="80">
        <f>P45</f>
        <v>45231</v>
      </c>
      <c r="V45" s="97">
        <f ca="1">IF(U45&lt;$A$4,0,(YEARFRAC($A$4,U45,1)))</f>
        <v>7.5646817248459959</v>
      </c>
      <c r="W45" s="141">
        <f ca="1">V45*(S44-S45)</f>
        <v>84335.88216129347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45413</v>
      </c>
      <c r="F46" s="74">
        <f ca="1">MAX(IF(ISERROR(VLOOKUP(E46,$A$12:$B$52,2,0)),VLOOKUP(E46,$P$11:$S$52,4,0)/1000000,(VLOOKUP(E46,$A$12:$B$52,2,0))),0)</f>
        <v>5.8301417289280212E-2</v>
      </c>
      <c r="G46" s="128">
        <f ca="1">F46*1000000</f>
        <v>58301.417289280209</v>
      </c>
      <c r="I46" s="80">
        <f>E46</f>
        <v>45413</v>
      </c>
      <c r="J46" s="205">
        <f>$M$12*$N$7</f>
        <v>40883.08</v>
      </c>
      <c r="K46" s="88">
        <f>($F$7/360)*($O$2/100)*M45</f>
        <v>6851.4258539806879</v>
      </c>
      <c r="L46" s="90">
        <f>J46-K46</f>
        <v>34031.654146019311</v>
      </c>
      <c r="M46" s="79">
        <f>M45-L46</f>
        <v>224025.81681370531</v>
      </c>
      <c r="N46" s="126">
        <f>L46/M45</f>
        <v>0.13187626004182099</v>
      </c>
      <c r="O46" s="52"/>
      <c r="P46" s="80">
        <f>I46</f>
        <v>45413</v>
      </c>
      <c r="Q46" s="97">
        <f ca="1">S45*N46</f>
        <v>9119.1512026801738</v>
      </c>
      <c r="R46" s="98">
        <f ca="1">S45*$C$2/2</f>
        <v>1728.7325254348816</v>
      </c>
      <c r="S46" s="99">
        <f ca="1">IF(P46&lt;$A$4,(VLOOKUP(P46,$A$11:$B$52,2,0)*$S$12),(S45-(Q46+R46)))</f>
        <v>58301.417289280209</v>
      </c>
      <c r="U46" s="80">
        <f>P46</f>
        <v>45413</v>
      </c>
      <c r="V46" s="97">
        <f ca="1">IF(U46&lt;$A$4,0,(YEARFRAC($A$4,U46,1)))</f>
        <v>8.0611313868613141</v>
      </c>
      <c r="W46" s="141">
        <f ca="1">V46*(S45-S46)</f>
        <v>87446.216001730398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45597</v>
      </c>
      <c r="F47" s="74">
        <f ca="1">MAX(IF(ISERROR(VLOOKUP(E47,$A$12:$B$52,2,0)),VLOOKUP(E47,$P$11:$S$52,4,0)/1000000,(VLOOKUP(E47,$A$12:$B$52,2,0))),0)</f>
        <v>4.7752200437008376E-2</v>
      </c>
      <c r="G47" s="128">
        <f ca="1">F47*1000000</f>
        <v>47752.200437008374</v>
      </c>
      <c r="I47" s="80">
        <f>E47</f>
        <v>45597</v>
      </c>
      <c r="J47" s="205">
        <f>$M$12*$N$7</f>
        <v>40883.08</v>
      </c>
      <c r="K47" s="88">
        <f>($F$7/360)*($O$2/100)*M46</f>
        <v>5947.8854364038752</v>
      </c>
      <c r="L47" s="90">
        <f>J47-K47</f>
        <v>34935.194563596124</v>
      </c>
      <c r="M47" s="79">
        <f>M46-L47</f>
        <v>189090.62225010918</v>
      </c>
      <c r="N47" s="126">
        <f>L47/M46</f>
        <v>0.15594271705143439</v>
      </c>
      <c r="O47" s="52"/>
      <c r="P47" s="80">
        <f>I47</f>
        <v>45597</v>
      </c>
      <c r="Q47" s="97">
        <f ca="1">S46*N47</f>
        <v>9091.6814200398294</v>
      </c>
      <c r="R47" s="98">
        <f ca="1">S46*$C$2/2</f>
        <v>1457.5354322320054</v>
      </c>
      <c r="S47" s="99">
        <f ca="1">IF(P47&lt;$A$4,(VLOOKUP(P47,$A$11:$B$52,2,0)*$S$12),(S46-(Q47+R47)))</f>
        <v>47752.200437008374</v>
      </c>
      <c r="U47" s="80">
        <f>P47</f>
        <v>45597</v>
      </c>
      <c r="V47" s="97">
        <f ca="1">IF(U47&lt;$A$4,0,(YEARFRAC($A$4,U47,1)))</f>
        <v>8.5647810218978115</v>
      </c>
      <c r="W47" s="141">
        <f ca="1">V47*(S46-S47)</f>
        <v>90351.732292222383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45778</v>
      </c>
      <c r="F48" s="74">
        <f ca="1">MAX(IF(ISERROR(VLOOKUP(E48,$A$12:$B$52,2,0)),VLOOKUP(E48,$P$11:$S$52,4,0)/1000000,(VLOOKUP(E48,$A$12:$B$52,2,0))),0)</f>
        <v>3.7501764466301539E-2</v>
      </c>
      <c r="G48" s="128">
        <f ca="1">F48*1000000</f>
        <v>37501.764466301538</v>
      </c>
      <c r="I48" s="80">
        <f>E48</f>
        <v>45778</v>
      </c>
      <c r="J48" s="205">
        <f>$M$12*$N$7</f>
        <v>40883.08</v>
      </c>
      <c r="K48" s="88">
        <f>($F$7/360)*($O$2/100)*M47</f>
        <v>5020.356020740398</v>
      </c>
      <c r="L48" s="90">
        <f>J48-K48</f>
        <v>35862.723979259601</v>
      </c>
      <c r="M48" s="79">
        <f>M47-L48</f>
        <v>153227.89827084958</v>
      </c>
      <c r="N48" s="126">
        <f>L48/M47</f>
        <v>0.18965892413122509</v>
      </c>
      <c r="O48" s="52"/>
      <c r="P48" s="80">
        <f>I48</f>
        <v>45778</v>
      </c>
      <c r="Q48" s="97">
        <f ca="1">S47*N48</f>
        <v>9056.6309597816253</v>
      </c>
      <c r="R48" s="98">
        <f ca="1">S47*$C$2/2</f>
        <v>1193.8050109252094</v>
      </c>
      <c r="S48" s="99">
        <f ca="1">IF(P48&lt;$A$4,(VLOOKUP(P48,$A$11:$B$52,2,0)*$S$12),(S47-(Q48+R48)))</f>
        <v>37501.764466301538</v>
      </c>
      <c r="U48" s="80">
        <f>P48</f>
        <v>45778</v>
      </c>
      <c r="V48" s="97">
        <f ca="1">IF(U48&lt;$A$4,0,(YEARFRAC($A$4,U48,1)))</f>
        <v>9.0610457158499855</v>
      </c>
      <c r="W48" s="141">
        <f ca="1">V48*(S47-S48)</f>
        <v>92879.66893796777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45962</v>
      </c>
      <c r="F49" s="74">
        <f ca="1">MAX(IF(ISERROR(VLOOKUP(E49,$A$12:$B$52,2,0)),VLOOKUP(E49,$P$11:$S$52,4,0)/1000000,(VLOOKUP(E49,$A$12:$B$52,2,0))),0)</f>
        <v>2.7553962118525777E-2</v>
      </c>
      <c r="G49" s="128">
        <f ca="1">F49*1000000</f>
        <v>27553.962118525778</v>
      </c>
      <c r="I49" s="80">
        <f>E49</f>
        <v>45962</v>
      </c>
      <c r="J49" s="205">
        <f>$M$12*$N$7</f>
        <v>40883.08</v>
      </c>
      <c r="K49" s="88">
        <f>($F$7/360)*($O$2/100)*M48</f>
        <v>4068.2006990910559</v>
      </c>
      <c r="L49" s="90">
        <f>J49-K49</f>
        <v>36814.879300908942</v>
      </c>
      <c r="M49" s="79">
        <f>M48-L49</f>
        <v>116413.01896994063</v>
      </c>
      <c r="N49" s="126">
        <f>L49/M48</f>
        <v>0.2402622480394139</v>
      </c>
      <c r="O49" s="52"/>
      <c r="P49" s="80">
        <f>I49</f>
        <v>45962</v>
      </c>
      <c r="Q49" s="97">
        <f ca="1">S48*N49</f>
        <v>9010.2582361182194</v>
      </c>
      <c r="R49" s="98">
        <f ca="1">S48*$C$2/2</f>
        <v>937.54411165753845</v>
      </c>
      <c r="S49" s="99">
        <f ca="1">IF(P49&lt;$A$4,(VLOOKUP(P49,$A$11:$B$52,2,0)*$S$12),(S48-(Q49+R49)))</f>
        <v>27553.962118525778</v>
      </c>
      <c r="U49" s="80">
        <f>P49</f>
        <v>45962</v>
      </c>
      <c r="V49" s="97">
        <f ca="1">IF(U49&lt;$A$4,0,(YEARFRAC($A$4,U49,1)))</f>
        <v>9.5647413085135504</v>
      </c>
      <c r="W49" s="141">
        <f ca="1">V49*(S48-S49)</f>
        <v>95148.156044698888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46143</v>
      </c>
      <c r="F50" s="74">
        <f ca="1">MAX(IF(ISERROR(VLOOKUP(E50,$A$12:$B$52,2,0)),VLOOKUP(E50,$P$11:$S$52,4,0)/1000000,(VLOOKUP(E50,$A$12:$B$52,2,0))),0)</f>
        <v>1.7919996728191657E-2</v>
      </c>
      <c r="G50" s="128">
        <f ca="1">F50*1000000</f>
        <v>17919.996728191658</v>
      </c>
      <c r="I50" s="80">
        <f>E50</f>
        <v>46143</v>
      </c>
      <c r="J50" s="205">
        <f>$M$12*$N$7</f>
        <v>40883.08</v>
      </c>
      <c r="K50" s="88">
        <f>($F$7/360)*($O$2/100)*M49</f>
        <v>3090.7656536519235</v>
      </c>
      <c r="L50" s="90">
        <f>J50-K50</f>
        <v>37792.314346348081</v>
      </c>
      <c r="M50" s="79">
        <f>M49-L50</f>
        <v>78620.704623592552</v>
      </c>
      <c r="N50" s="126">
        <f>L50/M49</f>
        <v>0.32463993014481096</v>
      </c>
      <c r="O50" s="52"/>
      <c r="P50" s="80">
        <f>I50</f>
        <v>46143</v>
      </c>
      <c r="Q50" s="97">
        <f ca="1">S49*N50</f>
        <v>8945.1163373709769</v>
      </c>
      <c r="R50" s="98">
        <f ca="1">S49*$C$2/2</f>
        <v>688.84905296314446</v>
      </c>
      <c r="S50" s="99">
        <f ca="1">IF(P50&lt;$A$4,(VLOOKUP(P50,$A$11:$B$52,2,0)*$S$12),(S49-(Q50+R50)))</f>
        <v>17919.996728191658</v>
      </c>
      <c r="U50" s="80">
        <f>P50</f>
        <v>46143</v>
      </c>
      <c r="V50" s="97">
        <f ca="1">IF(U50&lt;$A$4,0,(YEARFRAC($A$4,U50,1)))</f>
        <v>10.060975609756099</v>
      </c>
      <c r="W50" s="141">
        <f ca="1">V50*(S49-S50)</f>
        <v>96927.090817385979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46327</v>
      </c>
      <c r="F51" s="74">
        <f ca="1">MAX(IF(ISERROR(VLOOKUP(E51,$A$12:$B$52,2,0)),VLOOKUP(E51,$P$11:$S$52,4,0)/1000000,(VLOOKUP(E51,$A$12:$B$52,2,0))),0)</f>
        <v>8.6293029466672014E-3</v>
      </c>
      <c r="G51" s="128">
        <f ca="1">F51*1000000</f>
        <v>8629.3029466672015</v>
      </c>
      <c r="I51" s="80">
        <f>E51</f>
        <v>46327</v>
      </c>
      <c r="J51" s="205">
        <f>$M$12*$N$7</f>
        <v>40883.08</v>
      </c>
      <c r="K51" s="88">
        <f>($F$7/360)*($O$2/100)*M50</f>
        <v>2087.3797077563822</v>
      </c>
      <c r="L51" s="90">
        <f>J51-K51</f>
        <v>38795.700292243622</v>
      </c>
      <c r="M51" s="79">
        <f>M50-L51</f>
        <v>39825.00433134893</v>
      </c>
      <c r="N51" s="126">
        <f>L51/M50</f>
        <v>0.4934539887168829</v>
      </c>
      <c r="O51" s="52"/>
      <c r="P51" s="80">
        <f>I51</f>
        <v>46327</v>
      </c>
      <c r="Q51" s="97">
        <f ca="1">S50*N51</f>
        <v>8842.6938633196642</v>
      </c>
      <c r="R51" s="98">
        <f ca="1">S50*$C$2/2</f>
        <v>447.99991820479147</v>
      </c>
      <c r="S51" s="99">
        <f ca="1">IF(P51&lt;$A$4,(VLOOKUP(P51,$A$11:$B$52,2,0)*$S$12),(S50-(Q51+R51)))</f>
        <v>8629.3029466672015</v>
      </c>
      <c r="U51" s="80">
        <f>P51</f>
        <v>46327</v>
      </c>
      <c r="V51" s="97">
        <f ca="1">IF(U51&lt;$A$4,0,(YEARFRAC($A$4,U51,1)))</f>
        <v>10.564708810353411</v>
      </c>
      <c r="W51" s="141">
        <f ca="1">V51*(S50-S51)</f>
        <v>98153.474447967063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46508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46508</v>
      </c>
      <c r="J52" s="206">
        <f>$M$12*$N$7</f>
        <v>40883.08</v>
      </c>
      <c r="K52" s="89">
        <f>($F$7/360)*($O$2/100)*M51</f>
        <v>1057.3538649973141</v>
      </c>
      <c r="L52" s="91">
        <f>J52-K52</f>
        <v>39825.726135002689</v>
      </c>
      <c r="M52" s="85">
        <f>M51-L52</f>
        <v>-0.72180365375970723</v>
      </c>
      <c r="N52" s="127">
        <f>L52/M51</f>
        <v>1.0000181243835595</v>
      </c>
      <c r="O52" s="86"/>
      <c r="P52" s="84">
        <f>I52</f>
        <v>46508</v>
      </c>
      <c r="Q52" s="100">
        <f ca="1">S51*N52</f>
        <v>8629.4593474636586</v>
      </c>
      <c r="R52" s="98">
        <f ca="1">S51*$C$2/2</f>
        <v>215.73257366668005</v>
      </c>
      <c r="S52" s="102">
        <v>0</v>
      </c>
      <c r="U52" s="142">
        <f>P52</f>
        <v>46508</v>
      </c>
      <c r="V52" s="143">
        <f ca="1">IF(U52&lt;$A$4,0,(YEARFRAC($A$4,U52,1)))</f>
        <v>11.060917180013689</v>
      </c>
      <c r="W52" s="141">
        <f ca="1">V52*(S51-S52)</f>
        <v>95448.005214334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79" priority="1" stopIfTrue="1">
      <formula>$D1="Actual"</formula>
    </cfRule>
  </conditionalFormatting>
  <conditionalFormatting sqref="A4">
    <cfRule type="expression" dxfId="78" priority="2" stopIfTrue="1">
      <formula>#REF!="Actual"</formula>
    </cfRule>
  </conditionalFormatting>
  <conditionalFormatting sqref="C6:C9">
    <cfRule type="cellIs" dxfId="77" priority="3" stopIfTrue="1" operator="equal">
      <formula>"PROB!!"</formula>
    </cfRule>
  </conditionalFormatting>
  <conditionalFormatting sqref="A7">
    <cfRule type="expression" dxfId="76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indexed="14"/>
  </sheetPr>
  <dimension ref="A1:W200"/>
  <sheetViews>
    <sheetView workbookViewId="0">
      <selection activeCell="E30" sqref="E30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202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9</v>
      </c>
      <c r="B2" s="67" t="str">
        <f>MID(A2,3,9)</f>
        <v>83162CQS5</v>
      </c>
      <c r="C2" s="131">
        <v>0.05</v>
      </c>
      <c r="D2" s="132">
        <f>IF(ISERROR(VLOOKUP(A2,'Bond Position per Summit'!$C$42:$E$56,3,0)),0,VLOOKUP(A2,'Bond Position per Summit'!$C$42:$E$56,3,0))</f>
        <v>23149337.399999999</v>
      </c>
      <c r="E2" s="67">
        <f>IF(ISERROR(VLOOKUP(A2,'Bond Position per Summit'!$C$65:$E$73,3,0)),0,VLOOKUP(A2,'Bond Position per Summit'!$C$65:$E$73,3,0))</f>
        <v>0</v>
      </c>
      <c r="F2" s="67" t="str">
        <f>_xll.BDP($B2&amp;" Mtge Cusip",F$1)</f>
        <v>SBAP 2006-20L 1</v>
      </c>
      <c r="G2" s="67">
        <f>VLOOKUP(A2,'Bond Position per Summit'!$C$10:$D$32,2,0)</f>
        <v>35000000</v>
      </c>
      <c r="H2" s="67">
        <f>VLOOKUP(A2,'Bond Position per Summit'!$C$10:$E$32,3,0)</f>
        <v>23149337.399999999</v>
      </c>
      <c r="I2" s="67" t="str">
        <f>_xll.BDP($B2&amp;" Mtge Cusip",I$1)</f>
        <v>13/12/2006</v>
      </c>
      <c r="J2" s="67" t="str">
        <f>_xll.BDP($B2&amp;" Mtge Cusip",J$1)</f>
        <v>13/12/2006</v>
      </c>
      <c r="K2" s="67" t="str">
        <f>_xll.BDP($B2&amp;" Mtge Cusip",K$1)</f>
        <v>01/06/2007</v>
      </c>
      <c r="L2" s="67" t="str">
        <f>_xll.BDP($B2&amp;" Mtge Cusip",L$1)</f>
        <v>01/12/2026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5.1199999999999992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35000000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0.24428880671100003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168</v>
      </c>
      <c r="I6" s="108" t="s">
        <v>81</v>
      </c>
      <c r="J6" s="118">
        <v>38533</v>
      </c>
      <c r="K6" s="113">
        <f>ROUND(J6/J5,8)</f>
        <v>3.8532999999999998E-2</v>
      </c>
      <c r="L6" s="108" t="s">
        <v>81</v>
      </c>
      <c r="M6" s="112">
        <v>1348660</v>
      </c>
      <c r="N6" s="123">
        <f>ROUND(M6/M5,8)</f>
        <v>3.853314E-2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40240</v>
      </c>
      <c r="K7" s="115">
        <f>ROUND(J7/J5,8)</f>
        <v>4.0239999999999998E-2</v>
      </c>
      <c r="L7" s="109" t="s">
        <v>82</v>
      </c>
      <c r="M7" s="114">
        <v>1408393</v>
      </c>
      <c r="N7" s="124">
        <f>ROUND(M7/M5,8)</f>
        <v>4.0239799999999999E-2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4.8383909535419827</v>
      </c>
    </row>
    <row r="12" spans="1:23">
      <c r="A12" s="49">
        <f>_xll.BDS($B2&amp;" Mtge Cusip",A11,"cols=2;rows=19")</f>
        <v>42339</v>
      </c>
      <c r="B12" s="50">
        <v>0.244288807</v>
      </c>
      <c r="C12" s="52"/>
      <c r="D12" s="70" t="str">
        <f ca="1">IF(E12&lt;$A$4,"Actual","Model Num")</f>
        <v>Actual</v>
      </c>
      <c r="E12" s="71">
        <v>39064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39064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39064</v>
      </c>
      <c r="Q12" s="94"/>
      <c r="R12" s="95"/>
      <c r="S12" s="96">
        <f>M12</f>
        <v>1000000</v>
      </c>
      <c r="U12" s="139">
        <f>P12</f>
        <v>39064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42156</v>
      </c>
      <c r="B13" s="50">
        <v>0.27916535599999998</v>
      </c>
      <c r="C13" s="52"/>
      <c r="D13" s="70" t="str">
        <f ca="1">IF(E13&lt;$A$4,"Actual","Model Num")</f>
        <v>Actual</v>
      </c>
      <c r="E13" s="71">
        <v>39234</v>
      </c>
      <c r="F13" s="74">
        <f>MAX(IF(ISERROR(VLOOKUP(E13,$A$12:$B$52,2,0)),VLOOKUP(E13,$P$11:$S$52,4,0)/1000000,(VLOOKUP(E13,$A$12:$B$52,2,0))),0)</f>
        <v>0.98372048300000003</v>
      </c>
      <c r="G13" s="128">
        <f>F13*1000000</f>
        <v>983720.48300000001</v>
      </c>
      <c r="H13" s="64"/>
      <c r="I13" s="80">
        <f>E13</f>
        <v>39234</v>
      </c>
      <c r="J13" s="205">
        <f>$M$12*$N$6</f>
        <v>38533.14</v>
      </c>
      <c r="K13" s="88">
        <f>($F$6/360)*($O$2/100)*M12</f>
        <v>23893.333333333332</v>
      </c>
      <c r="L13" s="90">
        <f>J13-K13</f>
        <v>14639.806666666667</v>
      </c>
      <c r="M13" s="79">
        <f>M12-L13</f>
        <v>985360.19333333336</v>
      </c>
      <c r="N13" s="126">
        <f>L13/M12</f>
        <v>1.4639806666666668E-2</v>
      </c>
      <c r="O13" s="52"/>
      <c r="P13" s="80">
        <f>I13</f>
        <v>39234</v>
      </c>
      <c r="Q13" s="97">
        <f>S12*N13</f>
        <v>14639.806666666667</v>
      </c>
      <c r="R13" s="98">
        <f>S12*$C$2/2</f>
        <v>25000</v>
      </c>
      <c r="S13" s="99">
        <f ca="1">IF(P13&lt;$A$4,(VLOOKUP(P13,$A$11:$B$52,2,0)*$S$12),(S12-(Q13+R13)))</f>
        <v>983720.48300000001</v>
      </c>
      <c r="U13" s="80">
        <f>P13</f>
        <v>39234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41974</v>
      </c>
      <c r="B14" s="50">
        <v>0.31070346999999998</v>
      </c>
      <c r="C14" s="52"/>
      <c r="D14" s="70" t="str">
        <f ca="1">IF(E14&lt;$A$4,"Actual","Model Num")</f>
        <v>Actual</v>
      </c>
      <c r="E14" s="71">
        <f>DATE(YEAR(E13),MONTH(E13)+6,DAY(E13))</f>
        <v>39417</v>
      </c>
      <c r="F14" s="74">
        <f>MAX(IF(ISERROR(VLOOKUP(E14,$A$12:$B$52,2,0)),VLOOKUP(E14,$P$11:$S$52,4,0)/1000000,(VLOOKUP(E14,$A$12:$B$52,2,0))),0)</f>
        <v>0.96305445700000003</v>
      </c>
      <c r="G14" s="128">
        <f>F14*1000000</f>
        <v>963054.45700000005</v>
      </c>
      <c r="H14" s="64"/>
      <c r="I14" s="80">
        <f>E14</f>
        <v>39417</v>
      </c>
      <c r="J14" s="205">
        <f>$M$12*$N$7</f>
        <v>40239.799999999996</v>
      </c>
      <c r="K14" s="88">
        <f>($F$7/360)*($O$2/100)*M13</f>
        <v>25225.220949333332</v>
      </c>
      <c r="L14" s="90">
        <f>J14-K14</f>
        <v>15014.579050666664</v>
      </c>
      <c r="M14" s="79">
        <f>M13-L14</f>
        <v>970345.61428266671</v>
      </c>
      <c r="N14" s="126">
        <f>L14/M13</f>
        <v>1.5237655379475478E-2</v>
      </c>
      <c r="O14" s="52"/>
      <c r="P14" s="80">
        <f>I14</f>
        <v>39417</v>
      </c>
      <c r="Q14" s="97">
        <f ca="1">S13*N14</f>
        <v>14989.593709685165</v>
      </c>
      <c r="R14" s="98">
        <f ca="1">S13*$C$2/2</f>
        <v>24593.012075000002</v>
      </c>
      <c r="S14" s="99">
        <f ca="1">IF(P14&lt;$A$4,(VLOOKUP(P14,$A$11:$B$52,2,0)*$S$12),(S13-(Q14+R14)))</f>
        <v>963054.45700000005</v>
      </c>
      <c r="U14" s="80">
        <f>P14</f>
        <v>39417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41791</v>
      </c>
      <c r="B15" s="50">
        <v>0.34848894200000002</v>
      </c>
      <c r="C15" s="52"/>
      <c r="D15" s="70" t="str">
        <f ca="1">IF(E15&lt;$A$4,"Actual","Model Num")</f>
        <v>Actual</v>
      </c>
      <c r="E15" s="71">
        <f>DATE(YEAR(E14),MONTH(E14)+6,DAY(E14))</f>
        <v>39600</v>
      </c>
      <c r="F15" s="74">
        <f>MAX(IF(ISERROR(VLOOKUP(E15,$A$12:$B$52,2,0)),VLOOKUP(E15,$P$11:$S$52,4,0)/1000000,(VLOOKUP(E15,$A$12:$B$52,2,0))),0)</f>
        <v>0.91628432999999998</v>
      </c>
      <c r="G15" s="128">
        <f>F15*1000000</f>
        <v>916284.33</v>
      </c>
      <c r="H15" s="64"/>
      <c r="I15" s="80">
        <f>E15</f>
        <v>39600</v>
      </c>
      <c r="J15" s="205">
        <f>$M$12*$N$7</f>
        <v>40239.799999999996</v>
      </c>
      <c r="K15" s="88">
        <f>($F$7/360)*($O$2/100)*M14</f>
        <v>24840.847725636264</v>
      </c>
      <c r="L15" s="90">
        <f>J15-K15</f>
        <v>15398.952274363732</v>
      </c>
      <c r="M15" s="79">
        <f>M14-L15</f>
        <v>954946.66200830298</v>
      </c>
      <c r="N15" s="126">
        <f>L15/M14</f>
        <v>1.5869554154421043E-2</v>
      </c>
      <c r="O15" s="52"/>
      <c r="P15" s="80">
        <f>I15</f>
        <v>39600</v>
      </c>
      <c r="Q15" s="97">
        <f ca="1">S14*N15</f>
        <v>15283.244859018052</v>
      </c>
      <c r="R15" s="98">
        <f ca="1">S14*$C$2/2</f>
        <v>24076.361425000003</v>
      </c>
      <c r="S15" s="99">
        <f ca="1">IF(P15&lt;$A$4,(VLOOKUP(P15,$A$11:$B$52,2,0)*$S$12),(S14-(Q15+R15)))</f>
        <v>916284.33</v>
      </c>
      <c r="U15" s="80">
        <f>P15</f>
        <v>39600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41609</v>
      </c>
      <c r="B16" s="50">
        <v>0.38990812200000002</v>
      </c>
      <c r="C16" s="52"/>
      <c r="D16" s="70" t="str">
        <f ca="1">IF(E16&lt;$A$4,"Actual","Model Num")</f>
        <v>Actual</v>
      </c>
      <c r="E16" s="71">
        <f>DATE(YEAR(E15),MONTH(E15)+6,DAY(E15))</f>
        <v>39783</v>
      </c>
      <c r="F16" s="74">
        <f>MAX(IF(ISERROR(VLOOKUP(E16,$A$12:$B$52,2,0)),VLOOKUP(E16,$P$11:$S$52,4,0)/1000000,(VLOOKUP(E16,$A$12:$B$52,2,0))),0)</f>
        <v>0.87189343600000002</v>
      </c>
      <c r="G16" s="128">
        <f>F16*1000000</f>
        <v>871893.43599999999</v>
      </c>
      <c r="H16" s="64"/>
      <c r="I16" s="80">
        <f>E16</f>
        <v>39783</v>
      </c>
      <c r="J16" s="205">
        <f>$M$12*$N$7</f>
        <v>40239.799999999996</v>
      </c>
      <c r="K16" s="88">
        <f>($F$7/360)*($O$2/100)*M15</f>
        <v>24446.634547412556</v>
      </c>
      <c r="L16" s="90">
        <f>J16-K16</f>
        <v>15793.16545258744</v>
      </c>
      <c r="M16" s="79">
        <f>M15-L16</f>
        <v>939153.49655571557</v>
      </c>
      <c r="N16" s="126">
        <f>L16/M15</f>
        <v>1.6538269707518097E-2</v>
      </c>
      <c r="O16" s="52"/>
      <c r="P16" s="80">
        <f>I16</f>
        <v>39783</v>
      </c>
      <c r="Q16" s="97">
        <f ca="1">S15*N16</f>
        <v>15153.757378312515</v>
      </c>
      <c r="R16" s="98">
        <f ca="1">S15*$C$2/2</f>
        <v>22907.108250000001</v>
      </c>
      <c r="S16" s="99">
        <f ca="1">IF(P16&lt;$A$4,(VLOOKUP(P16,$A$11:$B$52,2,0)*$S$12),(S15-(Q16+R16)))</f>
        <v>871893.43599999999</v>
      </c>
      <c r="U16" s="80">
        <f>P16</f>
        <v>39783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41426</v>
      </c>
      <c r="B17" s="50">
        <v>0.45712054299999999</v>
      </c>
      <c r="C17" s="52"/>
      <c r="D17" s="70" t="str">
        <f ca="1">IF(E17&lt;$A$4,"Actual","Model Num")</f>
        <v>Actual</v>
      </c>
      <c r="E17" s="71">
        <f>DATE(YEAR(E16),MONTH(E16)+6,DAY(E16))</f>
        <v>39965</v>
      </c>
      <c r="F17" s="74">
        <f>MAX(IF(ISERROR(VLOOKUP(E17,$A$12:$B$52,2,0)),VLOOKUP(E17,$P$11:$S$52,4,0)/1000000,(VLOOKUP(E17,$A$12:$B$52,2,0))),0)</f>
        <v>0.816701342</v>
      </c>
      <c r="G17" s="128">
        <f>F17*1000000</f>
        <v>816701.34199999995</v>
      </c>
      <c r="H17" s="64"/>
      <c r="I17" s="80">
        <f>E17</f>
        <v>39965</v>
      </c>
      <c r="J17" s="205">
        <f>$M$12*$N$7</f>
        <v>40239.799999999996</v>
      </c>
      <c r="K17" s="88">
        <f>($F$7/360)*($O$2/100)*M16</f>
        <v>24042.329511826316</v>
      </c>
      <c r="L17" s="90">
        <f>J17-K17</f>
        <v>16197.47048817368</v>
      </c>
      <c r="M17" s="79">
        <f>M16-L17</f>
        <v>922956.02606754191</v>
      </c>
      <c r="N17" s="126">
        <f>L17/M16</f>
        <v>1.7246883014945747E-2</v>
      </c>
      <c r="O17" s="52"/>
      <c r="P17" s="80">
        <f>I17</f>
        <v>39965</v>
      </c>
      <c r="Q17" s="97">
        <f ca="1">S16*N17</f>
        <v>15037.444092191086</v>
      </c>
      <c r="R17" s="98">
        <f ca="1">S16*$C$2/2</f>
        <v>21797.335900000002</v>
      </c>
      <c r="S17" s="99">
        <f ca="1">IF(P17&lt;$A$4,(VLOOKUP(P17,$A$11:$B$52,2,0)*$S$12),(S16-(Q17+R17)))</f>
        <v>816701.34199999995</v>
      </c>
      <c r="U17" s="80">
        <f>P17</f>
        <v>39965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41244</v>
      </c>
      <c r="B18" s="50">
        <v>0.49915926900000002</v>
      </c>
      <c r="C18" s="52"/>
      <c r="D18" s="70" t="str">
        <f ca="1">IF(E18&lt;$A$4,"Actual","Model Num")</f>
        <v>Actual</v>
      </c>
      <c r="E18" s="71">
        <f>DATE(YEAR(E17),MONTH(E17)+6,DAY(E17))</f>
        <v>40148</v>
      </c>
      <c r="F18" s="74">
        <f>MAX(IF(ISERROR(VLOOKUP(E18,$A$12:$B$52,2,0)),VLOOKUP(E18,$P$11:$S$52,4,0)/1000000,(VLOOKUP(E18,$A$12:$B$52,2,0))),0)</f>
        <v>0.76735836199999996</v>
      </c>
      <c r="G18" s="128">
        <f>F18*1000000</f>
        <v>767358.36199999996</v>
      </c>
      <c r="H18" s="64"/>
      <c r="I18" s="80">
        <f>E18</f>
        <v>40148</v>
      </c>
      <c r="J18" s="205">
        <f>$M$12*$N$7</f>
        <v>40239.799999999996</v>
      </c>
      <c r="K18" s="88">
        <f>($F$7/360)*($O$2/100)*M17</f>
        <v>23627.674267329072</v>
      </c>
      <c r="L18" s="90">
        <f>J18-K18</f>
        <v>16612.125732670924</v>
      </c>
      <c r="M18" s="79">
        <f>M17-L18</f>
        <v>906343.90033487102</v>
      </c>
      <c r="N18" s="126">
        <f>L18/M17</f>
        <v>1.7998826881764407E-2</v>
      </c>
      <c r="O18" s="52"/>
      <c r="P18" s="80">
        <f>I18</f>
        <v>40148</v>
      </c>
      <c r="Q18" s="97">
        <f ca="1">S17*N18</f>
        <v>14699.666068762666</v>
      </c>
      <c r="R18" s="98">
        <f ca="1">S17*$C$2/2</f>
        <v>20417.53355</v>
      </c>
      <c r="S18" s="99">
        <f ca="1">IF(P18&lt;$A$4,(VLOOKUP(P18,$A$11:$B$52,2,0)*$S$12),(S17-(Q18+R18)))</f>
        <v>767358.36199999996</v>
      </c>
      <c r="U18" s="80">
        <f>P18</f>
        <v>40148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41061</v>
      </c>
      <c r="B19" s="50">
        <v>0.53668644499999996</v>
      </c>
      <c r="C19" s="52"/>
      <c r="D19" s="70" t="str">
        <f ca="1">IF(E19&lt;$A$4,"Actual","Model Num")</f>
        <v>Actual</v>
      </c>
      <c r="E19" s="71">
        <f>DATE(YEAR(E18),MONTH(E18)+6,DAY(E18))</f>
        <v>40330</v>
      </c>
      <c r="F19" s="74">
        <f>MAX(IF(ISERROR(VLOOKUP(E19,$A$12:$B$52,2,0)),VLOOKUP(E19,$P$11:$S$52,4,0)/1000000,(VLOOKUP(E19,$A$12:$B$52,2,0))),0)</f>
        <v>0.70057102199999999</v>
      </c>
      <c r="G19" s="128">
        <f>F19*1000000</f>
        <v>700571.022</v>
      </c>
      <c r="H19" s="64"/>
      <c r="I19" s="80">
        <f>E19</f>
        <v>40330</v>
      </c>
      <c r="J19" s="205">
        <f>$M$12*$N$7</f>
        <v>40239.799999999996</v>
      </c>
      <c r="K19" s="88">
        <f>($F$7/360)*($O$2/100)*M18</f>
        <v>23202.403848572696</v>
      </c>
      <c r="L19" s="90">
        <f>J19-K19</f>
        <v>17037.3961514273</v>
      </c>
      <c r="M19" s="79">
        <f>M18-L19</f>
        <v>889306.50418344373</v>
      </c>
      <c r="N19" s="126">
        <f>L19/M18</f>
        <v>1.8797937675900302E-2</v>
      </c>
      <c r="O19" s="52"/>
      <c r="P19" s="80">
        <f>I19</f>
        <v>40330</v>
      </c>
      <c r="Q19" s="97">
        <f ca="1">S18*N19</f>
        <v>14424.754663956941</v>
      </c>
      <c r="R19" s="98">
        <f ca="1">S18*$C$2/2</f>
        <v>19183.959050000001</v>
      </c>
      <c r="S19" s="99">
        <f ca="1">IF(P19&lt;$A$4,(VLOOKUP(P19,$A$11:$B$52,2,0)*$S$12),(S18-(Q19+R19)))</f>
        <v>700571.022</v>
      </c>
      <c r="U19" s="80">
        <f>P19</f>
        <v>40330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40878</v>
      </c>
      <c r="B20" s="50">
        <v>0.57627299899999995</v>
      </c>
      <c r="C20" s="52"/>
      <c r="D20" s="70" t="str">
        <f ca="1">IF(E20&lt;$A$4,"Actual","Model Num")</f>
        <v>Actual</v>
      </c>
      <c r="E20" s="71">
        <f>DATE(YEAR(E19),MONTH(E19)+6,DAY(E19))</f>
        <v>40513</v>
      </c>
      <c r="F20" s="74">
        <f>MAX(IF(ISERROR(VLOOKUP(E20,$A$12:$B$52,2,0)),VLOOKUP(E20,$P$11:$S$52,4,0)/1000000,(VLOOKUP(E20,$A$12:$B$52,2,0))),0)</f>
        <v>0.66140964300000005</v>
      </c>
      <c r="G20" s="128">
        <f>F20*1000000</f>
        <v>661409.64300000004</v>
      </c>
      <c r="H20" s="64"/>
      <c r="I20" s="80">
        <f>E20</f>
        <v>40513</v>
      </c>
      <c r="J20" s="205">
        <f>$M$12*$N$7</f>
        <v>40239.799999999996</v>
      </c>
      <c r="K20" s="88">
        <f>($F$7/360)*($O$2/100)*M19</f>
        <v>22766.246507096159</v>
      </c>
      <c r="L20" s="90">
        <f>J20-K20</f>
        <v>17473.553492903837</v>
      </c>
      <c r="M20" s="79">
        <f>M19-L20</f>
        <v>871832.9506905399</v>
      </c>
      <c r="N20" s="126">
        <f>L20/M19</f>
        <v>1.9648516468400237E-2</v>
      </c>
      <c r="O20" s="52"/>
      <c r="P20" s="80">
        <f>I20</f>
        <v>40513</v>
      </c>
      <c r="Q20" s="97">
        <f ca="1">S19*N20</f>
        <v>13765.181263050985</v>
      </c>
      <c r="R20" s="98">
        <f ca="1">S19*$C$2/2</f>
        <v>17514.275550000002</v>
      </c>
      <c r="S20" s="99">
        <f ca="1">IF(P20&lt;$A$4,(VLOOKUP(P20,$A$11:$B$52,2,0)*$S$12),(S19-(Q20+R20)))</f>
        <v>661409.64300000004</v>
      </c>
      <c r="U20" s="80">
        <f>P20</f>
        <v>40513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40695</v>
      </c>
      <c r="B21" s="50">
        <v>0.613093526</v>
      </c>
      <c r="C21" s="52"/>
      <c r="D21" s="70" t="str">
        <f ca="1">IF(E21&lt;$A$4,"Actual","Model Num")</f>
        <v>Actual</v>
      </c>
      <c r="E21" s="71">
        <f>DATE(YEAR(E20),MONTH(E20)+6,DAY(E20))</f>
        <v>40695</v>
      </c>
      <c r="F21" s="74">
        <f>MAX(IF(ISERROR(VLOOKUP(E21,$A$12:$B$52,2,0)),VLOOKUP(E21,$P$11:$S$52,4,0)/1000000,(VLOOKUP(E21,$A$12:$B$52,2,0))),0)</f>
        <v>0.613093526</v>
      </c>
      <c r="G21" s="128">
        <f>F21*1000000</f>
        <v>613093.52599999995</v>
      </c>
      <c r="H21" s="64"/>
      <c r="I21" s="80">
        <f>E21</f>
        <v>40695</v>
      </c>
      <c r="J21" s="205">
        <f>$M$12*$N$7</f>
        <v>40239.799999999996</v>
      </c>
      <c r="K21" s="88">
        <f>($F$7/360)*($O$2/100)*M20</f>
        <v>22318.92353767782</v>
      </c>
      <c r="L21" s="90">
        <f>J21-K21</f>
        <v>17920.876462322176</v>
      </c>
      <c r="M21" s="79">
        <f>M20-L21</f>
        <v>853912.07422821771</v>
      </c>
      <c r="N21" s="126">
        <f>L21/M20</f>
        <v>2.0555401637581891E-2</v>
      </c>
      <c r="O21" s="52"/>
      <c r="P21" s="80">
        <f>I21</f>
        <v>40695</v>
      </c>
      <c r="Q21" s="97">
        <f ca="1">S20*N21</f>
        <v>13595.540858834655</v>
      </c>
      <c r="R21" s="98">
        <f ca="1">S20*$C$2/2</f>
        <v>16535.241075000002</v>
      </c>
      <c r="S21" s="99">
        <f ca="1">IF(P21&lt;$A$4,(VLOOKUP(P21,$A$11:$B$52,2,0)*$S$12),(S20-(Q21+R21)))</f>
        <v>613093.52599999995</v>
      </c>
      <c r="U21" s="80">
        <f>P21</f>
        <v>40695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40513</v>
      </c>
      <c r="B22" s="50">
        <v>0.66140964300000005</v>
      </c>
      <c r="C22" s="52"/>
      <c r="D22" s="70" t="str">
        <f ca="1">IF(E22&lt;$A$4,"Actual","Model Num")</f>
        <v>Actual</v>
      </c>
      <c r="E22" s="71">
        <f>DATE(YEAR(E21),MONTH(E21)+6,DAY(E21))</f>
        <v>40878</v>
      </c>
      <c r="F22" s="74">
        <f>MAX(IF(ISERROR(VLOOKUP(E22,$A$12:$B$52,2,0)),VLOOKUP(E22,$P$11:$S$52,4,0)/1000000,(VLOOKUP(E22,$A$12:$B$52,2,0))),0)</f>
        <v>0.57627299899999995</v>
      </c>
      <c r="G22" s="128">
        <f>F22*1000000</f>
        <v>576272.99899999995</v>
      </c>
      <c r="H22" s="64"/>
      <c r="I22" s="80">
        <f>E22</f>
        <v>40878</v>
      </c>
      <c r="J22" s="205">
        <f>$M$12*$N$7</f>
        <v>40239.799999999996</v>
      </c>
      <c r="K22" s="88">
        <f>($F$7/360)*($O$2/100)*M21</f>
        <v>21860.149100242372</v>
      </c>
      <c r="L22" s="90">
        <f>J22-K22</f>
        <v>18379.650899757624</v>
      </c>
      <c r="M22" s="79">
        <f>M21-L22</f>
        <v>835532.42332846008</v>
      </c>
      <c r="N22" s="126">
        <f>L22/M21</f>
        <v>2.1524055525704456E-2</v>
      </c>
      <c r="O22" s="52"/>
      <c r="P22" s="80">
        <f>I22</f>
        <v>40878</v>
      </c>
      <c r="Q22" s="97">
        <f ca="1">S21*N22</f>
        <v>13196.259096073927</v>
      </c>
      <c r="R22" s="98">
        <f ca="1">S21*$C$2/2</f>
        <v>15327.33815</v>
      </c>
      <c r="S22" s="99">
        <f ca="1">IF(P22&lt;$A$4,(VLOOKUP(P22,$A$11:$B$52,2,0)*$S$12),(S21-(Q22+R22)))</f>
        <v>576272.99899999995</v>
      </c>
      <c r="U22" s="80">
        <f>P22</f>
        <v>40878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40330</v>
      </c>
      <c r="B23" s="50">
        <v>0.70057102199999999</v>
      </c>
      <c r="C23" s="52"/>
      <c r="D23" s="70" t="str">
        <f ca="1">IF(E23&lt;$A$4,"Actual","Model Num")</f>
        <v>Actual</v>
      </c>
      <c r="E23" s="71">
        <f>DATE(YEAR(E22),MONTH(E22)+6,DAY(E22))</f>
        <v>41061</v>
      </c>
      <c r="F23" s="74">
        <f>MAX(IF(ISERROR(VLOOKUP(E23,$A$12:$B$52,2,0)),VLOOKUP(E23,$P$11:$S$52,4,0)/1000000,(VLOOKUP(E23,$A$12:$B$52,2,0))),0)</f>
        <v>0.53668644499999996</v>
      </c>
      <c r="G23" s="128">
        <f>F23*1000000</f>
        <v>536686.44499999995</v>
      </c>
      <c r="H23" s="64"/>
      <c r="I23" s="80">
        <f>E23</f>
        <v>41061</v>
      </c>
      <c r="J23" s="205">
        <f>$M$12*$N$7</f>
        <v>40239.799999999996</v>
      </c>
      <c r="K23" s="88">
        <f>($F$7/360)*($O$2/100)*M22</f>
        <v>21389.630037208575</v>
      </c>
      <c r="L23" s="90">
        <f>J23-K23</f>
        <v>18850.16996279142</v>
      </c>
      <c r="M23" s="79">
        <f>M22-L23</f>
        <v>816682.2533656687</v>
      </c>
      <c r="N23" s="126">
        <f>L23/M22</f>
        <v>2.2560668427084058E-2</v>
      </c>
      <c r="O23" s="52"/>
      <c r="P23" s="80">
        <f>I23</f>
        <v>41061</v>
      </c>
      <c r="Q23" s="97">
        <f ca="1">S22*N23</f>
        <v>13001.104053920342</v>
      </c>
      <c r="R23" s="98">
        <f ca="1">S22*$C$2/2</f>
        <v>14406.824975</v>
      </c>
      <c r="S23" s="99">
        <f ca="1">IF(P23&lt;$A$4,(VLOOKUP(P23,$A$11:$B$52,2,0)*$S$12),(S22-(Q23+R23)))</f>
        <v>536686.44499999995</v>
      </c>
      <c r="U23" s="80">
        <f>P23</f>
        <v>41061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40148</v>
      </c>
      <c r="B24" s="50">
        <v>0.76735836199999996</v>
      </c>
      <c r="C24" s="52"/>
      <c r="D24" s="70" t="str">
        <f ca="1">IF(E24&lt;$A$4,"Actual","Model Num")</f>
        <v>Actual</v>
      </c>
      <c r="E24" s="71">
        <f>DATE(YEAR(E23),MONTH(E23)+6,DAY(E23))</f>
        <v>41244</v>
      </c>
      <c r="F24" s="74">
        <f>MAX(IF(ISERROR(VLOOKUP(E24,$A$12:$B$52,2,0)),VLOOKUP(E24,$P$11:$S$52,4,0)/1000000,(VLOOKUP(E24,$A$12:$B$52,2,0))),0)</f>
        <v>0.49915926900000002</v>
      </c>
      <c r="G24" s="128">
        <f>F24*1000000</f>
        <v>499159.26900000003</v>
      </c>
      <c r="H24" s="64"/>
      <c r="I24" s="80">
        <f>E24</f>
        <v>41244</v>
      </c>
      <c r="J24" s="205">
        <f>$M$12*$N$7</f>
        <v>40239.799999999996</v>
      </c>
      <c r="K24" s="88">
        <f>($F$7/360)*($O$2/100)*M23</f>
        <v>20907.065686161117</v>
      </c>
      <c r="L24" s="90">
        <f>J24-K24</f>
        <v>19332.734313838879</v>
      </c>
      <c r="M24" s="79">
        <f>M23-L24</f>
        <v>797349.51905182982</v>
      </c>
      <c r="N24" s="126">
        <f>L24/M23</f>
        <v>2.3672284091108643E-2</v>
      </c>
      <c r="O24" s="52"/>
      <c r="P24" s="80">
        <f>I24</f>
        <v>41244</v>
      </c>
      <c r="Q24" s="97">
        <f ca="1">S23*N24</f>
        <v>12704.593993887152</v>
      </c>
      <c r="R24" s="98">
        <f ca="1">S23*$C$2/2</f>
        <v>13417.161124999999</v>
      </c>
      <c r="S24" s="99">
        <f ca="1">IF(P24&lt;$A$4,(VLOOKUP(P24,$A$11:$B$52,2,0)*$S$12),(S23-(Q24+R24)))</f>
        <v>499159.26900000003</v>
      </c>
      <c r="U24" s="80">
        <f>P24</f>
        <v>41244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39965</v>
      </c>
      <c r="B25" s="50">
        <v>0.816701342</v>
      </c>
      <c r="C25" s="52"/>
      <c r="D25" s="70" t="str">
        <f ca="1">IF(E25&lt;$A$4,"Actual","Model Num")</f>
        <v>Actual</v>
      </c>
      <c r="E25" s="71">
        <f>DATE(YEAR(E24),MONTH(E24)+6,DAY(E24))</f>
        <v>41426</v>
      </c>
      <c r="F25" s="74">
        <f>MAX(IF(ISERROR(VLOOKUP(E25,$A$12:$B$52,2,0)),VLOOKUP(E25,$P$11:$S$52,4,0)/1000000,(VLOOKUP(E25,$A$12:$B$52,2,0))),0)</f>
        <v>0.45712054299999999</v>
      </c>
      <c r="G25" s="128">
        <f>F25*1000000</f>
        <v>457120.54300000001</v>
      </c>
      <c r="H25" s="64"/>
      <c r="I25" s="80">
        <f>E25</f>
        <v>41426</v>
      </c>
      <c r="J25" s="205">
        <f>$M$12*$N$7</f>
        <v>40239.799999999996</v>
      </c>
      <c r="K25" s="88">
        <f>($F$7/360)*($O$2/100)*M24</f>
        <v>20412.147687726843</v>
      </c>
      <c r="L25" s="90">
        <f>J25-K25</f>
        <v>19827.652312273152</v>
      </c>
      <c r="M25" s="79">
        <f>M24-L25</f>
        <v>777521.86673955666</v>
      </c>
      <c r="N25" s="126">
        <f>L25/M24</f>
        <v>2.4866952118879126E-2</v>
      </c>
      <c r="O25" s="52"/>
      <c r="P25" s="80">
        <f>I25</f>
        <v>41426</v>
      </c>
      <c r="Q25" s="97">
        <f ca="1">S24*N25</f>
        <v>12412.569641917707</v>
      </c>
      <c r="R25" s="98">
        <f ca="1">S24*$C$2/2</f>
        <v>12478.981725000001</v>
      </c>
      <c r="S25" s="99">
        <f ca="1">IF(P25&lt;$A$4,(VLOOKUP(P25,$A$11:$B$52,2,0)*$S$12),(S24-(Q25+R25)))</f>
        <v>457120.54300000001</v>
      </c>
      <c r="U25" s="80">
        <f>P25</f>
        <v>41426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39783</v>
      </c>
      <c r="B26" s="50">
        <v>0.87189343600000002</v>
      </c>
      <c r="C26" s="52"/>
      <c r="D26" s="70" t="str">
        <f ca="1">IF(E26&lt;$A$4,"Actual","Model Num")</f>
        <v>Actual</v>
      </c>
      <c r="E26" s="71">
        <f>DATE(YEAR(E25),MONTH(E25)+6,DAY(E25))</f>
        <v>41609</v>
      </c>
      <c r="F26" s="74">
        <f>MAX(IF(ISERROR(VLOOKUP(E26,$A$12:$B$52,2,0)),VLOOKUP(E26,$P$11:$S$52,4,0)/1000000,(VLOOKUP(E26,$A$12:$B$52,2,0))),0)</f>
        <v>0.38990812200000002</v>
      </c>
      <c r="G26" s="128">
        <f>F26*1000000</f>
        <v>389908.12200000003</v>
      </c>
      <c r="H26" s="64"/>
      <c r="I26" s="80">
        <f>E26</f>
        <v>41609</v>
      </c>
      <c r="J26" s="205">
        <f>$M$12*$N$7</f>
        <v>40239.799999999996</v>
      </c>
      <c r="K26" s="88">
        <f>($F$7/360)*($O$2/100)*M25</f>
        <v>19904.55978853265</v>
      </c>
      <c r="L26" s="90">
        <f>J26-K26</f>
        <v>20335.240211467346</v>
      </c>
      <c r="M26" s="79">
        <f>M25-L26</f>
        <v>757186.62652808928</v>
      </c>
      <c r="N26" s="126">
        <f>L26/M25</f>
        <v>2.615391422589914E-2</v>
      </c>
      <c r="O26" s="52"/>
      <c r="P26" s="80">
        <f>I26</f>
        <v>41609</v>
      </c>
      <c r="Q26" s="97">
        <f ca="1">S25*N26</f>
        <v>11955.491472518439</v>
      </c>
      <c r="R26" s="98">
        <f ca="1">S25*$C$2/2</f>
        <v>11428.013575000001</v>
      </c>
      <c r="S26" s="99">
        <f ca="1">IF(P26&lt;$A$4,(VLOOKUP(P26,$A$11:$B$52,2,0)*$S$12),(S25-(Q26+R26)))</f>
        <v>389908.12200000003</v>
      </c>
      <c r="U26" s="80">
        <f>P26</f>
        <v>41609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39600</v>
      </c>
      <c r="B27" s="50">
        <v>0.91628432999999998</v>
      </c>
      <c r="C27" s="52"/>
      <c r="D27" s="70" t="str">
        <f ca="1">IF(E27&lt;$A$4,"Actual","Model Num")</f>
        <v>Actual</v>
      </c>
      <c r="E27" s="71">
        <f>DATE(YEAR(E26),MONTH(E26)+6,DAY(E26))</f>
        <v>41791</v>
      </c>
      <c r="F27" s="74">
        <f>MAX(IF(ISERROR(VLOOKUP(E27,$A$12:$B$52,2,0)),VLOOKUP(E27,$P$11:$S$52,4,0)/1000000,(VLOOKUP(E27,$A$12:$B$52,2,0))),0)</f>
        <v>0.34848894200000002</v>
      </c>
      <c r="G27" s="128">
        <f>F27*1000000</f>
        <v>348488.94200000004</v>
      </c>
      <c r="H27" s="64"/>
      <c r="I27" s="80">
        <f>E27</f>
        <v>41791</v>
      </c>
      <c r="J27" s="205">
        <f>$M$12*$N$7</f>
        <v>40239.799999999996</v>
      </c>
      <c r="K27" s="88">
        <f>($F$7/360)*($O$2/100)*M26</f>
        <v>19383.977639119083</v>
      </c>
      <c r="L27" s="90">
        <f>J27-K27</f>
        <v>20855.822360880913</v>
      </c>
      <c r="M27" s="79">
        <f>M26-L27</f>
        <v>736330.80416720838</v>
      </c>
      <c r="N27" s="126">
        <f>L27/M26</f>
        <v>2.7543833488595335E-2</v>
      </c>
      <c r="O27" s="52"/>
      <c r="P27" s="80">
        <f>I27</f>
        <v>41791</v>
      </c>
      <c r="Q27" s="97">
        <f ca="1">S26*N27</f>
        <v>10739.564388218916</v>
      </c>
      <c r="R27" s="98">
        <f ca="1">S26*$C$2/2</f>
        <v>9747.7030500000019</v>
      </c>
      <c r="S27" s="99">
        <f ca="1">IF(P27&lt;$A$4,(VLOOKUP(P27,$A$11:$B$52,2,0)*$S$12),(S26-(Q27+R27)))</f>
        <v>348488.94200000004</v>
      </c>
      <c r="U27" s="80">
        <f>P27</f>
        <v>41791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39417</v>
      </c>
      <c r="B28" s="50">
        <v>0.96305445700000003</v>
      </c>
      <c r="C28" s="52"/>
      <c r="D28" s="70" t="str">
        <f ca="1">IF(E28&lt;$A$4,"Actual","Model Num")</f>
        <v>Actual</v>
      </c>
      <c r="E28" s="71">
        <f>DATE(YEAR(E27),MONTH(E27)+6,DAY(E27))</f>
        <v>41974</v>
      </c>
      <c r="F28" s="74">
        <f>MAX(IF(ISERROR(VLOOKUP(E28,$A$12:$B$52,2,0)),VLOOKUP(E28,$P$11:$S$52,4,0)/1000000,(VLOOKUP(E28,$A$12:$B$52,2,0))),0)</f>
        <v>0.31070346999999998</v>
      </c>
      <c r="G28" s="128">
        <f>F28*1000000</f>
        <v>310703.46999999997</v>
      </c>
      <c r="H28" s="64"/>
      <c r="I28" s="80">
        <f>E28</f>
        <v>41974</v>
      </c>
      <c r="J28" s="205">
        <f>$M$12*$N$7</f>
        <v>40239.799999999996</v>
      </c>
      <c r="K28" s="88">
        <f>($F$7/360)*($O$2/100)*M27</f>
        <v>18850.068586680532</v>
      </c>
      <c r="L28" s="90">
        <f>J28-K28</f>
        <v>21389.731413319463</v>
      </c>
      <c r="M28" s="79">
        <f>M27-L28</f>
        <v>714941.0727538889</v>
      </c>
      <c r="N28" s="126">
        <f>L28/M27</f>
        <v>2.9049078610138133E-2</v>
      </c>
      <c r="O28" s="52"/>
      <c r="P28" s="80">
        <f>I28</f>
        <v>41974</v>
      </c>
      <c r="Q28" s="97">
        <f ca="1">S27*N28</f>
        <v>10123.28267092187</v>
      </c>
      <c r="R28" s="98">
        <f ca="1">S27*$C$2/2</f>
        <v>8712.2235500000006</v>
      </c>
      <c r="S28" s="99">
        <f ca="1">IF(P28&lt;$A$4,(VLOOKUP(P28,$A$11:$B$52,2,0)*$S$12),(S27-(Q28+R28)))</f>
        <v>310703.46999999997</v>
      </c>
      <c r="U28" s="80">
        <f>P28</f>
        <v>41974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39234</v>
      </c>
      <c r="B29" s="50">
        <v>0.98372048300000003</v>
      </c>
      <c r="C29" s="52"/>
      <c r="D29" s="70" t="str">
        <f ca="1">IF(E29&lt;$A$4,"Actual","Model Num")</f>
        <v>Actual</v>
      </c>
      <c r="E29" s="71">
        <f>DATE(YEAR(E28),MONTH(E28)+6,DAY(E28))</f>
        <v>42156</v>
      </c>
      <c r="F29" s="74">
        <f>MAX(IF(ISERROR(VLOOKUP(E29,$A$12:$B$52,2,0)),VLOOKUP(E29,$P$11:$S$52,4,0)/1000000,(VLOOKUP(E29,$A$12:$B$52,2,0))),0)</f>
        <v>0.27916535599999998</v>
      </c>
      <c r="G29" s="128">
        <f>F29*1000000</f>
        <v>279165.35599999997</v>
      </c>
      <c r="H29" s="64"/>
      <c r="I29" s="80">
        <f>E29</f>
        <v>42156</v>
      </c>
      <c r="J29" s="205">
        <f>$M$12*$N$7</f>
        <v>40239.799999999996</v>
      </c>
      <c r="K29" s="88">
        <f>($F$7/360)*($O$2/100)*M28</f>
        <v>18302.491462499554</v>
      </c>
      <c r="L29" s="90">
        <f>J29-K29</f>
        <v>21937.308537500441</v>
      </c>
      <c r="M29" s="79">
        <f>M28-L29</f>
        <v>693003.76421638846</v>
      </c>
      <c r="N29" s="126">
        <f>L29/M28</f>
        <v>3.0684079252853519E-2</v>
      </c>
      <c r="O29" s="52"/>
      <c r="P29" s="80">
        <f>I29</f>
        <v>42156</v>
      </c>
      <c r="Q29" s="97">
        <f ca="1">S28*N29</f>
        <v>9533.6498976165949</v>
      </c>
      <c r="R29" s="98">
        <f ca="1">S28*$C$2/2</f>
        <v>7767.5867499999995</v>
      </c>
      <c r="S29" s="99">
        <f ca="1">IF(P29&lt;$A$4,(VLOOKUP(P29,$A$11:$B$52,2,0)*$S$12),(S28-(Q29+R29)))</f>
        <v>279165.35599999997</v>
      </c>
      <c r="U29" s="80">
        <f>P29</f>
        <v>42156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39064</v>
      </c>
      <c r="B30" s="50">
        <v>1</v>
      </c>
      <c r="C30" s="52"/>
      <c r="D30" s="70" t="str">
        <f ca="1">IF(E30&lt;$A$4,"Actual","Model Num")</f>
        <v>Actual</v>
      </c>
      <c r="E30" s="71">
        <f>DATE(YEAR(E29),MONTH(E29)+6,DAY(E29))</f>
        <v>42339</v>
      </c>
      <c r="F30" s="74">
        <f>MAX(IF(ISERROR(VLOOKUP(E30,$A$12:$B$52,2,0)),VLOOKUP(E30,$P$11:$S$52,4,0)/1000000,(VLOOKUP(E30,$A$12:$B$52,2,0))),0)</f>
        <v>0.244288807</v>
      </c>
      <c r="G30" s="128">
        <f>F30*1000000</f>
        <v>244288.807</v>
      </c>
      <c r="H30" s="64"/>
      <c r="I30" s="80">
        <f>E30</f>
        <v>42339</v>
      </c>
      <c r="J30" s="205">
        <f>$M$12*$N$7</f>
        <v>40239.799999999996</v>
      </c>
      <c r="K30" s="88">
        <f>($F$7/360)*($O$2/100)*M29</f>
        <v>17740.896363939544</v>
      </c>
      <c r="L30" s="90">
        <f>J30-K30</f>
        <v>22498.903636060451</v>
      </c>
      <c r="M30" s="79">
        <f>M29-L30</f>
        <v>670504.86058032804</v>
      </c>
      <c r="N30" s="126">
        <f>L30/M29</f>
        <v>3.2465774066178427E-2</v>
      </c>
      <c r="O30" s="52"/>
      <c r="P30" s="80">
        <f>I30</f>
        <v>42339</v>
      </c>
      <c r="Q30" s="97">
        <f ca="1">S29*N30</f>
        <v>9063.3193750002665</v>
      </c>
      <c r="R30" s="98">
        <f ca="1">S29*$C$2/2</f>
        <v>6979.1338999999998</v>
      </c>
      <c r="S30" s="99">
        <f ca="1">IF(P30&lt;$A$4,(VLOOKUP(P30,$A$11:$B$52,2,0)*$S$12),(S29-(Q30+R30)))</f>
        <v>244288.807</v>
      </c>
      <c r="U30" s="80">
        <f>P30</f>
        <v>42339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/>
      <c r="B31" s="50"/>
      <c r="C31" s="52"/>
      <c r="D31" s="70" t="str">
        <f ca="1">IF(E31&lt;$A$4,"Actual","Model Num")</f>
        <v>Model Num</v>
      </c>
      <c r="E31" s="71">
        <f>DATE(YEAR(E30),MONTH(E30)+6,DAY(E30))</f>
        <v>42522</v>
      </c>
      <c r="F31" s="74">
        <f ca="1">MAX(IF(ISERROR(VLOOKUP(E31,$A$12:$B$52,2,0)),VLOOKUP(E31,$P$11:$S$52,4,0)/1000000,(VLOOKUP(E31,$A$12:$B$52,2,0))),0)</f>
        <v>0.2297745876280356</v>
      </c>
      <c r="G31" s="128">
        <f ca="1">F31*1000000</f>
        <v>229774.5876280356</v>
      </c>
      <c r="H31" s="64"/>
      <c r="I31" s="80">
        <f>E31</f>
        <v>42522</v>
      </c>
      <c r="J31" s="205">
        <f>$M$12*$N$7</f>
        <v>40239.799999999996</v>
      </c>
      <c r="K31" s="88">
        <f>($F$7/360)*($O$2/100)*M30</f>
        <v>17164.924430856398</v>
      </c>
      <c r="L31" s="90">
        <f>J31-K31</f>
        <v>23074.875569143598</v>
      </c>
      <c r="M31" s="79">
        <f>M30-L31</f>
        <v>647429.98501118447</v>
      </c>
      <c r="N31" s="126">
        <f>L31/M30</f>
        <v>3.4414180904180296E-2</v>
      </c>
      <c r="O31" s="52"/>
      <c r="P31" s="80">
        <f>I31</f>
        <v>42522</v>
      </c>
      <c r="Q31" s="97">
        <f ca="1">S30*N31</f>
        <v>8406.9991969643852</v>
      </c>
      <c r="R31" s="98">
        <f ca="1">S30*$C$2/2</f>
        <v>6107.2201750000004</v>
      </c>
      <c r="S31" s="99">
        <f ca="1">IF(P31&lt;$A$4,(VLOOKUP(P31,$A$11:$B$52,2,0)*$S$12),(S30-(Q31+R31)))</f>
        <v>229774.5876280356</v>
      </c>
      <c r="U31" s="80">
        <f>P31</f>
        <v>42522</v>
      </c>
      <c r="V31" s="97">
        <f ca="1">IF(U31&lt;$A$4,0,(YEARFRAC($A$4,U31,1)))</f>
        <v>0.14754098360655737</v>
      </c>
      <c r="W31" s="141">
        <f ca="1">V31*(S30-S31)</f>
        <v>2141.4422024209766</v>
      </c>
    </row>
    <row r="32" spans="1:23">
      <c r="A32" s="49"/>
      <c r="B32" s="50"/>
      <c r="C32" s="52"/>
      <c r="D32" s="70" t="str">
        <f ca="1">IF(E32&lt;$A$4,"Actual","Model Num")</f>
        <v>Model Num</v>
      </c>
      <c r="E32" s="71">
        <f>DATE(YEAR(E31),MONTH(E31)+6,DAY(E31))</f>
        <v>42705</v>
      </c>
      <c r="F32" s="74">
        <f ca="1">MAX(IF(ISERROR(VLOOKUP(E32,$A$12:$B$52,2,0)),VLOOKUP(E32,$P$11:$S$52,4,0)/1000000,(VLOOKUP(E32,$A$12:$B$52,2,0))),0)</f>
        <v>0.21563124257369423</v>
      </c>
      <c r="G32" s="128">
        <f ca="1">F32*1000000</f>
        <v>215631.24257369424</v>
      </c>
      <c r="H32" s="64"/>
      <c r="I32" s="80">
        <f>E32</f>
        <v>42705</v>
      </c>
      <c r="J32" s="205">
        <f>$M$12*$N$7</f>
        <v>40239.799999999996</v>
      </c>
      <c r="K32" s="88">
        <f>($F$7/360)*($O$2/100)*M31</f>
        <v>16574.20761628632</v>
      </c>
      <c r="L32" s="90">
        <f>J32-K32</f>
        <v>23665.592383713676</v>
      </c>
      <c r="M32" s="79">
        <f>M31-L32</f>
        <v>623764.39262747078</v>
      </c>
      <c r="N32" s="126">
        <f>L32/M31</f>
        <v>3.655312996246976E-2</v>
      </c>
      <c r="O32" s="52"/>
      <c r="P32" s="80">
        <f>I32</f>
        <v>42705</v>
      </c>
      <c r="Q32" s="97">
        <f ca="1">S31*N32</f>
        <v>8398.9803636404813</v>
      </c>
      <c r="R32" s="98">
        <f ca="1">S31*$C$2/2</f>
        <v>5744.3646907008906</v>
      </c>
      <c r="S32" s="99">
        <f ca="1">IF(P32&lt;$A$4,(VLOOKUP(P32,$A$11:$B$52,2,0)*$S$12),(S31-(Q32+R32)))</f>
        <v>215631.24257369424</v>
      </c>
      <c r="U32" s="80">
        <f>P32</f>
        <v>42705</v>
      </c>
      <c r="V32" s="97">
        <f ca="1">IF(U32&lt;$A$4,0,(YEARFRAC($A$4,U32,1)))</f>
        <v>0.64754098360655743</v>
      </c>
      <c r="W32" s="141">
        <f ca="1">V32*(S31-S32)</f>
        <v>9158.3955679751452</v>
      </c>
    </row>
    <row r="33" spans="1:23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42887</v>
      </c>
      <c r="F33" s="74">
        <f ca="1">MAX(IF(ISERROR(VLOOKUP(E33,$A$12:$B$52,2,0)),VLOOKUP(E33,$P$11:$S$52,4,0)/1000000,(VLOOKUP(E33,$A$12:$B$52,2,0))),0)</f>
        <v>0.20184998746858349</v>
      </c>
      <c r="G33" s="128">
        <f ca="1">F33*1000000</f>
        <v>201849.98746858348</v>
      </c>
      <c r="H33" s="64"/>
      <c r="I33" s="80">
        <f>E33</f>
        <v>42887</v>
      </c>
      <c r="J33" s="205">
        <f>$M$12*$N$7</f>
        <v>40239.799999999996</v>
      </c>
      <c r="K33" s="88">
        <f>($F$7/360)*($O$2/100)*M32</f>
        <v>15968.36845126325</v>
      </c>
      <c r="L33" s="90">
        <f>J33-K33</f>
        <v>24271.431548736746</v>
      </c>
      <c r="M33" s="79">
        <f>M32-L33</f>
        <v>599492.96107873402</v>
      </c>
      <c r="N33" s="126">
        <f>L33/M32</f>
        <v>3.8911216856253462E-2</v>
      </c>
      <c r="O33" s="52"/>
      <c r="P33" s="80">
        <f>I33</f>
        <v>42887</v>
      </c>
      <c r="Q33" s="97">
        <f ca="1">S32*N33</f>
        <v>8390.4740407684112</v>
      </c>
      <c r="R33" s="98">
        <f ca="1">S32*$C$2/2</f>
        <v>5390.7810643423563</v>
      </c>
      <c r="S33" s="99">
        <f ca="1">IF(P33&lt;$A$4,(VLOOKUP(P33,$A$11:$B$52,2,0)*$S$12),(S32-(Q33+R33)))</f>
        <v>201849.98746858348</v>
      </c>
      <c r="U33" s="80">
        <f>P33</f>
        <v>42887</v>
      </c>
      <c r="V33" s="97">
        <f ca="1">IF(U33&lt;$A$4,0,(YEARFRAC($A$4,U33,1)))</f>
        <v>1.146374829001368</v>
      </c>
      <c r="W33" s="141">
        <f ca="1">V33*(S32-S33)</f>
        <v>15798.483964545576</v>
      </c>
    </row>
    <row r="34" spans="1:23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43070</v>
      </c>
      <c r="F34" s="74">
        <f ca="1">MAX(IF(ISERROR(VLOOKUP(E34,$A$12:$B$52,2,0)),VLOOKUP(E34,$P$11:$S$52,4,0)/1000000,(VLOOKUP(E34,$A$12:$B$52,2,0))),0)</f>
        <v>0.18842230931328927</v>
      </c>
      <c r="G34" s="128">
        <f ca="1">F34*1000000</f>
        <v>188422.30931328927</v>
      </c>
      <c r="H34" s="64"/>
      <c r="I34" s="80">
        <f>E34</f>
        <v>43070</v>
      </c>
      <c r="J34" s="205">
        <f>$M$12*$N$7</f>
        <v>40239.799999999996</v>
      </c>
      <c r="K34" s="88">
        <f>($F$7/360)*($O$2/100)*M33</f>
        <v>15347.019803615589</v>
      </c>
      <c r="L34" s="90">
        <f>J34-K34</f>
        <v>24892.780196384407</v>
      </c>
      <c r="M34" s="79">
        <f>M33-L34</f>
        <v>574600.18088234961</v>
      </c>
      <c r="N34" s="126">
        <f>L34/M33</f>
        <v>4.1523056670410396E-2</v>
      </c>
      <c r="O34" s="52"/>
      <c r="P34" s="80">
        <f>I34</f>
        <v>43070</v>
      </c>
      <c r="Q34" s="97">
        <f ca="1">S33*N34</f>
        <v>8381.428468579621</v>
      </c>
      <c r="R34" s="98">
        <f ca="1">S33*$C$2/2</f>
        <v>5046.2496867145874</v>
      </c>
      <c r="S34" s="99">
        <f ca="1">IF(P34&lt;$A$4,(VLOOKUP(P34,$A$11:$B$52,2,0)*$S$12),(S33-(Q34+R34)))</f>
        <v>188422.30931328927</v>
      </c>
      <c r="U34" s="80">
        <f>P34</f>
        <v>43070</v>
      </c>
      <c r="V34" s="97">
        <f ca="1">IF(U34&lt;$A$4,0,(YEARFRAC($A$4,U34,1)))</f>
        <v>1.6470588235294117</v>
      </c>
      <c r="W34" s="141">
        <f ca="1">V34*(S33-S34)</f>
        <v>22116.175785190466</v>
      </c>
    </row>
    <row r="35" spans="1:23">
      <c r="A35" s="49"/>
      <c r="B35" s="50"/>
      <c r="D35" s="70" t="str">
        <f ca="1">IF(E35&lt;$A$4,"Actual","Model Num")</f>
        <v>Model Num</v>
      </c>
      <c r="E35" s="71">
        <f>DATE(YEAR(E34),MONTH(E34)+6,DAY(E34))</f>
        <v>43252</v>
      </c>
      <c r="F35" s="74">
        <f ca="1">MAX(IF(ISERROR(VLOOKUP(E35,$A$12:$B$52,2,0)),VLOOKUP(E35,$P$11:$S$52,4,0)/1000000,(VLOOKUP(E35,$A$12:$B$52,2,0))),0)</f>
        <v>0.17533996824100925</v>
      </c>
      <c r="G35" s="128">
        <f ca="1">F35*1000000</f>
        <v>175339.96824100925</v>
      </c>
      <c r="I35" s="80">
        <f>E35</f>
        <v>43252</v>
      </c>
      <c r="J35" s="205">
        <f>$M$12*$N$7</f>
        <v>40239.799999999996</v>
      </c>
      <c r="K35" s="88">
        <f>($F$7/360)*($O$2/100)*M34</f>
        <v>14709.764630588148</v>
      </c>
      <c r="L35" s="90">
        <f>J35-K35</f>
        <v>25530.035369411846</v>
      </c>
      <c r="M35" s="79">
        <f>M34-L35</f>
        <v>549070.1455129378</v>
      </c>
      <c r="N35" s="126">
        <f>L35/M34</f>
        <v>4.4430956026167985E-2</v>
      </c>
      <c r="O35" s="52"/>
      <c r="P35" s="80">
        <f>I35</f>
        <v>43252</v>
      </c>
      <c r="Q35" s="97">
        <f ca="1">S34*N35</f>
        <v>8371.7833394477784</v>
      </c>
      <c r="R35" s="98">
        <f ca="1">S34*$C$2/2</f>
        <v>4710.5577328322315</v>
      </c>
      <c r="S35" s="99">
        <f ca="1">IF(P35&lt;$A$4,(VLOOKUP(P35,$A$11:$B$52,2,0)*$S$12),(S34-(Q35+R35)))</f>
        <v>175339.96824100925</v>
      </c>
      <c r="U35" s="80">
        <f>P35</f>
        <v>43252</v>
      </c>
      <c r="V35" s="97">
        <f ca="1">IF(U35&lt;$A$4,0,(YEARFRAC($A$4,U35,1)))</f>
        <v>2.1459854014598543</v>
      </c>
      <c r="W35" s="141">
        <f ca="1">V35*(S34-S35)</f>
        <v>28074.512958031577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43435</v>
      </c>
      <c r="F36" s="74">
        <f ca="1">MAX(IF(ISERROR(VLOOKUP(E36,$A$12:$B$52,2,0)),VLOOKUP(E36,$P$11:$S$52,4,0)/1000000,(VLOOKUP(E36,$A$12:$B$52,2,0))),0)</f>
        <v>0.16259500123435952</v>
      </c>
      <c r="G36" s="128">
        <f ca="1">F36*1000000</f>
        <v>162595.00123435952</v>
      </c>
      <c r="I36" s="80">
        <f>E36</f>
        <v>43435</v>
      </c>
      <c r="J36" s="205">
        <f>$M$12*$N$7</f>
        <v>40239.799999999996</v>
      </c>
      <c r="K36" s="88">
        <f>($F$7/360)*($O$2/100)*M35</f>
        <v>14056.195725131207</v>
      </c>
      <c r="L36" s="90">
        <f>J36-K36</f>
        <v>26183.604274868791</v>
      </c>
      <c r="M36" s="79">
        <f>M35-L36</f>
        <v>522886.54123806901</v>
      </c>
      <c r="N36" s="126">
        <f>L36/M35</f>
        <v>4.7687175288702387E-2</v>
      </c>
      <c r="O36" s="52"/>
      <c r="P36" s="80">
        <f>I36</f>
        <v>43435</v>
      </c>
      <c r="Q36" s="97">
        <f ca="1">S35*N36</f>
        <v>8361.4678006245176</v>
      </c>
      <c r="R36" s="98">
        <f ca="1">S35*$C$2/2</f>
        <v>4383.4992060252316</v>
      </c>
      <c r="S36" s="99">
        <f ca="1">IF(P36&lt;$A$4,(VLOOKUP(P36,$A$11:$B$52,2,0)*$S$12),(S35-(Q36+R36)))</f>
        <v>162595.00123435952</v>
      </c>
      <c r="U36" s="80">
        <f>P36</f>
        <v>43435</v>
      </c>
      <c r="V36" s="97">
        <f ca="1">IF(U36&lt;$A$4,0,(YEARFRAC($A$4,U36,1)))</f>
        <v>2.6468978102189782</v>
      </c>
      <c r="W36" s="141">
        <f ca="1">V36*(S35-S36)</f>
        <v>33734.625261214307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43617</v>
      </c>
      <c r="F37" s="74">
        <f ca="1">MAX(IF(ISERROR(VLOOKUP(E37,$A$12:$B$52,2,0)),VLOOKUP(E37,$P$11:$S$52,4,0)/1000000,(VLOOKUP(E37,$A$12:$B$52,2,0))),0)</f>
        <v>0.15017972836730772</v>
      </c>
      <c r="G37" s="128">
        <f ca="1">F37*1000000</f>
        <v>150179.72836730772</v>
      </c>
      <c r="I37" s="80">
        <f>E37</f>
        <v>43617</v>
      </c>
      <c r="J37" s="205">
        <f>$M$12*$N$7</f>
        <v>40239.799999999996</v>
      </c>
      <c r="K37" s="88">
        <f>($F$7/360)*($O$2/100)*M36</f>
        <v>13385.895455694565</v>
      </c>
      <c r="L37" s="90">
        <f>J37-K37</f>
        <v>26853.904544305431</v>
      </c>
      <c r="M37" s="79">
        <f>M36-L37</f>
        <v>496032.6366937636</v>
      </c>
      <c r="N37" s="126">
        <f>L37/M36</f>
        <v>5.1357039102061935E-2</v>
      </c>
      <c r="O37" s="52"/>
      <c r="P37" s="80">
        <f>I37</f>
        <v>43617</v>
      </c>
      <c r="Q37" s="97">
        <f ca="1">S36*N37</f>
        <v>8350.3978361928112</v>
      </c>
      <c r="R37" s="98">
        <f ca="1">S36*$C$2/2</f>
        <v>4064.8750308589879</v>
      </c>
      <c r="S37" s="99">
        <f ca="1">IF(P37&lt;$A$4,(VLOOKUP(P37,$A$11:$B$52,2,0)*$S$12),(S36-(Q37+R37)))</f>
        <v>150179.72836730772</v>
      </c>
      <c r="U37" s="80">
        <f>P37</f>
        <v>43617</v>
      </c>
      <c r="V37" s="97">
        <f ca="1">IF(U37&lt;$A$4,0,(YEARFRAC($A$4,U37,1)))</f>
        <v>3.1457905544147846</v>
      </c>
      <c r="W37" s="141">
        <f ca="1">V37*(S36-S37)</f>
        <v>39055.848115653709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43800</v>
      </c>
      <c r="F38" s="74">
        <f ca="1">MAX(IF(ISERROR(VLOOKUP(E38,$A$12:$B$52,2,0)),VLOOKUP(E38,$P$11:$S$52,4,0)/1000000,(VLOOKUP(E38,$A$12:$B$52,2,0))),0)</f>
        <v>0.13808676237709988</v>
      </c>
      <c r="G38" s="128">
        <f ca="1">F38*1000000</f>
        <v>138086.76237709989</v>
      </c>
      <c r="I38" s="80">
        <f>E38</f>
        <v>43800</v>
      </c>
      <c r="J38" s="205">
        <f>$M$12*$N$7</f>
        <v>40239.799999999996</v>
      </c>
      <c r="K38" s="88">
        <f>($F$7/360)*($O$2/100)*M37</f>
        <v>12698.435499360347</v>
      </c>
      <c r="L38" s="90">
        <f>J38-K38</f>
        <v>27541.364500639647</v>
      </c>
      <c r="M38" s="79">
        <f>M37-L38</f>
        <v>468491.27219312394</v>
      </c>
      <c r="N38" s="126">
        <f>L38/M37</f>
        <v>5.5523291137076734E-2</v>
      </c>
      <c r="O38" s="52"/>
      <c r="P38" s="80">
        <f>I38</f>
        <v>43800</v>
      </c>
      <c r="Q38" s="97">
        <f ca="1">S37*N38</f>
        <v>8338.4727810251279</v>
      </c>
      <c r="R38" s="98">
        <f ca="1">S37*$C$2/2</f>
        <v>3754.4932091826931</v>
      </c>
      <c r="S38" s="99">
        <f ca="1">IF(P38&lt;$A$4,(VLOOKUP(P38,$A$11:$B$52,2,0)*$S$12),(S37-(Q38+R38)))</f>
        <v>138086.76237709989</v>
      </c>
      <c r="U38" s="80">
        <f>P38</f>
        <v>43800</v>
      </c>
      <c r="V38" s="97">
        <f ca="1">IF(U38&lt;$A$4,0,(YEARFRAC($A$4,U38,1)))</f>
        <v>3.6468172484599588</v>
      </c>
      <c r="W38" s="141">
        <f ca="1">V38*(S37-S38)</f>
        <v>44100.83695812957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43983</v>
      </c>
      <c r="F39" s="74">
        <f ca="1">MAX(IF(ISERROR(VLOOKUP(E39,$A$12:$B$52,2,0)),VLOOKUP(E39,$P$11:$S$52,4,0)/1000000,(VLOOKUP(E39,$A$12:$B$52,2,0))),0)</f>
        <v>0.12630902272127975</v>
      </c>
      <c r="G39" s="128">
        <f ca="1">F39*1000000</f>
        <v>126309.02272127975</v>
      </c>
      <c r="I39" s="80">
        <f>E39</f>
        <v>43983</v>
      </c>
      <c r="J39" s="205">
        <f>$M$12*$N$7</f>
        <v>40239.799999999996</v>
      </c>
      <c r="K39" s="88">
        <f>($F$7/360)*($O$2/100)*M38</f>
        <v>11993.376568143971</v>
      </c>
      <c r="L39" s="90">
        <f>J39-K39</f>
        <v>28246.423431856027</v>
      </c>
      <c r="M39" s="79">
        <f>M38-L39</f>
        <v>440244.8487612679</v>
      </c>
      <c r="N39" s="126">
        <f>L39/M38</f>
        <v>6.02923151580338E-2</v>
      </c>
      <c r="O39" s="52"/>
      <c r="P39" s="80">
        <f>I39</f>
        <v>43983</v>
      </c>
      <c r="Q39" s="97">
        <f ca="1">S38*N39</f>
        <v>8325.5705963926321</v>
      </c>
      <c r="R39" s="98">
        <f ca="1">S38*$C$2/2</f>
        <v>3452.1690594274974</v>
      </c>
      <c r="S39" s="99">
        <f ca="1">IF(P39&lt;$A$4,(VLOOKUP(P39,$A$11:$B$52,2,0)*$S$12),(S38-(Q39+R39)))</f>
        <v>126309.02272127976</v>
      </c>
      <c r="U39" s="80">
        <f>P39</f>
        <v>43983</v>
      </c>
      <c r="V39" s="97">
        <f ca="1">IF(U39&lt;$A$4,0,(YEARFRAC($A$4,U39,1)))</f>
        <v>4.1461412151067325</v>
      </c>
      <c r="W39" s="141">
        <f ca="1">V39*(S38-S39)</f>
        <v>48832.171807792816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44166</v>
      </c>
      <c r="F40" s="74">
        <f ca="1">MAX(IF(ISERROR(VLOOKUP(E40,$A$12:$B$52,2,0)),VLOOKUP(E40,$P$11:$S$52,4,0)/1000000,(VLOOKUP(E40,$A$12:$B$52,2,0))),0)</f>
        <v>0.11483975581504785</v>
      </c>
      <c r="G40" s="128">
        <f ca="1">F40*1000000</f>
        <v>114839.75581504784</v>
      </c>
      <c r="I40" s="80">
        <f>E40</f>
        <v>44166</v>
      </c>
      <c r="J40" s="205">
        <f>$M$12*$N$7</f>
        <v>40239.799999999996</v>
      </c>
      <c r="K40" s="88">
        <f>($F$7/360)*($O$2/100)*M39</f>
        <v>11270.268128288457</v>
      </c>
      <c r="L40" s="90">
        <f>J40-K40</f>
        <v>28969.531871711537</v>
      </c>
      <c r="M40" s="79">
        <f>M39-L40</f>
        <v>411275.31688955636</v>
      </c>
      <c r="N40" s="126">
        <f>L40/M39</f>
        <v>6.5803227347745477E-2</v>
      </c>
      <c r="O40" s="52"/>
      <c r="P40" s="80">
        <f>I40</f>
        <v>44166</v>
      </c>
      <c r="Q40" s="97">
        <f ca="1">S39*N40</f>
        <v>8311.5413381999206</v>
      </c>
      <c r="R40" s="98">
        <f ca="1">S39*$C$2/2</f>
        <v>3157.725568031994</v>
      </c>
      <c r="S40" s="99">
        <f ca="1">IF(P40&lt;$A$4,(VLOOKUP(P40,$A$11:$B$52,2,0)*$S$12),(S39-(Q40+R40)))</f>
        <v>114839.75581504784</v>
      </c>
      <c r="U40" s="80">
        <f>P40</f>
        <v>44166</v>
      </c>
      <c r="V40" s="97">
        <f ca="1">IF(U40&lt;$A$4,0,(YEARFRAC($A$4,U40,1)))</f>
        <v>4.6469622331691296</v>
      </c>
      <c r="W40" s="141">
        <f ca="1">V40*(S39-S40)</f>
        <v>53297.250155396272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44348</v>
      </c>
      <c r="F41" s="74">
        <f ca="1">MAX(IF(ISERROR(VLOOKUP(E41,$A$12:$B$52,2,0)),VLOOKUP(E41,$P$11:$S$52,4,0)/1000000,(VLOOKUP(E41,$A$12:$B$52,2,0))),0)</f>
        <v>0.10367256400153793</v>
      </c>
      <c r="G41" s="128">
        <f ca="1">F41*1000000</f>
        <v>103672.56400153793</v>
      </c>
      <c r="I41" s="80">
        <f>E41</f>
        <v>44348</v>
      </c>
      <c r="J41" s="205">
        <f>$M$12*$N$7</f>
        <v>40239.799999999996</v>
      </c>
      <c r="K41" s="88">
        <f>($F$7/360)*($O$2/100)*M40</f>
        <v>10528.648112372643</v>
      </c>
      <c r="L41" s="90">
        <f>J41-K41</f>
        <v>29711.151887627355</v>
      </c>
      <c r="M41" s="79">
        <f>M40-L41</f>
        <v>381564.16500192898</v>
      </c>
      <c r="N41" s="126">
        <f>L41/M40</f>
        <v>7.2241514789485831E-2</v>
      </c>
      <c r="O41" s="52"/>
      <c r="P41" s="80">
        <f>I41</f>
        <v>44348</v>
      </c>
      <c r="Q41" s="97">
        <f ca="1">S40*N41</f>
        <v>8296.197918133721</v>
      </c>
      <c r="R41" s="98">
        <f ca="1">S40*$C$2/2</f>
        <v>2870.9938953761962</v>
      </c>
      <c r="S41" s="99">
        <f ca="1">IF(P41&lt;$A$4,(VLOOKUP(P41,$A$11:$B$52,2,0)*$S$12),(S40-(Q41+R41)))</f>
        <v>103672.56400153793</v>
      </c>
      <c r="U41" s="80">
        <f>P41</f>
        <v>44348</v>
      </c>
      <c r="V41" s="97">
        <f ca="1">IF(U41&lt;$A$4,0,(YEARFRAC($A$4,U41,1)))</f>
        <v>5.1459854014598543</v>
      </c>
      <c r="W41" s="141">
        <f ca="1">V41*(S40-S41)</f>
        <v>57466.206047624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44531</v>
      </c>
      <c r="F42" s="74">
        <f ca="1">MAX(IF(ISERROR(VLOOKUP(E42,$A$12:$B$52,2,0)),VLOOKUP(E42,$P$11:$S$52,4,0)/1000000,(VLOOKUP(E42,$A$12:$B$52,2,0))),0)</f>
        <v>9.280144721388571E-2</v>
      </c>
      <c r="G42" s="128">
        <f ca="1">F42*1000000</f>
        <v>92801.447213885709</v>
      </c>
      <c r="I42" s="80">
        <f>E42</f>
        <v>44531</v>
      </c>
      <c r="J42" s="205">
        <f>$M$12*$N$7</f>
        <v>40239.799999999996</v>
      </c>
      <c r="K42" s="88">
        <f>($F$7/360)*($O$2/100)*M41</f>
        <v>9768.0426240493816</v>
      </c>
      <c r="L42" s="90">
        <f>J42-K42</f>
        <v>30471.757375950612</v>
      </c>
      <c r="M42" s="79">
        <f>M41-L42</f>
        <v>351092.40762597835</v>
      </c>
      <c r="N42" s="126">
        <f>L42/M41</f>
        <v>7.9860113110455655E-2</v>
      </c>
      <c r="O42" s="52"/>
      <c r="P42" s="80">
        <f>I42</f>
        <v>44531</v>
      </c>
      <c r="Q42" s="97">
        <f ca="1">S41*N42</f>
        <v>8279.3026876137719</v>
      </c>
      <c r="R42" s="98">
        <f ca="1">S41*$C$2/2</f>
        <v>2591.8141000384485</v>
      </c>
      <c r="S42" s="99">
        <f ca="1">IF(P42&lt;$A$4,(VLOOKUP(P42,$A$11:$B$52,2,0)*$S$12),(S41-(Q42+R42)))</f>
        <v>92801.447213885709</v>
      </c>
      <c r="U42" s="80">
        <f>P42</f>
        <v>44531</v>
      </c>
      <c r="V42" s="97">
        <f ca="1">IF(U42&lt;$A$4,0,(YEARFRAC($A$4,U42,1)))</f>
        <v>5.6468978102189782</v>
      </c>
      <c r="W42" s="141">
        <f ca="1">V42*(S41-S42)</f>
        <v>61388.085582828113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44713</v>
      </c>
      <c r="F43" s="74">
        <f ca="1">MAX(IF(ISERROR(VLOOKUP(E43,$A$12:$B$52,2,0)),VLOOKUP(E43,$P$11:$S$52,4,0)/1000000,(VLOOKUP(E43,$A$12:$B$52,2,0))),0)</f>
        <v>8.2220863684336454E-2</v>
      </c>
      <c r="G43" s="128">
        <f ca="1">F43*1000000</f>
        <v>82220.863684336451</v>
      </c>
      <c r="I43" s="80">
        <f>E43</f>
        <v>44713</v>
      </c>
      <c r="J43" s="205">
        <f>$M$12*$N$7</f>
        <v>40239.799999999996</v>
      </c>
      <c r="K43" s="88">
        <f>($F$7/360)*($O$2/100)*M42</f>
        <v>8987.965635225044</v>
      </c>
      <c r="L43" s="90">
        <f>J43-K43</f>
        <v>31251.83436477495</v>
      </c>
      <c r="M43" s="79">
        <f>M42-L43</f>
        <v>319840.57326120342</v>
      </c>
      <c r="N43" s="126">
        <f>L43/M42</f>
        <v>8.9013130691415546E-2</v>
      </c>
      <c r="O43" s="52"/>
      <c r="P43" s="80">
        <f>I43</f>
        <v>44713</v>
      </c>
      <c r="Q43" s="97">
        <f ca="1">S42*N43</f>
        <v>8260.5473492021101</v>
      </c>
      <c r="R43" s="98">
        <f ca="1">S42*$C$2/2</f>
        <v>2320.0361803471428</v>
      </c>
      <c r="S43" s="99">
        <f ca="1">IF(P43&lt;$A$4,(VLOOKUP(P43,$A$11:$B$52,2,0)*$S$12),(S42-(Q43+R43)))</f>
        <v>82220.863684336451</v>
      </c>
      <c r="U43" s="80">
        <f>P43</f>
        <v>44713</v>
      </c>
      <c r="V43" s="97">
        <f ca="1">IF(U43&lt;$A$4,0,(YEARFRAC($A$4,U43,1)))</f>
        <v>6.1458740711771611</v>
      </c>
      <c r="W43" s="141">
        <f ca="1">V43*(S42-S43)</f>
        <v>65026.933972180916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44896</v>
      </c>
      <c r="F44" s="74">
        <f ca="1">MAX(IF(ISERROR(VLOOKUP(E44,$A$12:$B$52,2,0)),VLOOKUP(E44,$P$11:$S$52,4,0)/1000000,(VLOOKUP(E44,$A$12:$B$52,2,0))),0)</f>
        <v>7.1925820325684883E-2</v>
      </c>
      <c r="G44" s="128">
        <f ca="1">F44*1000000</f>
        <v>71925.820325684879</v>
      </c>
      <c r="I44" s="80">
        <f>E44</f>
        <v>44896</v>
      </c>
      <c r="J44" s="205">
        <f>$M$12*$N$7</f>
        <v>40239.799999999996</v>
      </c>
      <c r="K44" s="88">
        <f>($F$7/360)*($O$2/100)*M43</f>
        <v>8187.9186754868069</v>
      </c>
      <c r="L44" s="90">
        <f>J44-K44</f>
        <v>32051.88132451319</v>
      </c>
      <c r="M44" s="79">
        <f>M43-L44</f>
        <v>287788.69193669024</v>
      </c>
      <c r="N44" s="126">
        <f>L44/M43</f>
        <v>0.10021205564291388</v>
      </c>
      <c r="O44" s="52"/>
      <c r="P44" s="80">
        <f>I44</f>
        <v>44896</v>
      </c>
      <c r="Q44" s="97">
        <f ca="1">S43*N44</f>
        <v>8239.521766543161</v>
      </c>
      <c r="R44" s="98">
        <f ca="1">S43*$C$2/2</f>
        <v>2055.5215921084114</v>
      </c>
      <c r="S44" s="99">
        <f ca="1">IF(P44&lt;$A$4,(VLOOKUP(P44,$A$11:$B$52,2,0)*$S$12),(S43-(Q44+R44)))</f>
        <v>71925.820325684879</v>
      </c>
      <c r="U44" s="80">
        <f>P44</f>
        <v>44896</v>
      </c>
      <c r="V44" s="97">
        <f ca="1">IF(U44&lt;$A$4,0,(YEARFRAC($A$4,U44,1)))</f>
        <v>6.6468517794290189</v>
      </c>
      <c r="W44" s="141">
        <f ca="1">V44*(S43-S44)</f>
        <v>68429.627267752105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45078</v>
      </c>
      <c r="F45" s="74">
        <f ca="1">MAX(IF(ISERROR(VLOOKUP(E45,$A$12:$B$52,2,0)),VLOOKUP(E45,$P$11:$S$52,4,0)/1000000,(VLOOKUP(E45,$A$12:$B$52,2,0))),0)</f>
        <v>6.1912011434518771E-2</v>
      </c>
      <c r="G45" s="128">
        <f ca="1">F45*1000000</f>
        <v>61912.011434518769</v>
      </c>
      <c r="I45" s="80">
        <f>E45</f>
        <v>45078</v>
      </c>
      <c r="J45" s="205">
        <f>$M$12*$N$7</f>
        <v>40239.799999999996</v>
      </c>
      <c r="K45" s="88">
        <f>($F$7/360)*($O$2/100)*M44</f>
        <v>7367.3905135792693</v>
      </c>
      <c r="L45" s="90">
        <f>J45-K45</f>
        <v>32872.409486420729</v>
      </c>
      <c r="M45" s="79">
        <f>M44-L45</f>
        <v>254916.2824502695</v>
      </c>
      <c r="N45" s="126">
        <f>L45/M44</f>
        <v>0.11422411792904021</v>
      </c>
      <c r="O45" s="52"/>
      <c r="P45" s="80">
        <f>I45</f>
        <v>45078</v>
      </c>
      <c r="Q45" s="97">
        <f ca="1">S44*N45</f>
        <v>8215.6633830239862</v>
      </c>
      <c r="R45" s="98">
        <f ca="1">S44*$C$2/2</f>
        <v>1798.145508142122</v>
      </c>
      <c r="S45" s="99">
        <f ca="1">IF(P45&lt;$A$4,(VLOOKUP(P45,$A$11:$B$52,2,0)*$S$12),(S44-(Q45+R45)))</f>
        <v>61912.011434518769</v>
      </c>
      <c r="U45" s="80">
        <f>P45</f>
        <v>45078</v>
      </c>
      <c r="V45" s="97">
        <f ca="1">IF(U45&lt;$A$4,0,(YEARFRAC($A$4,U45,1)))</f>
        <v>7.1457905544147842</v>
      </c>
      <c r="W45" s="141">
        <f ca="1">V45*(S44-S45)</f>
        <v>71556.580988209578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45261</v>
      </c>
      <c r="F46" s="74">
        <f ca="1">MAX(IF(ISERROR(VLOOKUP(E46,$A$12:$B$52,2,0)),VLOOKUP(E46,$P$11:$S$52,4,0)/1000000,(VLOOKUP(E46,$A$12:$B$52,2,0))),0)</f>
        <v>5.2176040448316349E-2</v>
      </c>
      <c r="G46" s="128">
        <f ca="1">F46*1000000</f>
        <v>52176.040448316351</v>
      </c>
      <c r="I46" s="80">
        <f>E46</f>
        <v>45261</v>
      </c>
      <c r="J46" s="205">
        <f>$M$12*$N$7</f>
        <v>40239.799999999996</v>
      </c>
      <c r="K46" s="88">
        <f>($F$7/360)*($O$2/100)*M45</f>
        <v>6525.8568307268988</v>
      </c>
      <c r="L46" s="90">
        <f>J46-K46</f>
        <v>33713.943169273094</v>
      </c>
      <c r="M46" s="79">
        <f>M45-L46</f>
        <v>221202.33928099641</v>
      </c>
      <c r="N46" s="126">
        <f>L46/M45</f>
        <v>0.1322549616886485</v>
      </c>
      <c r="O46" s="52"/>
      <c r="P46" s="80">
        <f>I46</f>
        <v>45261</v>
      </c>
      <c r="Q46" s="97">
        <f ca="1">S45*N46</f>
        <v>8188.1707003394476</v>
      </c>
      <c r="R46" s="98">
        <f ca="1">S45*$C$2/2</f>
        <v>1547.8002858629693</v>
      </c>
      <c r="S46" s="99">
        <f ca="1">IF(P46&lt;$A$4,(VLOOKUP(P46,$A$11:$B$52,2,0)*$S$12),(S45-(Q46+R46)))</f>
        <v>52176.040448316351</v>
      </c>
      <c r="U46" s="80">
        <f>P46</f>
        <v>45261</v>
      </c>
      <c r="V46" s="97">
        <f ca="1">IF(U46&lt;$A$4,0,(YEARFRAC($A$4,U46,1)))</f>
        <v>7.6468172484599588</v>
      </c>
      <c r="W46" s="141">
        <f ca="1">V46*(S45-S46)</f>
        <v>74449.190867798359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45444</v>
      </c>
      <c r="F47" s="74">
        <f ca="1">MAX(IF(ISERROR(VLOOKUP(E47,$A$12:$B$52,2,0)),VLOOKUP(E47,$P$11:$S$52,4,0)/1000000,(VLOOKUP(E47,$A$12:$B$52,2,0))),0)</f>
        <v>4.2715794404295487E-2</v>
      </c>
      <c r="G47" s="128">
        <f ca="1">F47*1000000</f>
        <v>42715.794404295484</v>
      </c>
      <c r="I47" s="80">
        <f>E47</f>
        <v>45444</v>
      </c>
      <c r="J47" s="205">
        <f>$M$12*$N$7</f>
        <v>40239.799999999996</v>
      </c>
      <c r="K47" s="88">
        <f>($F$7/360)*($O$2/100)*M46</f>
        <v>5662.779885593508</v>
      </c>
      <c r="L47" s="90">
        <f>J47-K47</f>
        <v>34577.020114406485</v>
      </c>
      <c r="M47" s="79">
        <f>M46-L47</f>
        <v>186625.31916658994</v>
      </c>
      <c r="N47" s="126">
        <f>L47/M46</f>
        <v>0.15631398938545046</v>
      </c>
      <c r="O47" s="52"/>
      <c r="P47" s="80">
        <f>I47</f>
        <v>45444</v>
      </c>
      <c r="Q47" s="97">
        <f ca="1">S46*N47</f>
        <v>8155.8450328129566</v>
      </c>
      <c r="R47" s="98">
        <f ca="1">S46*$C$2/2</f>
        <v>1304.4010112079088</v>
      </c>
      <c r="S47" s="99">
        <f ca="1">IF(P47&lt;$A$4,(VLOOKUP(P47,$A$11:$B$52,2,0)*$S$12),(S46-(Q47+R47)))</f>
        <v>42715.794404295484</v>
      </c>
      <c r="U47" s="80">
        <f>P47</f>
        <v>45444</v>
      </c>
      <c r="V47" s="97">
        <f ca="1">IF(U47&lt;$A$4,0,(YEARFRAC($A$4,U47,1)))</f>
        <v>8.1459854014598552</v>
      </c>
      <c r="W47" s="141">
        <f ca="1">V47*(S46-S47)</f>
        <v>77063.026168812328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45627</v>
      </c>
      <c r="F48" s="74">
        <f ca="1">MAX(IF(ISERROR(VLOOKUP(E48,$A$12:$B$52,2,0)),VLOOKUP(E48,$P$11:$S$52,4,0)/1000000,(VLOOKUP(E48,$A$12:$B$52,2,0))),0)</f>
        <v>3.353112470317416E-2</v>
      </c>
      <c r="G48" s="128">
        <f ca="1">F48*1000000</f>
        <v>33531.124703174159</v>
      </c>
      <c r="I48" s="80">
        <f>E48</f>
        <v>45627</v>
      </c>
      <c r="J48" s="205">
        <f>$M$12*$N$7</f>
        <v>40239.799999999996</v>
      </c>
      <c r="K48" s="88">
        <f>($F$7/360)*($O$2/100)*M47</f>
        <v>4777.6081706647019</v>
      </c>
      <c r="L48" s="90">
        <f>J48-K48</f>
        <v>35462.191829335294</v>
      </c>
      <c r="M48" s="79">
        <f>M47-L48</f>
        <v>151163.12733725464</v>
      </c>
      <c r="N48" s="126">
        <f>L48/M47</f>
        <v>0.19001811751855699</v>
      </c>
      <c r="O48" s="52"/>
      <c r="P48" s="80">
        <f>I48</f>
        <v>45627</v>
      </c>
      <c r="Q48" s="97">
        <f ca="1">S47*N48</f>
        <v>8116.7748410139384</v>
      </c>
      <c r="R48" s="98">
        <f ca="1">S47*$C$2/2</f>
        <v>1067.8948601073871</v>
      </c>
      <c r="S48" s="99">
        <f ca="1">IF(P48&lt;$A$4,(VLOOKUP(P48,$A$11:$B$52,2,0)*$S$12),(S47-(Q48+R48)))</f>
        <v>33531.124703174159</v>
      </c>
      <c r="U48" s="80">
        <f>P48</f>
        <v>45627</v>
      </c>
      <c r="V48" s="97">
        <f ca="1">IF(U48&lt;$A$4,0,(YEARFRAC($A$4,U48,1)))</f>
        <v>8.6468978102189791</v>
      </c>
      <c r="W48" s="141">
        <f ca="1">V48*(S47-S48)</f>
        <v>79418.900326210598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45809</v>
      </c>
      <c r="F49" s="74">
        <f ca="1">MAX(IF(ISERROR(VLOOKUP(E49,$A$12:$B$52,2,0)),VLOOKUP(E49,$P$11:$S$52,4,0)/1000000,(VLOOKUP(E49,$A$12:$B$52,2,0))),0)</f>
        <v>2.4625219051835862E-2</v>
      </c>
      <c r="G49" s="128">
        <f ca="1">F49*1000000</f>
        <v>24625.219051835862</v>
      </c>
      <c r="I49" s="80">
        <f>E49</f>
        <v>45809</v>
      </c>
      <c r="J49" s="205">
        <f>$M$12*$N$7</f>
        <v>40239.799999999996</v>
      </c>
      <c r="K49" s="88">
        <f>($F$7/360)*($O$2/100)*M48</f>
        <v>3869.7760598337186</v>
      </c>
      <c r="L49" s="90">
        <f>J49-K49</f>
        <v>36370.023940166277</v>
      </c>
      <c r="M49" s="79">
        <f>M48-L49</f>
        <v>114793.10339708836</v>
      </c>
      <c r="N49" s="126">
        <f>L49/M48</f>
        <v>0.24060116101608839</v>
      </c>
      <c r="O49" s="52"/>
      <c r="P49" s="80">
        <f>I49</f>
        <v>45809</v>
      </c>
      <c r="Q49" s="97">
        <f ca="1">S48*N49</f>
        <v>8067.627533758945</v>
      </c>
      <c r="R49" s="98">
        <f ca="1">S48*$C$2/2</f>
        <v>838.27811757935399</v>
      </c>
      <c r="S49" s="99">
        <f ca="1">IF(P49&lt;$A$4,(VLOOKUP(P49,$A$11:$B$52,2,0)*$S$12),(S48-(Q49+R49)))</f>
        <v>24625.219051835862</v>
      </c>
      <c r="U49" s="80">
        <f>P49</f>
        <v>45809</v>
      </c>
      <c r="V49" s="97">
        <f ca="1">IF(U49&lt;$A$4,0,(YEARFRAC($A$4,U49,1)))</f>
        <v>9.1459074733096077</v>
      </c>
      <c r="W49" s="141">
        <f ca="1">V49*(S48-S49)</f>
        <v>81452.589053165197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45992</v>
      </c>
      <c r="F50" s="74">
        <f ca="1">MAX(IF(ISERROR(VLOOKUP(E50,$A$12:$B$52,2,0)),VLOOKUP(E50,$P$11:$S$52,4,0)/1000000,(VLOOKUP(E50,$A$12:$B$52,2,0))),0)</f>
        <v>1.6007821515416618E-2</v>
      </c>
      <c r="G50" s="128">
        <f ca="1">F50*1000000</f>
        <v>16007.821515416617</v>
      </c>
      <c r="I50" s="80">
        <f>E50</f>
        <v>45992</v>
      </c>
      <c r="J50" s="205">
        <f>$M$12*$N$7</f>
        <v>40239.799999999996</v>
      </c>
      <c r="K50" s="88">
        <f>($F$7/360)*($O$2/100)*M49</f>
        <v>2938.7034469654618</v>
      </c>
      <c r="L50" s="90">
        <f>J50-K50</f>
        <v>37301.096553034535</v>
      </c>
      <c r="M50" s="79">
        <f>M49-L50</f>
        <v>77492.006844053831</v>
      </c>
      <c r="N50" s="126">
        <f>L50/M49</f>
        <v>0.32494196471023057</v>
      </c>
      <c r="O50" s="52"/>
      <c r="P50" s="80">
        <f>I50</f>
        <v>45992</v>
      </c>
      <c r="Q50" s="97">
        <f ca="1">S49*N50</f>
        <v>8001.7670601233458</v>
      </c>
      <c r="R50" s="98">
        <f ca="1">S49*$C$2/2</f>
        <v>615.63047629589664</v>
      </c>
      <c r="S50" s="99">
        <f ca="1">IF(P50&lt;$A$4,(VLOOKUP(P50,$A$11:$B$52,2,0)*$S$12),(S49-(Q50+R50)))</f>
        <v>16007.821515416619</v>
      </c>
      <c r="U50" s="80">
        <f>P50</f>
        <v>45992</v>
      </c>
      <c r="V50" s="97">
        <f ca="1">IF(U50&lt;$A$4,0,(YEARFRAC($A$4,U50,1)))</f>
        <v>9.6468655899260884</v>
      </c>
      <c r="W50" s="141">
        <f ca="1">V50*(S49-S50)</f>
        <v>83130.875768796643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46174</v>
      </c>
      <c r="F51" s="74">
        <f ca="1">MAX(IF(ISERROR(VLOOKUP(E51,$A$12:$B$52,2,0)),VLOOKUP(E51,$P$11:$S$52,4,0)/1000000,(VLOOKUP(E51,$A$12:$B$52,2,0))),0)</f>
        <v>7.7049361535468965E-3</v>
      </c>
      <c r="G51" s="128">
        <f ca="1">F51*1000000</f>
        <v>7704.9361535468961</v>
      </c>
      <c r="I51" s="80">
        <f>E51</f>
        <v>46174</v>
      </c>
      <c r="J51" s="205">
        <f>$M$12*$N$7</f>
        <v>40239.799999999996</v>
      </c>
      <c r="K51" s="88">
        <f>($F$7/360)*($O$2/100)*M50</f>
        <v>1983.7953752077779</v>
      </c>
      <c r="L51" s="90">
        <f>J51-K51</f>
        <v>38256.004624792215</v>
      </c>
      <c r="M51" s="79">
        <f>M50-L51</f>
        <v>39236.002219261616</v>
      </c>
      <c r="N51" s="126">
        <f>L51/M50</f>
        <v>0.49367678271359289</v>
      </c>
      <c r="O51" s="52"/>
      <c r="P51" s="80">
        <f>I51</f>
        <v>46174</v>
      </c>
      <c r="Q51" s="97">
        <f ca="1">S50*N51</f>
        <v>7902.6898239843076</v>
      </c>
      <c r="R51" s="98">
        <f ca="1">S50*$C$2/2</f>
        <v>400.19553788541549</v>
      </c>
      <c r="S51" s="99">
        <f ca="1">IF(P51&lt;$A$4,(VLOOKUP(P51,$A$11:$B$52,2,0)*$S$12),(S50-(Q51+R51)))</f>
        <v>7704.9361535468961</v>
      </c>
      <c r="U51" s="80">
        <f>P51</f>
        <v>46174</v>
      </c>
      <c r="V51" s="97">
        <f ca="1">IF(U51&lt;$A$4,0,(YEARFRAC($A$4,U51,1)))</f>
        <v>10.145843703334993</v>
      </c>
      <c r="W51" s="141">
        <f ca="1">V51*(S50-S51)</f>
        <v>84239.777168238215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46357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46357</v>
      </c>
      <c r="J52" s="206">
        <f>$M$12*$N$7</f>
        <v>40239.799999999996</v>
      </c>
      <c r="K52" s="89">
        <f>($F$7/360)*($O$2/100)*M51</f>
        <v>1004.4416568130973</v>
      </c>
      <c r="L52" s="91">
        <f>J52-K52</f>
        <v>39235.358343186897</v>
      </c>
      <c r="M52" s="85">
        <f>M51-L52</f>
        <v>0.64387607471871888</v>
      </c>
      <c r="N52" s="127">
        <f>L52/M51</f>
        <v>0.99998358966157863</v>
      </c>
      <c r="O52" s="86"/>
      <c r="P52" s="84">
        <f>I52</f>
        <v>46357</v>
      </c>
      <c r="Q52" s="100">
        <f ca="1">S51*N52</f>
        <v>7704.8097129371017</v>
      </c>
      <c r="R52" s="98">
        <f ca="1">S51*$C$2/2</f>
        <v>192.6234038386724</v>
      </c>
      <c r="S52" s="102">
        <v>0</v>
      </c>
      <c r="U52" s="142">
        <f>P52</f>
        <v>46357</v>
      </c>
      <c r="V52" s="143">
        <f ca="1">IF(U52&lt;$A$4,0,(YEARFRAC($A$4,U52,1)))</f>
        <v>10.646839223494277</v>
      </c>
      <c r="W52" s="141">
        <f ca="1">V52*(S51-S52)</f>
        <v>82033.216454102221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75" priority="1" stopIfTrue="1">
      <formula>$D1="Actual"</formula>
    </cfRule>
  </conditionalFormatting>
  <conditionalFormatting sqref="A4">
    <cfRule type="expression" dxfId="74" priority="2" stopIfTrue="1">
      <formula>#REF!="Actual"</formula>
    </cfRule>
  </conditionalFormatting>
  <conditionalFormatting sqref="C6:C9">
    <cfRule type="cellIs" dxfId="73" priority="3" stopIfTrue="1" operator="equal">
      <formula>"PROB!!"</formula>
    </cfRule>
  </conditionalFormatting>
  <conditionalFormatting sqref="A7">
    <cfRule type="expression" dxfId="72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indexed="14"/>
  </sheetPr>
  <dimension ref="A1:W200"/>
  <sheetViews>
    <sheetView workbookViewId="0">
      <selection activeCell="E30" sqref="E30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202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12</v>
      </c>
      <c r="B2" s="67" t="str">
        <f>MID(A2,3,9)</f>
        <v>83162CQX4</v>
      </c>
      <c r="C2" s="131">
        <v>0.05</v>
      </c>
      <c r="D2" s="132">
        <f>IF(ISERROR(VLOOKUP(A2,'Bond Position per Summit'!$C$42:$E$56,3,0)),0,VLOOKUP(A2,'Bond Position per Summit'!$C$42:$E$56,3,0))</f>
        <v>19545425.869999997</v>
      </c>
      <c r="E2" s="67">
        <f>IF(ISERROR(VLOOKUP(A2,'Bond Position per Summit'!$C$65:$E$73,3,0)),0,VLOOKUP(A2,'Bond Position per Summit'!$C$65:$E$73,3,0))</f>
        <v>0</v>
      </c>
      <c r="F2" s="67" t="str">
        <f>_xll.BDP($B2&amp;" Mtge Cusip",F$1)</f>
        <v>SBAP 2007-20C 1</v>
      </c>
      <c r="G2" s="67">
        <f>VLOOKUP(A2,'Bond Position per Summit'!$C$10:$D$32,2,0)</f>
        <v>26684000</v>
      </c>
      <c r="H2" s="67">
        <f>VLOOKUP(A2,'Bond Position per Summit'!$C$10:$E$32,3,0)</f>
        <v>19545425.869999997</v>
      </c>
      <c r="I2" s="67" t="str">
        <f>_xll.BDP($B2&amp;" Mtge Cusip",I$1)</f>
        <v>14/03/2007</v>
      </c>
      <c r="J2" s="67" t="str">
        <f>_xll.BDP($B2&amp;" Mtge Cusip",J$1)</f>
        <v>14/03/2007</v>
      </c>
      <c r="K2" s="67" t="str">
        <f>_xll.BDP($B2&amp;" Mtge Cusip",K$1)</f>
        <v>01/09/2007</v>
      </c>
      <c r="L2" s="67" t="str">
        <f>_xll.BDP($B2&amp;" Mtge Cusip",L$1)</f>
        <v>01/03/2027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5.23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26684000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0.28061972191000006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167</v>
      </c>
      <c r="I6" s="108" t="s">
        <v>81</v>
      </c>
      <c r="J6" s="118">
        <v>38723</v>
      </c>
      <c r="K6" s="113">
        <f>ROUND(J6/J5,8)</f>
        <v>3.8723E-2</v>
      </c>
      <c r="L6" s="108" t="s">
        <v>81</v>
      </c>
      <c r="M6" s="112">
        <v>1033284</v>
      </c>
      <c r="N6" s="123">
        <f>ROUND(M6/M5,8)</f>
        <v>3.8722979999999997E-2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40612</v>
      </c>
      <c r="K7" s="115">
        <f>ROUND(J7/J5,8)</f>
        <v>4.0612000000000002E-2</v>
      </c>
      <c r="L7" s="109" t="s">
        <v>82</v>
      </c>
      <c r="M7" s="114">
        <v>1083680</v>
      </c>
      <c r="N7" s="124">
        <f>ROUND(M7/M5,8)</f>
        <v>4.0611599999999998E-2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5.0960463765626614</v>
      </c>
    </row>
    <row r="12" spans="1:23">
      <c r="A12" s="49">
        <f>_xll.BDS($B2&amp;" Mtge Cusip",A11,"cols=2;rows=19")</f>
        <v>42430</v>
      </c>
      <c r="B12" s="50">
        <v>0.28061972200000002</v>
      </c>
      <c r="C12" s="52"/>
      <c r="D12" s="70" t="str">
        <f ca="1">IF(E12&lt;$A$4,"Actual","Model Num")</f>
        <v>Actual</v>
      </c>
      <c r="E12" s="71">
        <v>39155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39155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39155</v>
      </c>
      <c r="Q12" s="94"/>
      <c r="R12" s="95"/>
      <c r="S12" s="96">
        <f>M12</f>
        <v>1000000</v>
      </c>
      <c r="U12" s="139">
        <f>P12</f>
        <v>39155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42248</v>
      </c>
      <c r="B13" s="50">
        <v>0.31740349400000001</v>
      </c>
      <c r="C13" s="52"/>
      <c r="D13" s="70" t="str">
        <f ca="1">IF(E13&lt;$A$4,"Actual","Model Num")</f>
        <v>Actual</v>
      </c>
      <c r="E13" s="71">
        <v>39326</v>
      </c>
      <c r="F13" s="74">
        <f>MAX(IF(ISERROR(VLOOKUP(E13,$A$12:$B$52,2,0)),VLOOKUP(E13,$P$11:$S$52,4,0)/1000000,(VLOOKUP(E13,$A$12:$B$52,2,0))),0)</f>
        <v>0.97706043399999998</v>
      </c>
      <c r="G13" s="128">
        <f>F13*1000000</f>
        <v>977060.43400000001</v>
      </c>
      <c r="H13" s="64"/>
      <c r="I13" s="80">
        <f>E13</f>
        <v>39326</v>
      </c>
      <c r="J13" s="205">
        <f>$M$12*$N$6</f>
        <v>38722.979999999996</v>
      </c>
      <c r="K13" s="88">
        <f>($F$6/360)*($O$2/100)*M12</f>
        <v>24261.388888888891</v>
      </c>
      <c r="L13" s="90">
        <f>J13-K13</f>
        <v>14461.591111111105</v>
      </c>
      <c r="M13" s="79">
        <f>M12-L13</f>
        <v>985538.40888888889</v>
      </c>
      <c r="N13" s="126">
        <f>L13/M12</f>
        <v>1.4461591111111106E-2</v>
      </c>
      <c r="O13" s="52"/>
      <c r="P13" s="80">
        <f>I13</f>
        <v>39326</v>
      </c>
      <c r="Q13" s="97">
        <f>S12*N13</f>
        <v>14461.591111111105</v>
      </c>
      <c r="R13" s="98">
        <f>S12*$C$2/2</f>
        <v>25000</v>
      </c>
      <c r="S13" s="99">
        <f ca="1">IF(P13&lt;$A$4,(VLOOKUP(P13,$A$11:$B$52,2,0)*$S$12),(S12-(Q13+R13)))</f>
        <v>977060.43400000001</v>
      </c>
      <c r="U13" s="80">
        <f>P13</f>
        <v>39326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42064</v>
      </c>
      <c r="B14" s="50">
        <v>0.36121226200000001</v>
      </c>
      <c r="C14" s="52"/>
      <c r="D14" s="70" t="str">
        <f ca="1">IF(E14&lt;$A$4,"Actual","Model Num")</f>
        <v>Actual</v>
      </c>
      <c r="E14" s="71">
        <f>DATE(YEAR(E13),MONTH(E13)+6,DAY(E13))</f>
        <v>39508</v>
      </c>
      <c r="F14" s="74">
        <f>MAX(IF(ISERROR(VLOOKUP(E14,$A$12:$B$52,2,0)),VLOOKUP(E14,$P$11:$S$52,4,0)/1000000,(VLOOKUP(E14,$A$12:$B$52,2,0))),0)</f>
        <v>0.95312164300000002</v>
      </c>
      <c r="G14" s="128">
        <f>F14*1000000</f>
        <v>953121.64300000004</v>
      </c>
      <c r="H14" s="64"/>
      <c r="I14" s="80">
        <f>E14</f>
        <v>39508</v>
      </c>
      <c r="J14" s="205">
        <f>$M$12*$N$7</f>
        <v>40611.599999999999</v>
      </c>
      <c r="K14" s="88">
        <f>($F$7/360)*($O$2/100)*M13</f>
        <v>25771.829392444448</v>
      </c>
      <c r="L14" s="90">
        <f>J14-K14</f>
        <v>14839.770607555551</v>
      </c>
      <c r="M14" s="79">
        <f>M13-L14</f>
        <v>970698.63828133338</v>
      </c>
      <c r="N14" s="126">
        <f>L14/M13</f>
        <v>1.5057526397460384E-2</v>
      </c>
      <c r="O14" s="52"/>
      <c r="P14" s="80">
        <f>I14</f>
        <v>39508</v>
      </c>
      <c r="Q14" s="97">
        <f ca="1">S13*N14</f>
        <v>14712.113276869099</v>
      </c>
      <c r="R14" s="98">
        <f ca="1">S13*$C$2/2</f>
        <v>24426.510850000002</v>
      </c>
      <c r="S14" s="99">
        <f ca="1">IF(P14&lt;$A$4,(VLOOKUP(P14,$A$11:$B$52,2,0)*$S$12),(S13-(Q14+R14)))</f>
        <v>953121.64300000004</v>
      </c>
      <c r="U14" s="80">
        <f>P14</f>
        <v>39508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41883</v>
      </c>
      <c r="B15" s="50">
        <v>0.40010774999999998</v>
      </c>
      <c r="C15" s="52"/>
      <c r="D15" s="70" t="str">
        <f ca="1">IF(E15&lt;$A$4,"Actual","Model Num")</f>
        <v>Actual</v>
      </c>
      <c r="E15" s="71">
        <f>DATE(YEAR(E14),MONTH(E14)+6,DAY(E14))</f>
        <v>39692</v>
      </c>
      <c r="F15" s="74">
        <f>MAX(IF(ISERROR(VLOOKUP(E15,$A$12:$B$52,2,0)),VLOOKUP(E15,$P$11:$S$52,4,0)/1000000,(VLOOKUP(E15,$A$12:$B$52,2,0))),0)</f>
        <v>0.91732145799999998</v>
      </c>
      <c r="G15" s="128">
        <f>F15*1000000</f>
        <v>917321.45799999998</v>
      </c>
      <c r="H15" s="64"/>
      <c r="I15" s="80">
        <f>E15</f>
        <v>39692</v>
      </c>
      <c r="J15" s="205">
        <f>$M$12*$N$7</f>
        <v>40611.599999999999</v>
      </c>
      <c r="K15" s="88">
        <f>($F$7/360)*($O$2/100)*M14</f>
        <v>25383.769391056871</v>
      </c>
      <c r="L15" s="90">
        <f>J15-K15</f>
        <v>15227.830608943128</v>
      </c>
      <c r="M15" s="79">
        <f>M14-L15</f>
        <v>955470.80767239025</v>
      </c>
      <c r="N15" s="126">
        <f>L15/M14</f>
        <v>1.568749559173659E-2</v>
      </c>
      <c r="O15" s="52"/>
      <c r="P15" s="80">
        <f>I15</f>
        <v>39692</v>
      </c>
      <c r="Q15" s="97">
        <f ca="1">S14*N15</f>
        <v>14952.091572951236</v>
      </c>
      <c r="R15" s="98">
        <f ca="1">S14*$C$2/2</f>
        <v>23828.041075000001</v>
      </c>
      <c r="S15" s="99">
        <f ca="1">IF(P15&lt;$A$4,(VLOOKUP(P15,$A$11:$B$52,2,0)*$S$12),(S14-(Q15+R15)))</f>
        <v>917321.45799999998</v>
      </c>
      <c r="U15" s="80">
        <f>P15</f>
        <v>39692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41699</v>
      </c>
      <c r="B16" s="50">
        <v>0.42467081400000001</v>
      </c>
      <c r="C16" s="52"/>
      <c r="D16" s="70" t="str">
        <f ca="1">IF(E16&lt;$A$4,"Actual","Model Num")</f>
        <v>Actual</v>
      </c>
      <c r="E16" s="71">
        <f>DATE(YEAR(E15),MONTH(E15)+6,DAY(E15))</f>
        <v>39873</v>
      </c>
      <c r="F16" s="74">
        <f>MAX(IF(ISERROR(VLOOKUP(E16,$A$12:$B$52,2,0)),VLOOKUP(E16,$P$11:$S$52,4,0)/1000000,(VLOOKUP(E16,$A$12:$B$52,2,0))),0)</f>
        <v>0.87539998299999999</v>
      </c>
      <c r="G16" s="128">
        <f>F16*1000000</f>
        <v>875399.98300000001</v>
      </c>
      <c r="H16" s="64"/>
      <c r="I16" s="80">
        <f>E16</f>
        <v>39873</v>
      </c>
      <c r="J16" s="205">
        <f>$M$12*$N$7</f>
        <v>40611.599999999999</v>
      </c>
      <c r="K16" s="88">
        <f>($F$7/360)*($O$2/100)*M15</f>
        <v>24985.561620633009</v>
      </c>
      <c r="L16" s="90">
        <f>J16-K16</f>
        <v>15626.03837936699</v>
      </c>
      <c r="M16" s="79">
        <f>M15-L16</f>
        <v>939844.76929302327</v>
      </c>
      <c r="N16" s="126">
        <f>L16/M15</f>
        <v>1.6354281317535357E-2</v>
      </c>
      <c r="O16" s="52"/>
      <c r="P16" s="80">
        <f>I16</f>
        <v>39873</v>
      </c>
      <c r="Q16" s="97">
        <f ca="1">S15*N16</f>
        <v>15002.133182743695</v>
      </c>
      <c r="R16" s="98">
        <f ca="1">S15*$C$2/2</f>
        <v>22933.03645</v>
      </c>
      <c r="S16" s="99">
        <f ca="1">IF(P16&lt;$A$4,(VLOOKUP(P16,$A$11:$B$52,2,0)*$S$12),(S15-(Q16+R16)))</f>
        <v>875399.98300000001</v>
      </c>
      <c r="U16" s="80">
        <f>P16</f>
        <v>39873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41518</v>
      </c>
      <c r="B17" s="50">
        <v>0.47023568799999999</v>
      </c>
      <c r="C17" s="52"/>
      <c r="D17" s="70" t="str">
        <f ca="1">IF(E17&lt;$A$4,"Actual","Model Num")</f>
        <v>Actual</v>
      </c>
      <c r="E17" s="71">
        <f>DATE(YEAR(E16),MONTH(E16)+6,DAY(E16))</f>
        <v>40057</v>
      </c>
      <c r="F17" s="74">
        <f>MAX(IF(ISERROR(VLOOKUP(E17,$A$12:$B$52,2,0)),VLOOKUP(E17,$P$11:$S$52,4,0)/1000000,(VLOOKUP(E17,$A$12:$B$52,2,0))),0)</f>
        <v>0.81908191900000005</v>
      </c>
      <c r="G17" s="128">
        <f>F17*1000000</f>
        <v>819081.91899999999</v>
      </c>
      <c r="H17" s="64"/>
      <c r="I17" s="80">
        <f>E17</f>
        <v>40057</v>
      </c>
      <c r="J17" s="205">
        <f>$M$12*$N$7</f>
        <v>40611.599999999999</v>
      </c>
      <c r="K17" s="88">
        <f>($F$7/360)*($O$2/100)*M16</f>
        <v>24576.940717012563</v>
      </c>
      <c r="L17" s="90">
        <f>J17-K17</f>
        <v>16034.659282987435</v>
      </c>
      <c r="M17" s="79">
        <f>M16-L17</f>
        <v>923810.1100100358</v>
      </c>
      <c r="N17" s="126">
        <f>L17/M16</f>
        <v>1.7060965605042566E-2</v>
      </c>
      <c r="O17" s="52"/>
      <c r="P17" s="80">
        <f>I17</f>
        <v>40057</v>
      </c>
      <c r="Q17" s="97">
        <f ca="1">S16*N17</f>
        <v>14935.169000617847</v>
      </c>
      <c r="R17" s="98">
        <f ca="1">S16*$C$2/2</f>
        <v>21884.999575000002</v>
      </c>
      <c r="S17" s="99">
        <f ca="1">IF(P17&lt;$A$4,(VLOOKUP(P17,$A$11:$B$52,2,0)*$S$12),(S16-(Q17+R17)))</f>
        <v>819081.91899999999</v>
      </c>
      <c r="U17" s="80">
        <f>P17</f>
        <v>40057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41334</v>
      </c>
      <c r="B18" s="50">
        <v>0.51950877900000003</v>
      </c>
      <c r="C18" s="52"/>
      <c r="D18" s="70" t="str">
        <f ca="1">IF(E18&lt;$A$4,"Actual","Model Num")</f>
        <v>Actual</v>
      </c>
      <c r="E18" s="71">
        <f>DATE(YEAR(E17),MONTH(E17)+6,DAY(E17))</f>
        <v>40238</v>
      </c>
      <c r="F18" s="74">
        <f>MAX(IF(ISERROR(VLOOKUP(E18,$A$12:$B$52,2,0)),VLOOKUP(E18,$P$11:$S$52,4,0)/1000000,(VLOOKUP(E18,$A$12:$B$52,2,0))),0)</f>
        <v>0.77205518699999998</v>
      </c>
      <c r="G18" s="128">
        <f>F18*1000000</f>
        <v>772055.18699999992</v>
      </c>
      <c r="H18" s="64"/>
      <c r="I18" s="80">
        <f>E18</f>
        <v>40238</v>
      </c>
      <c r="J18" s="205">
        <f>$M$12*$N$7</f>
        <v>40611.599999999999</v>
      </c>
      <c r="K18" s="88">
        <f>($F$7/360)*($O$2/100)*M17</f>
        <v>24157.634376762438</v>
      </c>
      <c r="L18" s="90">
        <f>J18-K18</f>
        <v>16453.96562323756</v>
      </c>
      <c r="M18" s="79">
        <f>M17-L18</f>
        <v>907356.14438679826</v>
      </c>
      <c r="N18" s="126">
        <f>L18/M17</f>
        <v>1.7810982413971214E-2</v>
      </c>
      <c r="O18" s="52"/>
      <c r="P18" s="80">
        <f>I18</f>
        <v>40238</v>
      </c>
      <c r="Q18" s="97">
        <f ca="1">S17*N18</f>
        <v>14588.653654910795</v>
      </c>
      <c r="R18" s="98">
        <f ca="1">S17*$C$2/2</f>
        <v>20477.047975000001</v>
      </c>
      <c r="S18" s="99">
        <f ca="1">IF(P18&lt;$A$4,(VLOOKUP(P18,$A$11:$B$52,2,0)*$S$12),(S17-(Q18+R18)))</f>
        <v>772055.18699999992</v>
      </c>
      <c r="U18" s="80">
        <f>P18</f>
        <v>40238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41153</v>
      </c>
      <c r="B19" s="50">
        <v>0.570550318</v>
      </c>
      <c r="C19" s="52"/>
      <c r="D19" s="70" t="str">
        <f ca="1">IF(E19&lt;$A$4,"Actual","Model Num")</f>
        <v>Actual</v>
      </c>
      <c r="E19" s="71">
        <f>DATE(YEAR(E18),MONTH(E18)+6,DAY(E18))</f>
        <v>40422</v>
      </c>
      <c r="F19" s="74">
        <f>MAX(IF(ISERROR(VLOOKUP(E19,$A$12:$B$52,2,0)),VLOOKUP(E19,$P$11:$S$52,4,0)/1000000,(VLOOKUP(E19,$A$12:$B$52,2,0))),0)</f>
        <v>0.73247735599999997</v>
      </c>
      <c r="G19" s="128">
        <f>F19*1000000</f>
        <v>732477.35599999991</v>
      </c>
      <c r="H19" s="64"/>
      <c r="I19" s="80">
        <f>E19</f>
        <v>40422</v>
      </c>
      <c r="J19" s="205">
        <f>$M$12*$N$7</f>
        <v>40611.599999999999</v>
      </c>
      <c r="K19" s="88">
        <f>($F$7/360)*($O$2/100)*M18</f>
        <v>23727.363175714778</v>
      </c>
      <c r="L19" s="90">
        <f>J19-K19</f>
        <v>16884.236824285221</v>
      </c>
      <c r="M19" s="79">
        <f>M18-L19</f>
        <v>890471.90756251302</v>
      </c>
      <c r="N19" s="126">
        <f>L19/M18</f>
        <v>1.86081693817104E-2</v>
      </c>
      <c r="O19" s="52"/>
      <c r="P19" s="80">
        <f>I19</f>
        <v>40422</v>
      </c>
      <c r="Q19" s="97">
        <f ca="1">S18*N19</f>
        <v>14366.533691724097</v>
      </c>
      <c r="R19" s="98">
        <f ca="1">S18*$C$2/2</f>
        <v>19301.379675</v>
      </c>
      <c r="S19" s="99">
        <f ca="1">IF(P19&lt;$A$4,(VLOOKUP(P19,$A$11:$B$52,2,0)*$S$12),(S18-(Q19+R19)))</f>
        <v>732477.35599999991</v>
      </c>
      <c r="U19" s="80">
        <f>P19</f>
        <v>40422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40969</v>
      </c>
      <c r="B20" s="50">
        <v>0.60844957700000002</v>
      </c>
      <c r="C20" s="52"/>
      <c r="D20" s="70" t="str">
        <f ca="1">IF(E20&lt;$A$4,"Actual","Model Num")</f>
        <v>Actual</v>
      </c>
      <c r="E20" s="71">
        <f>DATE(YEAR(E19),MONTH(E19)+6,DAY(E19))</f>
        <v>40603</v>
      </c>
      <c r="F20" s="74">
        <f>MAX(IF(ISERROR(VLOOKUP(E20,$A$12:$B$52,2,0)),VLOOKUP(E20,$P$11:$S$52,4,0)/1000000,(VLOOKUP(E20,$A$12:$B$52,2,0))),0)</f>
        <v>0.67756769500000003</v>
      </c>
      <c r="G20" s="128">
        <f>F20*1000000</f>
        <v>677567.69500000007</v>
      </c>
      <c r="H20" s="64"/>
      <c r="I20" s="80">
        <f>E20</f>
        <v>40603</v>
      </c>
      <c r="J20" s="205">
        <f>$M$12*$N$7</f>
        <v>40611.599999999999</v>
      </c>
      <c r="K20" s="88">
        <f>($F$7/360)*($O$2/100)*M19</f>
        <v>23285.840382759718</v>
      </c>
      <c r="L20" s="90">
        <f>J20-K20</f>
        <v>17325.759617240281</v>
      </c>
      <c r="M20" s="79">
        <f>M19-L20</f>
        <v>873146.14794527274</v>
      </c>
      <c r="N20" s="126">
        <f>L20/M19</f>
        <v>1.9456828980339253E-2</v>
      </c>
      <c r="O20" s="52"/>
      <c r="P20" s="80">
        <f>I20</f>
        <v>40603</v>
      </c>
      <c r="Q20" s="97">
        <f ca="1">S19*N20</f>
        <v>14251.686647663071</v>
      </c>
      <c r="R20" s="98">
        <f ca="1">S19*$C$2/2</f>
        <v>18311.9339</v>
      </c>
      <c r="S20" s="99">
        <f ca="1">IF(P20&lt;$A$4,(VLOOKUP(P20,$A$11:$B$52,2,0)*$S$12),(S19-(Q20+R20)))</f>
        <v>677567.69500000007</v>
      </c>
      <c r="U20" s="80">
        <f>P20</f>
        <v>40603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40787</v>
      </c>
      <c r="B21" s="50">
        <v>0.64278789800000002</v>
      </c>
      <c r="C21" s="52"/>
      <c r="D21" s="70" t="str">
        <f ca="1">IF(E21&lt;$A$4,"Actual","Model Num")</f>
        <v>Actual</v>
      </c>
      <c r="E21" s="71">
        <f>DATE(YEAR(E20),MONTH(E20)+6,DAY(E20))</f>
        <v>40787</v>
      </c>
      <c r="F21" s="74">
        <f>MAX(IF(ISERROR(VLOOKUP(E21,$A$12:$B$52,2,0)),VLOOKUP(E21,$P$11:$S$52,4,0)/1000000,(VLOOKUP(E21,$A$12:$B$52,2,0))),0)</f>
        <v>0.64278789800000002</v>
      </c>
      <c r="G21" s="128">
        <f>F21*1000000</f>
        <v>642787.89800000004</v>
      </c>
      <c r="H21" s="64"/>
      <c r="I21" s="80">
        <f>E21</f>
        <v>40787</v>
      </c>
      <c r="J21" s="205">
        <f>$M$12*$N$7</f>
        <v>40611.599999999999</v>
      </c>
      <c r="K21" s="88">
        <f>($F$7/360)*($O$2/100)*M20</f>
        <v>22832.771768768886</v>
      </c>
      <c r="L21" s="90">
        <f>J21-K21</f>
        <v>17778.828231231113</v>
      </c>
      <c r="M21" s="79">
        <f>M20-L21</f>
        <v>855367.31971404166</v>
      </c>
      <c r="N21" s="126">
        <f>L21/M20</f>
        <v>2.0361801140701428E-2</v>
      </c>
      <c r="O21" s="52"/>
      <c r="P21" s="80">
        <f>I21</f>
        <v>40787</v>
      </c>
      <c r="Q21" s="97">
        <f ca="1">S20*N21</f>
        <v>13796.498664953438</v>
      </c>
      <c r="R21" s="98">
        <f ca="1">S20*$C$2/2</f>
        <v>16939.192375000002</v>
      </c>
      <c r="S21" s="99">
        <f ca="1">IF(P21&lt;$A$4,(VLOOKUP(P21,$A$11:$B$52,2,0)*$S$12),(S20-(Q21+R21)))</f>
        <v>642787.89800000004</v>
      </c>
      <c r="U21" s="80">
        <f>P21</f>
        <v>40787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40603</v>
      </c>
      <c r="B22" s="50">
        <v>0.67756769500000003</v>
      </c>
      <c r="C22" s="52"/>
      <c r="D22" s="70" t="str">
        <f ca="1">IF(E22&lt;$A$4,"Actual","Model Num")</f>
        <v>Actual</v>
      </c>
      <c r="E22" s="71">
        <f>DATE(YEAR(E21),MONTH(E21)+6,DAY(E21))</f>
        <v>40969</v>
      </c>
      <c r="F22" s="74">
        <f>MAX(IF(ISERROR(VLOOKUP(E22,$A$12:$B$52,2,0)),VLOOKUP(E22,$P$11:$S$52,4,0)/1000000,(VLOOKUP(E22,$A$12:$B$52,2,0))),0)</f>
        <v>0.60844957700000002</v>
      </c>
      <c r="G22" s="128">
        <f>F22*1000000</f>
        <v>608449.57700000005</v>
      </c>
      <c r="H22" s="64"/>
      <c r="I22" s="80">
        <f>E22</f>
        <v>40969</v>
      </c>
      <c r="J22" s="205">
        <f>$M$12*$N$7</f>
        <v>40611.599999999999</v>
      </c>
      <c r="K22" s="88">
        <f>($F$7/360)*($O$2/100)*M21</f>
        <v>22367.855410522192</v>
      </c>
      <c r="L22" s="90">
        <f>J22-K22</f>
        <v>18243.744589477807</v>
      </c>
      <c r="M22" s="79">
        <f>M21-L22</f>
        <v>837123.57512456388</v>
      </c>
      <c r="N22" s="126">
        <f>L22/M21</f>
        <v>2.1328549932883668E-2</v>
      </c>
      <c r="O22" s="52"/>
      <c r="P22" s="80">
        <f>I22</f>
        <v>40969</v>
      </c>
      <c r="Q22" s="97">
        <f ca="1">S21*N22</f>
        <v>13709.733778746335</v>
      </c>
      <c r="R22" s="98">
        <f ca="1">S21*$C$2/2</f>
        <v>16069.697450000001</v>
      </c>
      <c r="S22" s="99">
        <f ca="1">IF(P22&lt;$A$4,(VLOOKUP(P22,$A$11:$B$52,2,0)*$S$12),(S21-(Q22+R22)))</f>
        <v>608449.57700000005</v>
      </c>
      <c r="U22" s="80">
        <f>P22</f>
        <v>40969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40422</v>
      </c>
      <c r="B23" s="50">
        <v>0.73247735599999997</v>
      </c>
      <c r="C23" s="52"/>
      <c r="D23" s="70" t="str">
        <f ca="1">IF(E23&lt;$A$4,"Actual","Model Num")</f>
        <v>Actual</v>
      </c>
      <c r="E23" s="71">
        <f>DATE(YEAR(E22),MONTH(E22)+6,DAY(E22))</f>
        <v>41153</v>
      </c>
      <c r="F23" s="74">
        <f>MAX(IF(ISERROR(VLOOKUP(E23,$A$12:$B$52,2,0)),VLOOKUP(E23,$P$11:$S$52,4,0)/1000000,(VLOOKUP(E23,$A$12:$B$52,2,0))),0)</f>
        <v>0.570550318</v>
      </c>
      <c r="G23" s="128">
        <f>F23*1000000</f>
        <v>570550.31799999997</v>
      </c>
      <c r="H23" s="64"/>
      <c r="I23" s="80">
        <f>E23</f>
        <v>41153</v>
      </c>
      <c r="J23" s="205">
        <f>$M$12*$N$7</f>
        <v>40611.599999999999</v>
      </c>
      <c r="K23" s="88">
        <f>($F$7/360)*($O$2/100)*M22</f>
        <v>21890.78148950735</v>
      </c>
      <c r="L23" s="90">
        <f>J23-K23</f>
        <v>18720.818510492649</v>
      </c>
      <c r="M23" s="79">
        <f>M22-L23</f>
        <v>818402.7566140712</v>
      </c>
      <c r="N23" s="126">
        <f>L23/M22</f>
        <v>2.236326758293361E-2</v>
      </c>
      <c r="O23" s="52"/>
      <c r="P23" s="80">
        <f>I23</f>
        <v>41153</v>
      </c>
      <c r="Q23" s="97">
        <f ca="1">S22*N23</f>
        <v>13606.920701173769</v>
      </c>
      <c r="R23" s="98">
        <f ca="1">S22*$C$2/2</f>
        <v>15211.239425000002</v>
      </c>
      <c r="S23" s="99">
        <f ca="1">IF(P23&lt;$A$4,(VLOOKUP(P23,$A$11:$B$52,2,0)*$S$12),(S22-(Q23+R23)))</f>
        <v>570550.31799999997</v>
      </c>
      <c r="U23" s="80">
        <f>P23</f>
        <v>41153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40238</v>
      </c>
      <c r="B24" s="50">
        <v>0.77205518699999998</v>
      </c>
      <c r="C24" s="52"/>
      <c r="D24" s="70" t="str">
        <f ca="1">IF(E24&lt;$A$4,"Actual","Model Num")</f>
        <v>Actual</v>
      </c>
      <c r="E24" s="71">
        <f>DATE(YEAR(E23),MONTH(E23)+6,DAY(E23))</f>
        <v>41334</v>
      </c>
      <c r="F24" s="74">
        <f>MAX(IF(ISERROR(VLOOKUP(E24,$A$12:$B$52,2,0)),VLOOKUP(E24,$P$11:$S$52,4,0)/1000000,(VLOOKUP(E24,$A$12:$B$52,2,0))),0)</f>
        <v>0.51950877900000003</v>
      </c>
      <c r="G24" s="128">
        <f>F24*1000000</f>
        <v>519508.77900000004</v>
      </c>
      <c r="H24" s="64"/>
      <c r="I24" s="80">
        <f>E24</f>
        <v>41334</v>
      </c>
      <c r="J24" s="205">
        <f>$M$12*$N$7</f>
        <v>40611.599999999999</v>
      </c>
      <c r="K24" s="88">
        <f>($F$7/360)*($O$2/100)*M23</f>
        <v>21401.232085457963</v>
      </c>
      <c r="L24" s="90">
        <f>J24-K24</f>
        <v>19210.367914542036</v>
      </c>
      <c r="M24" s="79">
        <f>M23-L24</f>
        <v>799192.38869952911</v>
      </c>
      <c r="N24" s="126">
        <f>L24/M23</f>
        <v>2.347300001043489E-2</v>
      </c>
      <c r="O24" s="52"/>
      <c r="P24" s="80">
        <f>I24</f>
        <v>41334</v>
      </c>
      <c r="Q24" s="97">
        <f ca="1">S23*N24</f>
        <v>13392.527620367629</v>
      </c>
      <c r="R24" s="98">
        <f ca="1">S23*$C$2/2</f>
        <v>14263.757949999999</v>
      </c>
      <c r="S24" s="99">
        <f ca="1">IF(P24&lt;$A$4,(VLOOKUP(P24,$A$11:$B$52,2,0)*$S$12),(S23-(Q24+R24)))</f>
        <v>519508.77900000004</v>
      </c>
      <c r="U24" s="80">
        <f>P24</f>
        <v>41334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40057</v>
      </c>
      <c r="B25" s="50">
        <v>0.81908191900000005</v>
      </c>
      <c r="C25" s="52"/>
      <c r="D25" s="70" t="str">
        <f ca="1">IF(E25&lt;$A$4,"Actual","Model Num")</f>
        <v>Actual</v>
      </c>
      <c r="E25" s="71">
        <f>DATE(YEAR(E24),MONTH(E24)+6,DAY(E24))</f>
        <v>41518</v>
      </c>
      <c r="F25" s="74">
        <f>MAX(IF(ISERROR(VLOOKUP(E25,$A$12:$B$52,2,0)),VLOOKUP(E25,$P$11:$S$52,4,0)/1000000,(VLOOKUP(E25,$A$12:$B$52,2,0))),0)</f>
        <v>0.47023568799999999</v>
      </c>
      <c r="G25" s="128">
        <f>F25*1000000</f>
        <v>470235.68799999997</v>
      </c>
      <c r="H25" s="64"/>
      <c r="I25" s="80">
        <f>E25</f>
        <v>41518</v>
      </c>
      <c r="J25" s="205">
        <f>$M$12*$N$7</f>
        <v>40611.599999999999</v>
      </c>
      <c r="K25" s="88">
        <f>($F$7/360)*($O$2/100)*M24</f>
        <v>20898.880964492688</v>
      </c>
      <c r="L25" s="90">
        <f>J25-K25</f>
        <v>19712.719035507311</v>
      </c>
      <c r="M25" s="79">
        <f>M24-L25</f>
        <v>779479.66966402181</v>
      </c>
      <c r="N25" s="126">
        <f>L25/M24</f>
        <v>2.4665799267163273E-2</v>
      </c>
      <c r="O25" s="52"/>
      <c r="P25" s="80">
        <f>I25</f>
        <v>41518</v>
      </c>
      <c r="Q25" s="97">
        <f ca="1">S24*N25</f>
        <v>12814.099260343088</v>
      </c>
      <c r="R25" s="98">
        <f ca="1">S24*$C$2/2</f>
        <v>12987.719475000002</v>
      </c>
      <c r="S25" s="99">
        <f ca="1">IF(P25&lt;$A$4,(VLOOKUP(P25,$A$11:$B$52,2,0)*$S$12),(S24-(Q25+R25)))</f>
        <v>470235.68799999997</v>
      </c>
      <c r="U25" s="80">
        <f>P25</f>
        <v>41518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39873</v>
      </c>
      <c r="B26" s="50">
        <v>0.87539998299999999</v>
      </c>
      <c r="C26" s="52"/>
      <c r="D26" s="70" t="str">
        <f ca="1">IF(E26&lt;$A$4,"Actual","Model Num")</f>
        <v>Actual</v>
      </c>
      <c r="E26" s="71">
        <f>DATE(YEAR(E25),MONTH(E25)+6,DAY(E25))</f>
        <v>41699</v>
      </c>
      <c r="F26" s="74">
        <f>MAX(IF(ISERROR(VLOOKUP(E26,$A$12:$B$52,2,0)),VLOOKUP(E26,$P$11:$S$52,4,0)/1000000,(VLOOKUP(E26,$A$12:$B$52,2,0))),0)</f>
        <v>0.42467081400000001</v>
      </c>
      <c r="G26" s="128">
        <f>F26*1000000</f>
        <v>424670.81400000001</v>
      </c>
      <c r="H26" s="64"/>
      <c r="I26" s="80">
        <f>E26</f>
        <v>41699</v>
      </c>
      <c r="J26" s="205">
        <f>$M$12*$N$7</f>
        <v>40611.599999999999</v>
      </c>
      <c r="K26" s="88">
        <f>($F$7/360)*($O$2/100)*M25</f>
        <v>20383.393361714174</v>
      </c>
      <c r="L26" s="90">
        <f>J26-K26</f>
        <v>20228.206638285825</v>
      </c>
      <c r="M26" s="79">
        <f>M25-L26</f>
        <v>759251.46302573604</v>
      </c>
      <c r="N26" s="126">
        <f>L26/M25</f>
        <v>2.5950909851189273E-2</v>
      </c>
      <c r="O26" s="52"/>
      <c r="P26" s="80">
        <f>I26</f>
        <v>41699</v>
      </c>
      <c r="Q26" s="97">
        <f ca="1">S25*N26</f>
        <v>12203.043948099965</v>
      </c>
      <c r="R26" s="98">
        <f ca="1">S25*$C$2/2</f>
        <v>11755.8922</v>
      </c>
      <c r="S26" s="99">
        <f ca="1">IF(P26&lt;$A$4,(VLOOKUP(P26,$A$11:$B$52,2,0)*$S$12),(S25-(Q26+R26)))</f>
        <v>424670.81400000001</v>
      </c>
      <c r="U26" s="80">
        <f>P26</f>
        <v>41699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39692</v>
      </c>
      <c r="B27" s="50">
        <v>0.91732145799999998</v>
      </c>
      <c r="C27" s="52"/>
      <c r="D27" s="70" t="str">
        <f ca="1">IF(E27&lt;$A$4,"Actual","Model Num")</f>
        <v>Actual</v>
      </c>
      <c r="E27" s="71">
        <f>DATE(YEAR(E26),MONTH(E26)+6,DAY(E26))</f>
        <v>41883</v>
      </c>
      <c r="F27" s="74">
        <f>MAX(IF(ISERROR(VLOOKUP(E27,$A$12:$B$52,2,0)),VLOOKUP(E27,$P$11:$S$52,4,0)/1000000,(VLOOKUP(E27,$A$12:$B$52,2,0))),0)</f>
        <v>0.40010774999999998</v>
      </c>
      <c r="G27" s="128">
        <f>F27*1000000</f>
        <v>400107.75</v>
      </c>
      <c r="H27" s="64"/>
      <c r="I27" s="80">
        <f>E27</f>
        <v>41883</v>
      </c>
      <c r="J27" s="205">
        <f>$M$12*$N$7</f>
        <v>40611.599999999999</v>
      </c>
      <c r="K27" s="88">
        <f>($F$7/360)*($O$2/100)*M26</f>
        <v>19854.425758123001</v>
      </c>
      <c r="L27" s="90">
        <f>J27-K27</f>
        <v>20757.174241876997</v>
      </c>
      <c r="M27" s="79">
        <f>M26-L27</f>
        <v>738494.288783859</v>
      </c>
      <c r="N27" s="126">
        <f>L27/M26</f>
        <v>2.7338998016752453E-2</v>
      </c>
      <c r="O27" s="52"/>
      <c r="P27" s="80">
        <f>I27</f>
        <v>41883</v>
      </c>
      <c r="Q27" s="97">
        <f ca="1">S26*N27</f>
        <v>11610.07454171865</v>
      </c>
      <c r="R27" s="98">
        <f ca="1">S26*$C$2/2</f>
        <v>10616.770350000001</v>
      </c>
      <c r="S27" s="99">
        <f ca="1">IF(P27&lt;$A$4,(VLOOKUP(P27,$A$11:$B$52,2,0)*$S$12),(S26-(Q27+R27)))</f>
        <v>400107.75</v>
      </c>
      <c r="U27" s="80">
        <f>P27</f>
        <v>41883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39508</v>
      </c>
      <c r="B28" s="50">
        <v>0.95312164300000002</v>
      </c>
      <c r="C28" s="52"/>
      <c r="D28" s="70" t="str">
        <f ca="1">IF(E28&lt;$A$4,"Actual","Model Num")</f>
        <v>Actual</v>
      </c>
      <c r="E28" s="71">
        <f>DATE(YEAR(E27),MONTH(E27)+6,DAY(E27))</f>
        <v>42064</v>
      </c>
      <c r="F28" s="74">
        <f>MAX(IF(ISERROR(VLOOKUP(E28,$A$12:$B$52,2,0)),VLOOKUP(E28,$P$11:$S$52,4,0)/1000000,(VLOOKUP(E28,$A$12:$B$52,2,0))),0)</f>
        <v>0.36121226200000001</v>
      </c>
      <c r="G28" s="128">
        <f>F28*1000000</f>
        <v>361212.26199999999</v>
      </c>
      <c r="H28" s="64"/>
      <c r="I28" s="80">
        <f>E28</f>
        <v>42064</v>
      </c>
      <c r="J28" s="205">
        <f>$M$12*$N$7</f>
        <v>40611.599999999999</v>
      </c>
      <c r="K28" s="88">
        <f>($F$7/360)*($O$2/100)*M27</f>
        <v>19311.625651697916</v>
      </c>
      <c r="L28" s="90">
        <f>J28-K28</f>
        <v>21299.974348302083</v>
      </c>
      <c r="M28" s="79">
        <f>M27-L28</f>
        <v>717194.31443555688</v>
      </c>
      <c r="N28" s="126">
        <f>L28/M27</f>
        <v>2.8842436118739052E-2</v>
      </c>
      <c r="O28" s="52"/>
      <c r="P28" s="80">
        <f>I28</f>
        <v>42064</v>
      </c>
      <c r="Q28" s="97">
        <f ca="1">S27*N28</f>
        <v>11540.082219987415</v>
      </c>
      <c r="R28" s="98">
        <f ca="1">S27*$C$2/2</f>
        <v>10002.69375</v>
      </c>
      <c r="S28" s="99">
        <f ca="1">IF(P28&lt;$A$4,(VLOOKUP(P28,$A$11:$B$52,2,0)*$S$12),(S27-(Q28+R28)))</f>
        <v>361212.26199999999</v>
      </c>
      <c r="U28" s="80">
        <f>P28</f>
        <v>42064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39326</v>
      </c>
      <c r="B29" s="50">
        <v>0.97706043399999998</v>
      </c>
      <c r="C29" s="52"/>
      <c r="D29" s="70" t="str">
        <f ca="1">IF(E29&lt;$A$4,"Actual","Model Num")</f>
        <v>Actual</v>
      </c>
      <c r="E29" s="71">
        <f>DATE(YEAR(E28),MONTH(E28)+6,DAY(E28))</f>
        <v>42248</v>
      </c>
      <c r="F29" s="74">
        <f>MAX(IF(ISERROR(VLOOKUP(E29,$A$12:$B$52,2,0)),VLOOKUP(E29,$P$11:$S$52,4,0)/1000000,(VLOOKUP(E29,$A$12:$B$52,2,0))),0)</f>
        <v>0.31740349400000001</v>
      </c>
      <c r="G29" s="128">
        <f>F29*1000000</f>
        <v>317403.49400000001</v>
      </c>
      <c r="H29" s="64"/>
      <c r="I29" s="80">
        <f>E29</f>
        <v>42248</v>
      </c>
      <c r="J29" s="205">
        <f>$M$12*$N$7</f>
        <v>40611.599999999999</v>
      </c>
      <c r="K29" s="88">
        <f>($F$7/360)*($O$2/100)*M28</f>
        <v>18754.631322489815</v>
      </c>
      <c r="L29" s="90">
        <f>J29-K29</f>
        <v>21856.968677510184</v>
      </c>
      <c r="M29" s="79">
        <f>M28-L29</f>
        <v>695337.34575804672</v>
      </c>
      <c r="N29" s="126">
        <f>L29/M28</f>
        <v>3.0475658043541461E-2</v>
      </c>
      <c r="O29" s="52"/>
      <c r="P29" s="80">
        <f>I29</f>
        <v>42248</v>
      </c>
      <c r="Q29" s="97">
        <f ca="1">S28*N29</f>
        <v>11008.181377846106</v>
      </c>
      <c r="R29" s="98">
        <f ca="1">S28*$C$2/2</f>
        <v>9030.3065499999993</v>
      </c>
      <c r="S29" s="99">
        <f ca="1">IF(P29&lt;$A$4,(VLOOKUP(P29,$A$11:$B$52,2,0)*$S$12),(S28-(Q29+R29)))</f>
        <v>317403.49400000001</v>
      </c>
      <c r="U29" s="80">
        <f>P29</f>
        <v>42248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39155</v>
      </c>
      <c r="B30" s="50">
        <v>1</v>
      </c>
      <c r="C30" s="52"/>
      <c r="D30" s="70" t="str">
        <f ca="1">IF(E30&lt;$A$4,"Actual","Model Num")</f>
        <v>Actual</v>
      </c>
      <c r="E30" s="71">
        <f>DATE(YEAR(E29),MONTH(E29)+6,DAY(E29))</f>
        <v>42430</v>
      </c>
      <c r="F30" s="74">
        <f>MAX(IF(ISERROR(VLOOKUP(E30,$A$12:$B$52,2,0)),VLOOKUP(E30,$P$11:$S$52,4,0)/1000000,(VLOOKUP(E30,$A$12:$B$52,2,0))),0)</f>
        <v>0.28061972200000002</v>
      </c>
      <c r="G30" s="128">
        <f>F30*1000000</f>
        <v>280619.72200000001</v>
      </c>
      <c r="H30" s="64"/>
      <c r="I30" s="80">
        <f>E30</f>
        <v>42430</v>
      </c>
      <c r="J30" s="205">
        <f>$M$12*$N$7</f>
        <v>40611.599999999999</v>
      </c>
      <c r="K30" s="88">
        <f>($F$7/360)*($O$2/100)*M29</f>
        <v>18183.071591572923</v>
      </c>
      <c r="L30" s="90">
        <f>J30-K30</f>
        <v>22428.528408427075</v>
      </c>
      <c r="M30" s="79">
        <f>M29-L30</f>
        <v>672908.8173496197</v>
      </c>
      <c r="N30" s="126">
        <f>L30/M29</f>
        <v>3.2255607361310099E-2</v>
      </c>
      <c r="O30" s="52"/>
      <c r="P30" s="80">
        <f>I30</f>
        <v>42430</v>
      </c>
      <c r="Q30" s="97">
        <f ca="1">S29*N30</f>
        <v>10238.042477571946</v>
      </c>
      <c r="R30" s="98">
        <f ca="1">S29*$C$2/2</f>
        <v>7935.0873500000007</v>
      </c>
      <c r="S30" s="99">
        <f ca="1">IF(P30&lt;$A$4,(VLOOKUP(P30,$A$11:$B$52,2,0)*$S$12),(S29-(Q30+R30)))</f>
        <v>280619.72200000001</v>
      </c>
      <c r="U30" s="80">
        <f>P30</f>
        <v>42430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/>
      <c r="B31" s="50"/>
      <c r="C31" s="52"/>
      <c r="D31" s="70" t="str">
        <f ca="1">IF(E31&lt;$A$4,"Actual","Model Num")</f>
        <v>Model Num</v>
      </c>
      <c r="E31" s="71">
        <f>DATE(YEAR(E30),MONTH(E30)+6,DAY(E30))</f>
        <v>42614</v>
      </c>
      <c r="F31" s="74">
        <f ca="1">MAX(IF(ISERROR(VLOOKUP(E31,$A$12:$B$52,2,0)),VLOOKUP(E31,$P$11:$S$52,4,0)/1000000,(VLOOKUP(E31,$A$12:$B$52,2,0))),0)</f>
        <v>0.26400638687093686</v>
      </c>
      <c r="G31" s="128">
        <f ca="1">F31*1000000</f>
        <v>264006.38687093684</v>
      </c>
      <c r="H31" s="64"/>
      <c r="I31" s="80">
        <f>E31</f>
        <v>42614</v>
      </c>
      <c r="J31" s="205">
        <f>$M$12*$N$7</f>
        <v>40611.599999999999</v>
      </c>
      <c r="K31" s="88">
        <f>($F$7/360)*($O$2/100)*M30</f>
        <v>17596.565573692558</v>
      </c>
      <c r="L31" s="90">
        <f>J31-K31</f>
        <v>23015.03442630744</v>
      </c>
      <c r="M31" s="79">
        <f>M30-L31</f>
        <v>649893.78292331228</v>
      </c>
      <c r="N31" s="126">
        <f>L31/M30</f>
        <v>3.4202307701891262E-2</v>
      </c>
      <c r="O31" s="52"/>
      <c r="P31" s="80">
        <f>I31</f>
        <v>42614</v>
      </c>
      <c r="Q31" s="97">
        <f ca="1">S30*N31</f>
        <v>9597.8420790631844</v>
      </c>
      <c r="R31" s="98">
        <f ca="1">S30*$C$2/2</f>
        <v>7015.4930500000009</v>
      </c>
      <c r="S31" s="99">
        <f ca="1">IF(P31&lt;$A$4,(VLOOKUP(P31,$A$11:$B$52,2,0)*$S$12),(S30-(Q31+R31)))</f>
        <v>264006.38687093684</v>
      </c>
      <c r="U31" s="80">
        <f>P31</f>
        <v>42614</v>
      </c>
      <c r="V31" s="97">
        <f ca="1">IF(U31&lt;$A$4,0,(YEARFRAC($A$4,U31,1)))</f>
        <v>0.39890710382513661</v>
      </c>
      <c r="W31" s="141">
        <f ca="1">V31*(S30-S31)</f>
        <v>6627.1774012109909</v>
      </c>
    </row>
    <row r="32" spans="1:23">
      <c r="A32" s="49"/>
      <c r="B32" s="50"/>
      <c r="C32" s="52"/>
      <c r="D32" s="70" t="str">
        <f ca="1">IF(E32&lt;$A$4,"Actual","Model Num")</f>
        <v>Model Num</v>
      </c>
      <c r="E32" s="71">
        <f>DATE(YEAR(E31),MONTH(E31)+6,DAY(E31))</f>
        <v>42795</v>
      </c>
      <c r="F32" s="74">
        <f ca="1">MAX(IF(ISERROR(VLOOKUP(E32,$A$12:$B$52,2,0)),VLOOKUP(E32,$P$11:$S$52,4,0)/1000000,(VLOOKUP(E32,$A$12:$B$52,2,0))),0)</f>
        <v>0.24781234173358208</v>
      </c>
      <c r="G32" s="128">
        <f ca="1">F32*1000000</f>
        <v>247812.34173358208</v>
      </c>
      <c r="H32" s="64"/>
      <c r="I32" s="80">
        <f>E32</f>
        <v>42795</v>
      </c>
      <c r="J32" s="205">
        <f>$M$12*$N$7</f>
        <v>40611.599999999999</v>
      </c>
      <c r="K32" s="88">
        <f>($F$7/360)*($O$2/100)*M31</f>
        <v>16994.722423444618</v>
      </c>
      <c r="L32" s="90">
        <f>J32-K32</f>
        <v>23616.87757655538</v>
      </c>
      <c r="M32" s="79">
        <f>M31-L32</f>
        <v>626276.90534675692</v>
      </c>
      <c r="N32" s="126">
        <f>L32/M31</f>
        <v>3.6339596095724125E-2</v>
      </c>
      <c r="O32" s="52"/>
      <c r="P32" s="80">
        <f>I32</f>
        <v>42795</v>
      </c>
      <c r="Q32" s="97">
        <f ca="1">S31*N32</f>
        <v>9593.8854655813284</v>
      </c>
      <c r="R32" s="98">
        <f ca="1">S31*$C$2/2</f>
        <v>6600.159671773421</v>
      </c>
      <c r="S32" s="99">
        <f ca="1">IF(P32&lt;$A$4,(VLOOKUP(P32,$A$11:$B$52,2,0)*$S$12),(S31-(Q32+R32)))</f>
        <v>247812.34173358208</v>
      </c>
      <c r="U32" s="80">
        <f>P32</f>
        <v>42795</v>
      </c>
      <c r="V32" s="97">
        <f ca="1">IF(U32&lt;$A$4,0,(YEARFRAC($A$4,U32,1)))</f>
        <v>0.89589041095890409</v>
      </c>
      <c r="W32" s="141">
        <f ca="1">V32*(S31-S32)</f>
        <v>14508.089753191794</v>
      </c>
    </row>
    <row r="33" spans="1:23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42979</v>
      </c>
      <c r="F33" s="74">
        <f ca="1">MAX(IF(ISERROR(VLOOKUP(E33,$A$12:$B$52,2,0)),VLOOKUP(E33,$P$11:$S$52,4,0)/1000000,(VLOOKUP(E33,$A$12:$B$52,2,0))),0)</f>
        <v>0.23202766790210283</v>
      </c>
      <c r="G33" s="128">
        <f ca="1">F33*1000000</f>
        <v>232027.66790210284</v>
      </c>
      <c r="H33" s="64"/>
      <c r="I33" s="80">
        <f>E33</f>
        <v>42979</v>
      </c>
      <c r="J33" s="205">
        <f>$M$12*$N$7</f>
        <v>40611.599999999999</v>
      </c>
      <c r="K33" s="88">
        <f>($F$7/360)*($O$2/100)*M32</f>
        <v>16377.141074817695</v>
      </c>
      <c r="L33" s="90">
        <f>J33-K33</f>
        <v>24234.458925182305</v>
      </c>
      <c r="M33" s="79">
        <f>M32-L33</f>
        <v>602042.44642157457</v>
      </c>
      <c r="N33" s="126">
        <f>L33/M32</f>
        <v>3.8696076317494374E-2</v>
      </c>
      <c r="O33" s="52"/>
      <c r="P33" s="80">
        <f>I33</f>
        <v>42979</v>
      </c>
      <c r="Q33" s="97">
        <f ca="1">S32*N33</f>
        <v>9589.3652881396883</v>
      </c>
      <c r="R33" s="98">
        <f ca="1">S32*$C$2/2</f>
        <v>6195.3085433395527</v>
      </c>
      <c r="S33" s="99">
        <f ca="1">IF(P33&lt;$A$4,(VLOOKUP(P33,$A$11:$B$52,2,0)*$S$12),(S32-(Q33+R33)))</f>
        <v>232027.66790210284</v>
      </c>
      <c r="U33" s="80">
        <f>P33</f>
        <v>42979</v>
      </c>
      <c r="V33" s="97">
        <f ca="1">IF(U33&lt;$A$4,0,(YEARFRAC($A$4,U33,1)))</f>
        <v>1.3980848153214773</v>
      </c>
      <c r="W33" s="141">
        <f ca="1">V33*(S32-S33)</f>
        <v>22068.312798593415</v>
      </c>
    </row>
    <row r="34" spans="1:23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43160</v>
      </c>
      <c r="F34" s="74">
        <f ca="1">MAX(IF(ISERROR(VLOOKUP(E34,$A$12:$B$52,2,0)),VLOOKUP(E34,$P$11:$S$52,4,0)/1000000,(VLOOKUP(E34,$A$12:$B$52,2,0))),0)</f>
        <v>0.21664275474144062</v>
      </c>
      <c r="G34" s="128">
        <f ca="1">F34*1000000</f>
        <v>216642.75474144061</v>
      </c>
      <c r="H34" s="64"/>
      <c r="I34" s="80">
        <f>E34</f>
        <v>43160</v>
      </c>
      <c r="J34" s="205">
        <f>$M$12*$N$7</f>
        <v>40611.599999999999</v>
      </c>
      <c r="K34" s="88">
        <f>($F$7/360)*($O$2/100)*M33</f>
        <v>15743.409973924177</v>
      </c>
      <c r="L34" s="90">
        <f>J34-K34</f>
        <v>24868.190026075819</v>
      </c>
      <c r="M34" s="79">
        <f>M33-L34</f>
        <v>577174.25639549876</v>
      </c>
      <c r="N34" s="126">
        <f>L34/M33</f>
        <v>4.1306373286281714E-2</v>
      </c>
      <c r="O34" s="52"/>
      <c r="P34" s="80">
        <f>I34</f>
        <v>43160</v>
      </c>
      <c r="Q34" s="97">
        <f ca="1">S33*N34</f>
        <v>9584.2214631096667</v>
      </c>
      <c r="R34" s="98">
        <f ca="1">S33*$C$2/2</f>
        <v>5800.691697552571</v>
      </c>
      <c r="S34" s="99">
        <f ca="1">IF(P34&lt;$A$4,(VLOOKUP(P34,$A$11:$B$52,2,0)*$S$12),(S33-(Q34+R34)))</f>
        <v>216642.75474144061</v>
      </c>
      <c r="U34" s="80">
        <f>P34</f>
        <v>43160</v>
      </c>
      <c r="V34" s="97">
        <f ca="1">IF(U34&lt;$A$4,0,(YEARFRAC($A$4,U34,1)))</f>
        <v>1.894160583941606</v>
      </c>
      <c r="W34" s="141">
        <f ca="1">V34*(S33-S34)</f>
        <v>29141.496096290859</v>
      </c>
    </row>
    <row r="35" spans="1:23">
      <c r="A35" s="49"/>
      <c r="B35" s="50"/>
      <c r="D35" s="70" t="str">
        <f ca="1">IF(E35&lt;$A$4,"Actual","Model Num")</f>
        <v>Model Num</v>
      </c>
      <c r="E35" s="71">
        <f>DATE(YEAR(E34),MONTH(E34)+6,DAY(E34))</f>
        <v>43344</v>
      </c>
      <c r="F35" s="74">
        <f ca="1">MAX(IF(ISERROR(VLOOKUP(E35,$A$12:$B$52,2,0)),VLOOKUP(E35,$P$11:$S$52,4,0)/1000000,(VLOOKUP(E35,$A$12:$B$52,2,0))),0)</f>
        <v>0.20164830187290322</v>
      </c>
      <c r="G35" s="128">
        <f ca="1">F35*1000000</f>
        <v>201648.30187290322</v>
      </c>
      <c r="I35" s="80">
        <f>E35</f>
        <v>43344</v>
      </c>
      <c r="J35" s="205">
        <f>$M$12*$N$7</f>
        <v>40611.599999999999</v>
      </c>
      <c r="K35" s="88">
        <f>($F$7/360)*($O$2/100)*M34</f>
        <v>15093.106804742294</v>
      </c>
      <c r="L35" s="90">
        <f>J35-K35</f>
        <v>25518.493195257703</v>
      </c>
      <c r="M35" s="79">
        <f>M34-L35</f>
        <v>551655.76320024102</v>
      </c>
      <c r="N35" s="126">
        <f>L35/M34</f>
        <v>4.4212805599859593E-2</v>
      </c>
      <c r="O35" s="52"/>
      <c r="P35" s="80">
        <f>I35</f>
        <v>43344</v>
      </c>
      <c r="Q35" s="97">
        <f ca="1">S34*N35</f>
        <v>9578.3840000013734</v>
      </c>
      <c r="R35" s="98">
        <f ca="1">S34*$C$2/2</f>
        <v>5416.0688685360155</v>
      </c>
      <c r="S35" s="99">
        <f ca="1">IF(P35&lt;$A$4,(VLOOKUP(P35,$A$11:$B$52,2,0)*$S$12),(S34-(Q35+R35)))</f>
        <v>201648.30187290322</v>
      </c>
      <c r="U35" s="80">
        <f>P35</f>
        <v>43344</v>
      </c>
      <c r="V35" s="97">
        <f ca="1">IF(U35&lt;$A$4,0,(YEARFRAC($A$4,U35,1)))</f>
        <v>2.3978102189781021</v>
      </c>
      <c r="W35" s="141">
        <f ca="1">V35*(S34-S35)</f>
        <v>35953.852316164484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43525</v>
      </c>
      <c r="F36" s="74">
        <f ca="1">MAX(IF(ISERROR(VLOOKUP(E36,$A$12:$B$52,2,0)),VLOOKUP(E36,$P$11:$S$52,4,0)/1000000,(VLOOKUP(E36,$A$12:$B$52,2,0))),0)</f>
        <v>0.18703532363711239</v>
      </c>
      <c r="G36" s="128">
        <f ca="1">F36*1000000</f>
        <v>187035.32363711239</v>
      </c>
      <c r="I36" s="80">
        <f>E36</f>
        <v>43525</v>
      </c>
      <c r="J36" s="205">
        <f>$M$12*$N$7</f>
        <v>40611.599999999999</v>
      </c>
      <c r="K36" s="88">
        <f>($F$7/360)*($O$2/100)*M35</f>
        <v>14425.798207686305</v>
      </c>
      <c r="L36" s="90">
        <f>J36-K36</f>
        <v>26185.801792313694</v>
      </c>
      <c r="M36" s="79">
        <f>M35-L36</f>
        <v>525469.96140792733</v>
      </c>
      <c r="N36" s="126">
        <f>L36/M35</f>
        <v>4.746764837623698E-2</v>
      </c>
      <c r="O36" s="52"/>
      <c r="P36" s="80">
        <f>I36</f>
        <v>43525</v>
      </c>
      <c r="Q36" s="97">
        <f ca="1">S35*N36</f>
        <v>9571.7706889682595</v>
      </c>
      <c r="R36" s="98">
        <f ca="1">S35*$C$2/2</f>
        <v>5041.2075468225812</v>
      </c>
      <c r="S36" s="99">
        <f ca="1">IF(P36&lt;$A$4,(VLOOKUP(P36,$A$11:$B$52,2,0)*$S$12),(S35-(Q36+R36)))</f>
        <v>187035.32363711239</v>
      </c>
      <c r="U36" s="80">
        <f>P36</f>
        <v>43525</v>
      </c>
      <c r="V36" s="97">
        <f ca="1">IF(U36&lt;$A$4,0,(YEARFRAC($A$4,U36,1)))</f>
        <v>2.8939082819986313</v>
      </c>
      <c r="W36" s="141">
        <f ca="1">V36*(S35-S36)</f>
        <v>42288.618741220816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43709</v>
      </c>
      <c r="F37" s="74">
        <f ca="1">MAX(IF(ISERROR(VLOOKUP(E37,$A$12:$B$52,2,0)),VLOOKUP(E37,$P$11:$S$52,4,0)/1000000,(VLOOKUP(E37,$A$12:$B$52,2,0))),0)</f>
        <v>0.17279515647620697</v>
      </c>
      <c r="G37" s="128">
        <f ca="1">F37*1000000</f>
        <v>172795.15647620696</v>
      </c>
      <c r="I37" s="80">
        <f>E37</f>
        <v>43709</v>
      </c>
      <c r="J37" s="205">
        <f>$M$12*$N$7</f>
        <v>40611.599999999999</v>
      </c>
      <c r="K37" s="88">
        <f>($F$7/360)*($O$2/100)*M36</f>
        <v>13741.039490817302</v>
      </c>
      <c r="L37" s="90">
        <f>J37-K37</f>
        <v>26870.560509182695</v>
      </c>
      <c r="M37" s="79">
        <f>M36-L37</f>
        <v>498599.40089874464</v>
      </c>
      <c r="N37" s="126">
        <f>L37/M36</f>
        <v>5.1136244662181217E-2</v>
      </c>
      <c r="O37" s="52"/>
      <c r="P37" s="80">
        <f>I37</f>
        <v>43709</v>
      </c>
      <c r="Q37" s="97">
        <f ca="1">S36*N37</f>
        <v>9564.2840699776243</v>
      </c>
      <c r="R37" s="98">
        <f ca="1">S36*$C$2/2</f>
        <v>4675.8830909278104</v>
      </c>
      <c r="S37" s="99">
        <f ca="1">IF(P37&lt;$A$4,(VLOOKUP(P37,$A$11:$B$52,2,0)*$S$12),(S36-(Q37+R37)))</f>
        <v>172795.15647620696</v>
      </c>
      <c r="U37" s="80">
        <f>P37</f>
        <v>43709</v>
      </c>
      <c r="V37" s="97">
        <f ca="1">IF(U37&lt;$A$4,0,(YEARFRAC($A$4,U37,1)))</f>
        <v>3.3976728268309375</v>
      </c>
      <c r="W37" s="141">
        <f ca="1">V37*(S36-S37)</f>
        <v>48383.429012138644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43891</v>
      </c>
      <c r="F38" s="74">
        <f ca="1">MAX(IF(ISERROR(VLOOKUP(E38,$A$12:$B$52,2,0)),VLOOKUP(E38,$P$11:$S$52,4,0)/1000000,(VLOOKUP(E38,$A$12:$B$52,2,0))),0)</f>
        <v>0.15891947016660329</v>
      </c>
      <c r="G38" s="128">
        <f ca="1">F38*1000000</f>
        <v>158919.47016660331</v>
      </c>
      <c r="I38" s="80">
        <f>E38</f>
        <v>43891</v>
      </c>
      <c r="J38" s="205">
        <f>$M$12*$N$7</f>
        <v>40611.599999999999</v>
      </c>
      <c r="K38" s="88">
        <f>($F$7/360)*($O$2/100)*M37</f>
        <v>13038.374333502174</v>
      </c>
      <c r="L38" s="90">
        <f>J38-K38</f>
        <v>27573.225666497827</v>
      </c>
      <c r="M38" s="79">
        <f>M37-L38</f>
        <v>471026.17523224681</v>
      </c>
      <c r="N38" s="126">
        <f>L38/M37</f>
        <v>5.5301361407165801E-2</v>
      </c>
      <c r="O38" s="52"/>
      <c r="P38" s="80">
        <f>I38</f>
        <v>43891</v>
      </c>
      <c r="Q38" s="97">
        <f ca="1">S37*N38</f>
        <v>9555.807397698487</v>
      </c>
      <c r="R38" s="98">
        <f ca="1">S37*$C$2/2</f>
        <v>4319.8789119051744</v>
      </c>
      <c r="S38" s="99">
        <f ca="1">IF(P38&lt;$A$4,(VLOOKUP(P38,$A$11:$B$52,2,0)*$S$12),(S37-(Q38+R38)))</f>
        <v>158919.47016660331</v>
      </c>
      <c r="U38" s="80">
        <f>P38</f>
        <v>43891</v>
      </c>
      <c r="V38" s="97">
        <f ca="1">IF(U38&lt;$A$4,0,(YEARFRAC($A$4,U38,1)))</f>
        <v>3.894362342638205</v>
      </c>
      <c r="W38" s="141">
        <f ca="1">V38*(S37-S38)</f>
        <v>54036.950242380954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44075</v>
      </c>
      <c r="F39" s="74">
        <f ca="1">MAX(IF(ISERROR(VLOOKUP(E39,$A$12:$B$52,2,0)),VLOOKUP(E39,$P$11:$S$52,4,0)/1000000,(VLOOKUP(E39,$A$12:$B$52,2,0))),0)</f>
        <v>0.14540028423867615</v>
      </c>
      <c r="G39" s="128">
        <f ca="1">F39*1000000</f>
        <v>145400.28423867616</v>
      </c>
      <c r="I39" s="80">
        <f>E39</f>
        <v>44075</v>
      </c>
      <c r="J39" s="205">
        <f>$M$12*$N$7</f>
        <v>40611.599999999999</v>
      </c>
      <c r="K39" s="88">
        <f>($F$7/360)*($O$2/100)*M38</f>
        <v>12317.334482323255</v>
      </c>
      <c r="L39" s="90">
        <f>J39-K39</f>
        <v>28294.265517676744</v>
      </c>
      <c r="M39" s="79">
        <f>M38-L39</f>
        <v>442731.90971457004</v>
      </c>
      <c r="N39" s="126">
        <f>L39/M38</f>
        <v>6.0069412286325306E-2</v>
      </c>
      <c r="O39" s="52"/>
      <c r="P39" s="80">
        <f>I39</f>
        <v>44075</v>
      </c>
      <c r="Q39" s="97">
        <f ca="1">S38*N39</f>
        <v>9546.1991737620683</v>
      </c>
      <c r="R39" s="98">
        <f ca="1">S38*$C$2/2</f>
        <v>3972.9867541650829</v>
      </c>
      <c r="S39" s="99">
        <f ca="1">IF(P39&lt;$A$4,(VLOOKUP(P39,$A$11:$B$52,2,0)*$S$12),(S38-(Q39+R39)))</f>
        <v>145400.28423867616</v>
      </c>
      <c r="U39" s="80">
        <f>P39</f>
        <v>44075</v>
      </c>
      <c r="V39" s="97">
        <f ca="1">IF(U39&lt;$A$4,0,(YEARFRAC($A$4,U39,1)))</f>
        <v>4.39792008757526</v>
      </c>
      <c r="W39" s="141">
        <f ca="1">V39*(S38-S39)</f>
        <v>59456.299360095574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44256</v>
      </c>
      <c r="F40" s="74">
        <f ca="1">MAX(IF(ISERROR(VLOOKUP(E40,$A$12:$B$52,2,0)),VLOOKUP(E40,$P$11:$S$52,4,0)/1000000,(VLOOKUP(E40,$A$12:$B$52,2,0))),0)</f>
        <v>0.13222999154437842</v>
      </c>
      <c r="G40" s="128">
        <f ca="1">F40*1000000</f>
        <v>132229.99154437843</v>
      </c>
      <c r="I40" s="80">
        <f>E40</f>
        <v>44256</v>
      </c>
      <c r="J40" s="205">
        <f>$M$12*$N$7</f>
        <v>40611.599999999999</v>
      </c>
      <c r="K40" s="88">
        <f>($F$7/360)*($O$2/100)*M39</f>
        <v>11577.439439036008</v>
      </c>
      <c r="L40" s="90">
        <f>J40-K40</f>
        <v>29034.160560963988</v>
      </c>
      <c r="M40" s="79">
        <f>M39-L40</f>
        <v>413697.74915360607</v>
      </c>
      <c r="N40" s="126">
        <f>L40/M39</f>
        <v>6.5579552600313715E-2</v>
      </c>
      <c r="O40" s="52"/>
      <c r="P40" s="80">
        <f>I40</f>
        <v>44256</v>
      </c>
      <c r="Q40" s="97">
        <f ca="1">S39*N40</f>
        <v>9535.2855883308293</v>
      </c>
      <c r="R40" s="98">
        <f ca="1">S39*$C$2/2</f>
        <v>3635.0071059669044</v>
      </c>
      <c r="S40" s="99">
        <f ca="1">IF(P40&lt;$A$4,(VLOOKUP(P40,$A$11:$B$52,2,0)*$S$12),(S39-(Q40+R40)))</f>
        <v>132229.99154437843</v>
      </c>
      <c r="U40" s="80">
        <f>P40</f>
        <v>44256</v>
      </c>
      <c r="V40" s="97">
        <f ca="1">IF(U40&lt;$A$4,0,(YEARFRAC($A$4,U40,1)))</f>
        <v>4.8941605839416065</v>
      </c>
      <c r="W40" s="141">
        <f ca="1">V40*(S39-S40)</f>
        <v>64457.527383406079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44440</v>
      </c>
      <c r="F41" s="74">
        <f ca="1">MAX(IF(ISERROR(VLOOKUP(E41,$A$12:$B$52,2,0)),VLOOKUP(E41,$P$11:$S$52,4,0)/1000000,(VLOOKUP(E41,$A$12:$B$52,2,0))),0)</f>
        <v>0.11940139192519185</v>
      </c>
      <c r="G41" s="128">
        <f ca="1">F41*1000000</f>
        <v>119401.39192519186</v>
      </c>
      <c r="I41" s="80">
        <f>E41</f>
        <v>44440</v>
      </c>
      <c r="J41" s="205">
        <f>$M$12*$N$7</f>
        <v>40611.599999999999</v>
      </c>
      <c r="K41" s="88">
        <f>($F$7/360)*($O$2/100)*M40</f>
        <v>10818.196140366799</v>
      </c>
      <c r="L41" s="90">
        <f>J41-K41</f>
        <v>29793.403859633199</v>
      </c>
      <c r="M41" s="79">
        <f>M40-L41</f>
        <v>383904.34529397287</v>
      </c>
      <c r="N41" s="126">
        <f>L41/M40</f>
        <v>7.2017321632975334E-2</v>
      </c>
      <c r="O41" s="52"/>
      <c r="P41" s="80">
        <f>I41</f>
        <v>44440</v>
      </c>
      <c r="Q41" s="97">
        <f ca="1">S40*N41</f>
        <v>9522.84983057711</v>
      </c>
      <c r="R41" s="98">
        <f ca="1">S40*$C$2/2</f>
        <v>3305.7497886094607</v>
      </c>
      <c r="S41" s="99">
        <f ca="1">IF(P41&lt;$A$4,(VLOOKUP(P41,$A$11:$B$52,2,0)*$S$12),(S40-(Q41+R41)))</f>
        <v>119401.39192519186</v>
      </c>
      <c r="U41" s="80">
        <f>P41</f>
        <v>44440</v>
      </c>
      <c r="V41" s="97">
        <f ca="1">IF(U41&lt;$A$4,0,(YEARFRAC($A$4,U41,1)))</f>
        <v>5.3978102189781021</v>
      </c>
      <c r="W41" s="141">
        <f ca="1">V41*(S40-S41)</f>
        <v>69246.346119623864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44621</v>
      </c>
      <c r="F42" s="74">
        <f ca="1">MAX(IF(ISERROR(VLOOKUP(E42,$A$12:$B$52,2,0)),VLOOKUP(E42,$P$11:$S$52,4,0)/1000000,(VLOOKUP(E42,$A$12:$B$52,2,0))),0)</f>
        <v>0.10690774055882621</v>
      </c>
      <c r="G42" s="128">
        <f ca="1">F42*1000000</f>
        <v>106907.7405588262</v>
      </c>
      <c r="I42" s="80">
        <f>E42</f>
        <v>44621</v>
      </c>
      <c r="J42" s="205">
        <f>$M$12*$N$7</f>
        <v>40611.599999999999</v>
      </c>
      <c r="K42" s="88">
        <f>($F$7/360)*($O$2/100)*M41</f>
        <v>10039.098629437392</v>
      </c>
      <c r="L42" s="90">
        <f>J42-K42</f>
        <v>30572.501370562604</v>
      </c>
      <c r="M42" s="79">
        <f>M41-L42</f>
        <v>353331.84392341028</v>
      </c>
      <c r="N42" s="126">
        <f>L42/M41</f>
        <v>7.9635726308728963E-2</v>
      </c>
      <c r="O42" s="52"/>
      <c r="P42" s="80">
        <f>I42</f>
        <v>44621</v>
      </c>
      <c r="Q42" s="97">
        <f ca="1">S41*N42</f>
        <v>9508.6165682358587</v>
      </c>
      <c r="R42" s="98">
        <f ca="1">S41*$C$2/2</f>
        <v>2985.0347981297964</v>
      </c>
      <c r="S42" s="99">
        <f ca="1">IF(P42&lt;$A$4,(VLOOKUP(P42,$A$11:$B$52,2,0)*$S$12),(S41-(Q42+R42)))</f>
        <v>106907.7405588262</v>
      </c>
      <c r="U42" s="80">
        <f>P42</f>
        <v>44621</v>
      </c>
      <c r="V42" s="97">
        <f ca="1">IF(U42&lt;$A$4,0,(YEARFRAC($A$4,U42,1)))</f>
        <v>5.8940164254986316</v>
      </c>
      <c r="W42" s="141">
        <f ca="1">V42*(S41-S42)</f>
        <v>73637.786367812572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44805</v>
      </c>
      <c r="F43" s="74">
        <f ca="1">MAX(IF(ISERROR(VLOOKUP(E43,$A$12:$B$52,2,0)),VLOOKUP(E43,$P$11:$S$52,4,0)/1000000,(VLOOKUP(E43,$A$12:$B$52,2,0))),0)</f>
        <v>9.4742818333633294E-2</v>
      </c>
      <c r="G43" s="128">
        <f ca="1">F43*1000000</f>
        <v>94742.818333633288</v>
      </c>
      <c r="I43" s="80">
        <f>E43</f>
        <v>44805</v>
      </c>
      <c r="J43" s="205">
        <f>$M$12*$N$7</f>
        <v>40611.599999999999</v>
      </c>
      <c r="K43" s="88">
        <f>($F$7/360)*($O$2/100)*M42</f>
        <v>9239.6277185971794</v>
      </c>
      <c r="L43" s="90">
        <f>J43-K43</f>
        <v>31371.972281402821</v>
      </c>
      <c r="M43" s="79">
        <f>M42-L43</f>
        <v>321959.87164200749</v>
      </c>
      <c r="N43" s="126">
        <f>L43/M42</f>
        <v>8.8788975069575504E-2</v>
      </c>
      <c r="O43" s="52"/>
      <c r="P43" s="80">
        <f>I43</f>
        <v>44805</v>
      </c>
      <c r="Q43" s="97">
        <f ca="1">S42*N43</f>
        <v>9492.2287112222657</v>
      </c>
      <c r="R43" s="98">
        <f ca="1">S42*$C$2/2</f>
        <v>2672.6935139706552</v>
      </c>
      <c r="S43" s="99">
        <f ca="1">IF(P43&lt;$A$4,(VLOOKUP(P43,$A$11:$B$52,2,0)*$S$12),(S42-(Q43+R43)))</f>
        <v>94742.818333633288</v>
      </c>
      <c r="U43" s="80">
        <f>P43</f>
        <v>44805</v>
      </c>
      <c r="V43" s="97">
        <f ca="1">IF(U43&lt;$A$4,0,(YEARFRAC($A$4,U43,1)))</f>
        <v>6.3977317168556906</v>
      </c>
      <c r="W43" s="141">
        <f ca="1">V43*(S42-S43)</f>
        <v>77827.90875319943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44986</v>
      </c>
      <c r="F44" s="74">
        <f ca="1">MAX(IF(ISERROR(VLOOKUP(E44,$A$12:$B$52,2,0)),VLOOKUP(E44,$P$11:$S$52,4,0)/1000000,(VLOOKUP(E44,$A$12:$B$52,2,0))),0)</f>
        <v>8.2901036536045483E-2</v>
      </c>
      <c r="G44" s="128">
        <f ca="1">F44*1000000</f>
        <v>82901.036536045489</v>
      </c>
      <c r="I44" s="80">
        <f>E44</f>
        <v>44986</v>
      </c>
      <c r="J44" s="205">
        <f>$M$12*$N$7</f>
        <v>40611.599999999999</v>
      </c>
      <c r="K44" s="88">
        <f>($F$7/360)*($O$2/100)*M43</f>
        <v>8419.2506434384977</v>
      </c>
      <c r="L44" s="90">
        <f>J44-K44</f>
        <v>32192.349356561499</v>
      </c>
      <c r="M44" s="79">
        <f>M43-L44</f>
        <v>289767.522285446</v>
      </c>
      <c r="N44" s="126">
        <f>L44/M43</f>
        <v>9.9988701052647663E-2</v>
      </c>
      <c r="O44" s="52"/>
      <c r="P44" s="80">
        <f>I44</f>
        <v>44986</v>
      </c>
      <c r="Q44" s="97">
        <f ca="1">S43*N44</f>
        <v>9473.2113392469655</v>
      </c>
      <c r="R44" s="98">
        <f ca="1">S43*$C$2/2</f>
        <v>2368.5704583408324</v>
      </c>
      <c r="S44" s="99">
        <f ca="1">IF(P44&lt;$A$4,(VLOOKUP(P44,$A$11:$B$52,2,0)*$S$12),(S43-(Q44+R44)))</f>
        <v>82901.036536045489</v>
      </c>
      <c r="U44" s="80">
        <f>P44</f>
        <v>44986</v>
      </c>
      <c r="V44" s="97">
        <f ca="1">IF(U44&lt;$A$4,0,(YEARFRAC($A$4,U44,1)))</f>
        <v>6.8939082819986313</v>
      </c>
      <c r="W44" s="141">
        <f ca="1">V44*(S43-S44)</f>
        <v>81636.15760801117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45170</v>
      </c>
      <c r="F45" s="74">
        <f ca="1">MAX(IF(ISERROR(VLOOKUP(E45,$A$12:$B$52,2,0)),VLOOKUP(E45,$P$11:$S$52,4,0)/1000000,(VLOOKUP(E45,$A$12:$B$52,2,0))),0)</f>
        <v>7.1377597411790547E-2</v>
      </c>
      <c r="G45" s="128">
        <f ca="1">F45*1000000</f>
        <v>71377.597411790543</v>
      </c>
      <c r="I45" s="80">
        <f>E45</f>
        <v>45170</v>
      </c>
      <c r="J45" s="205">
        <f>$M$12*$N$7</f>
        <v>40611.599999999999</v>
      </c>
      <c r="K45" s="88">
        <f>($F$7/360)*($O$2/100)*M44</f>
        <v>7577.4207077644141</v>
      </c>
      <c r="L45" s="90">
        <f>J45-K45</f>
        <v>33034.179292235582</v>
      </c>
      <c r="M45" s="79">
        <f>M44-L45</f>
        <v>256733.34299321042</v>
      </c>
      <c r="N45" s="126">
        <f>L45/M44</f>
        <v>0.11400235275399176</v>
      </c>
      <c r="O45" s="52"/>
      <c r="P45" s="80">
        <f>I45</f>
        <v>45170</v>
      </c>
      <c r="Q45" s="97">
        <f ca="1">S44*N45</f>
        <v>9450.9132108538161</v>
      </c>
      <c r="R45" s="98">
        <f ca="1">S44*$C$2/2</f>
        <v>2072.5259134011371</v>
      </c>
      <c r="S45" s="99">
        <f ca="1">IF(P45&lt;$A$4,(VLOOKUP(P45,$A$11:$B$52,2,0)*$S$12),(S44-(Q45+R45)))</f>
        <v>71377.597411790543</v>
      </c>
      <c r="U45" s="80">
        <f>P45</f>
        <v>45170</v>
      </c>
      <c r="V45" s="97">
        <f ca="1">IF(U45&lt;$A$4,0,(YEARFRAC($A$4,U45,1)))</f>
        <v>7.397672826830938</v>
      </c>
      <c r="W45" s="141">
        <f ca="1">V45*(S44-S45)</f>
        <v>85246.632481141321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45352</v>
      </c>
      <c r="F46" s="74">
        <f ca="1">MAX(IF(ISERROR(VLOOKUP(E46,$A$12:$B$52,2,0)),VLOOKUP(E46,$P$11:$S$52,4,0)/1000000,(VLOOKUP(E46,$A$12:$B$52,2,0))),0)</f>
        <v>6.0168750750425368E-2</v>
      </c>
      <c r="G46" s="128">
        <f ca="1">F46*1000000</f>
        <v>60168.750750425366</v>
      </c>
      <c r="I46" s="80">
        <f>E46</f>
        <v>45352</v>
      </c>
      <c r="J46" s="205">
        <f>$M$12*$N$7</f>
        <v>40611.599999999999</v>
      </c>
      <c r="K46" s="88">
        <f>($F$7/360)*($O$2/100)*M45</f>
        <v>6713.5769192724529</v>
      </c>
      <c r="L46" s="90">
        <f>J46-K46</f>
        <v>33898.023080727544</v>
      </c>
      <c r="M46" s="79">
        <f>M45-L46</f>
        <v>222835.31991248287</v>
      </c>
      <c r="N46" s="126">
        <f>L46/M45</f>
        <v>0.13203591978165458</v>
      </c>
      <c r="O46" s="52"/>
      <c r="P46" s="80">
        <f>I46</f>
        <v>45352</v>
      </c>
      <c r="Q46" s="97">
        <f ca="1">S45*N46</f>
        <v>9424.4067260704105</v>
      </c>
      <c r="R46" s="98">
        <f ca="1">S45*$C$2/2</f>
        <v>1784.4399352947637</v>
      </c>
      <c r="S46" s="99">
        <f ca="1">IF(P46&lt;$A$4,(VLOOKUP(P46,$A$11:$B$52,2,0)*$S$12),(S45-(Q46+R46)))</f>
        <v>60168.750750425366</v>
      </c>
      <c r="U46" s="80">
        <f>P46</f>
        <v>45352</v>
      </c>
      <c r="V46" s="97">
        <f ca="1">IF(U46&lt;$A$4,0,(YEARFRAC($A$4,U46,1)))</f>
        <v>7.8941605839416065</v>
      </c>
      <c r="W46" s="141">
        <f ca="1">V46*(S45-S46)</f>
        <v>88484.435505594447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45536</v>
      </c>
      <c r="F47" s="74">
        <f ca="1">MAX(IF(ISERROR(VLOOKUP(E47,$A$12:$B$52,2,0)),VLOOKUP(E47,$P$11:$S$52,4,0)/1000000,(VLOOKUP(E47,$A$12:$B$52,2,0))),0)</f>
        <v>4.9272226996093821E-2</v>
      </c>
      <c r="G47" s="128">
        <f ca="1">F47*1000000</f>
        <v>49272.226996093821</v>
      </c>
      <c r="I47" s="80">
        <f>E47</f>
        <v>45536</v>
      </c>
      <c r="J47" s="205">
        <f>$M$12*$N$7</f>
        <v>40611.599999999999</v>
      </c>
      <c r="K47" s="88">
        <f>($F$7/360)*($O$2/100)*M46</f>
        <v>5827.1436157114276</v>
      </c>
      <c r="L47" s="90">
        <f>J47-K47</f>
        <v>34784.456384288569</v>
      </c>
      <c r="M47" s="79">
        <f>M46-L47</f>
        <v>188050.86352819431</v>
      </c>
      <c r="N47" s="126">
        <f>L47/M46</f>
        <v>0.15609938495365069</v>
      </c>
      <c r="O47" s="52"/>
      <c r="P47" s="80">
        <f>I47</f>
        <v>45536</v>
      </c>
      <c r="Q47" s="97">
        <f ca="1">S46*N47</f>
        <v>9392.3049855709087</v>
      </c>
      <c r="R47" s="98">
        <f ca="1">S46*$C$2/2</f>
        <v>1504.2187687606342</v>
      </c>
      <c r="S47" s="99">
        <f ca="1">IF(P47&lt;$A$4,(VLOOKUP(P47,$A$11:$B$52,2,0)*$S$12),(S46-(Q47+R47)))</f>
        <v>49272.226996093821</v>
      </c>
      <c r="U47" s="80">
        <f>P47</f>
        <v>45536</v>
      </c>
      <c r="V47" s="97">
        <f ca="1">IF(U47&lt;$A$4,0,(YEARFRAC($A$4,U47,1)))</f>
        <v>8.397810218978103</v>
      </c>
      <c r="W47" s="141">
        <f ca="1">V47*(S46-S47)</f>
        <v>91506.938535463094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45717</v>
      </c>
      <c r="F48" s="74">
        <f ca="1">MAX(IF(ISERROR(VLOOKUP(E48,$A$12:$B$52,2,0)),VLOOKUP(E48,$P$11:$S$52,4,0)/1000000,(VLOOKUP(E48,$A$12:$B$52,2,0))),0)</f>
        <v>3.8688024408710379E-2</v>
      </c>
      <c r="G48" s="128">
        <f ca="1">F48*1000000</f>
        <v>38688.024408710378</v>
      </c>
      <c r="I48" s="80">
        <f>E48</f>
        <v>45717</v>
      </c>
      <c r="J48" s="205">
        <f>$M$12*$N$7</f>
        <v>40611.599999999999</v>
      </c>
      <c r="K48" s="88">
        <f>($F$7/360)*($O$2/100)*M47</f>
        <v>4917.5300812622818</v>
      </c>
      <c r="L48" s="90">
        <f>J48-K48</f>
        <v>35694.069918737718</v>
      </c>
      <c r="M48" s="79">
        <f>M47-L48</f>
        <v>152356.7936094566</v>
      </c>
      <c r="N48" s="126">
        <f>L48/M47</f>
        <v>0.18981072061594725</v>
      </c>
      <c r="O48" s="52"/>
      <c r="P48" s="80">
        <f>I48</f>
        <v>45717</v>
      </c>
      <c r="Q48" s="97">
        <f ca="1">S47*N48</f>
        <v>9352.3969124810974</v>
      </c>
      <c r="R48" s="98">
        <f ca="1">S47*$C$2/2</f>
        <v>1231.8056749023456</v>
      </c>
      <c r="S48" s="99">
        <f ca="1">IF(P48&lt;$A$4,(VLOOKUP(P48,$A$11:$B$52,2,0)*$S$12),(S47-(Q48+R48)))</f>
        <v>38688.024408710378</v>
      </c>
      <c r="U48" s="80">
        <f>P48</f>
        <v>45717</v>
      </c>
      <c r="V48" s="97">
        <f ca="1">IF(U48&lt;$A$4,0,(YEARFRAC($A$4,U48,1)))</f>
        <v>8.8940596769778253</v>
      </c>
      <c r="W48" s="141">
        <f ca="1">V48*(S47-S48)</f>
        <v>94136.529445411448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45901</v>
      </c>
      <c r="F49" s="74">
        <f ca="1">MAX(IF(ISERROR(VLOOKUP(E49,$A$12:$B$52,2,0)),VLOOKUP(E49,$P$11:$S$52,4,0)/1000000,(VLOOKUP(E49,$A$12:$B$52,2,0))),0)</f>
        <v>2.8419995040526128E-2</v>
      </c>
      <c r="G49" s="128">
        <f ca="1">F49*1000000</f>
        <v>28419.995040526126</v>
      </c>
      <c r="I49" s="80">
        <f>E49</f>
        <v>45901</v>
      </c>
      <c r="J49" s="205">
        <f>$M$12*$N$7</f>
        <v>40611.599999999999</v>
      </c>
      <c r="K49" s="88">
        <f>($F$7/360)*($O$2/100)*M48</f>
        <v>3984.1301528872905</v>
      </c>
      <c r="L49" s="90">
        <f>J49-K49</f>
        <v>36627.469847112705</v>
      </c>
      <c r="M49" s="79">
        <f>M48-L49</f>
        <v>115729.32376234389</v>
      </c>
      <c r="N49" s="126">
        <f>L49/M48</f>
        <v>0.24040588528662291</v>
      </c>
      <c r="O49" s="52"/>
      <c r="P49" s="80">
        <f>I49</f>
        <v>45901</v>
      </c>
      <c r="Q49" s="97">
        <f ca="1">S48*N49</f>
        <v>9300.8287579664939</v>
      </c>
      <c r="R49" s="98">
        <f ca="1">S48*$C$2/2</f>
        <v>967.2006102177595</v>
      </c>
      <c r="S49" s="99">
        <f ca="1">IF(P49&lt;$A$4,(VLOOKUP(P49,$A$11:$B$52,2,0)*$S$12),(S48-(Q49+R49)))</f>
        <v>28419.995040526126</v>
      </c>
      <c r="U49" s="80">
        <f>P49</f>
        <v>45901</v>
      </c>
      <c r="V49" s="97">
        <f ca="1">IF(U49&lt;$A$4,0,(YEARFRAC($A$4,U49,1)))</f>
        <v>9.3977552696413902</v>
      </c>
      <c r="W49" s="141">
        <f ca="1">V49*(S48-S49)</f>
        <v>96496.427103686117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46082</v>
      </c>
      <c r="F50" s="74">
        <f ca="1">MAX(IF(ISERROR(VLOOKUP(E50,$A$12:$B$52,2,0)),VLOOKUP(E50,$P$11:$S$52,4,0)/1000000,(VLOOKUP(E50,$A$12:$B$52,2,0))),0)</f>
        <v>1.8479566354346645E-2</v>
      </c>
      <c r="G50" s="128">
        <f ca="1">F50*1000000</f>
        <v>18479.566354346643</v>
      </c>
      <c r="I50" s="80">
        <f>E50</f>
        <v>46082</v>
      </c>
      <c r="J50" s="205">
        <f>$M$12*$N$7</f>
        <v>40611.599999999999</v>
      </c>
      <c r="K50" s="88">
        <f>($F$7/360)*($O$2/100)*M49</f>
        <v>3026.321816385293</v>
      </c>
      <c r="L50" s="90">
        <f>J50-K50</f>
        <v>37585.278183614704</v>
      </c>
      <c r="M50" s="79">
        <f>M49-L50</f>
        <v>78144.045578729187</v>
      </c>
      <c r="N50" s="126">
        <f>L50/M49</f>
        <v>0.32476883957948294</v>
      </c>
      <c r="O50" s="52"/>
      <c r="P50" s="80">
        <f>I50</f>
        <v>46082</v>
      </c>
      <c r="Q50" s="97">
        <f ca="1">S49*N50</f>
        <v>9229.9288101663296</v>
      </c>
      <c r="R50" s="98">
        <f ca="1">S49*$C$2/2</f>
        <v>710.4998760131532</v>
      </c>
      <c r="S50" s="99">
        <f ca="1">IF(P50&lt;$A$4,(VLOOKUP(P50,$A$11:$B$52,2,0)*$S$12),(S49-(Q50+R50)))</f>
        <v>18479.566354346643</v>
      </c>
      <c r="U50" s="80">
        <f>P50</f>
        <v>46082</v>
      </c>
      <c r="V50" s="97">
        <f ca="1">IF(U50&lt;$A$4,0,(YEARFRAC($A$4,U50,1)))</f>
        <v>9.8939771030363364</v>
      </c>
      <c r="W50" s="141">
        <f ca="1">V50*(S49-S50)</f>
        <v>98350.373815425366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46266</v>
      </c>
      <c r="F51" s="74">
        <f ca="1">MAX(IF(ISERROR(VLOOKUP(E51,$A$12:$B$52,2,0)),VLOOKUP(E51,$P$11:$S$52,4,0)/1000000,(VLOOKUP(E51,$A$12:$B$52,2,0))),0)</f>
        <v>8.8969542292172479E-3</v>
      </c>
      <c r="G51" s="128">
        <f ca="1">F51*1000000</f>
        <v>8896.9542292172482</v>
      </c>
      <c r="I51" s="80">
        <f>E51</f>
        <v>46266</v>
      </c>
      <c r="J51" s="205">
        <f>$M$12*$N$7</f>
        <v>40611.599999999999</v>
      </c>
      <c r="K51" s="88">
        <f>($F$7/360)*($O$2/100)*M50</f>
        <v>2043.4667918837686</v>
      </c>
      <c r="L51" s="90">
        <f>J51-K51</f>
        <v>38568.133208116233</v>
      </c>
      <c r="M51" s="79">
        <f>M50-L51</f>
        <v>39575.912370612954</v>
      </c>
      <c r="N51" s="126">
        <f>L51/M50</f>
        <v>0.49355178532776756</v>
      </c>
      <c r="O51" s="52"/>
      <c r="P51" s="80">
        <f>I51</f>
        <v>46266</v>
      </c>
      <c r="Q51" s="97">
        <f ca="1">S50*N51</f>
        <v>9120.6229662707301</v>
      </c>
      <c r="R51" s="98">
        <f ca="1">S50*$C$2/2</f>
        <v>461.98915885866609</v>
      </c>
      <c r="S51" s="99">
        <f ca="1">IF(P51&lt;$A$4,(VLOOKUP(P51,$A$11:$B$52,2,0)*$S$12),(S50-(Q51+R51)))</f>
        <v>8896.9542292172482</v>
      </c>
      <c r="U51" s="80">
        <f>P51</f>
        <v>46266</v>
      </c>
      <c r="V51" s="97">
        <f ca="1">IF(U51&lt;$A$4,0,(YEARFRAC($A$4,U51,1)))</f>
        <v>10.39771030363365</v>
      </c>
      <c r="W51" s="141">
        <f ca="1">V51*(S50-S51)</f>
        <v>99637.224829182655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46447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46447</v>
      </c>
      <c r="J52" s="206">
        <f>$M$12*$N$7</f>
        <v>40611.599999999999</v>
      </c>
      <c r="K52" s="89">
        <f>($F$7/360)*($O$2/100)*M51</f>
        <v>1034.9101084915289</v>
      </c>
      <c r="L52" s="91">
        <f>J52-K52</f>
        <v>39576.689891508468</v>
      </c>
      <c r="M52" s="85">
        <f>M51-L52</f>
        <v>-0.77752089551358949</v>
      </c>
      <c r="N52" s="127">
        <f>L52/M51</f>
        <v>1.0000196463163813</v>
      </c>
      <c r="O52" s="86"/>
      <c r="P52" s="84">
        <f>I52</f>
        <v>46447</v>
      </c>
      <c r="Q52" s="100">
        <f ca="1">S51*N52</f>
        <v>8897.1290215948648</v>
      </c>
      <c r="R52" s="98">
        <f ca="1">S51*$C$2/2</f>
        <v>222.42385573043123</v>
      </c>
      <c r="S52" s="102">
        <v>0</v>
      </c>
      <c r="U52" s="142">
        <f>P52</f>
        <v>46447</v>
      </c>
      <c r="V52" s="143">
        <f ca="1">IF(U52&lt;$A$4,0,(YEARFRAC($A$4,U52,1)))</f>
        <v>10.89390828199863</v>
      </c>
      <c r="W52" s="141">
        <f ca="1">V52*(S51-S52)</f>
        <v>96922.603362232519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71" priority="1" stopIfTrue="1">
      <formula>$D1="Actual"</formula>
    </cfRule>
  </conditionalFormatting>
  <conditionalFormatting sqref="A4">
    <cfRule type="expression" dxfId="70" priority="2" stopIfTrue="1">
      <formula>#REF!="Actual"</formula>
    </cfRule>
  </conditionalFormatting>
  <conditionalFormatting sqref="C6:C9">
    <cfRule type="cellIs" dxfId="69" priority="3" stopIfTrue="1" operator="equal">
      <formula>"PROB!!"</formula>
    </cfRule>
  </conditionalFormatting>
  <conditionalFormatting sqref="A7">
    <cfRule type="expression" dxfId="68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indexed="14"/>
  </sheetPr>
  <dimension ref="A1:W200"/>
  <sheetViews>
    <sheetView workbookViewId="0">
      <selection activeCell="E35" sqref="E35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7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20" customFormat="1" ht="11.25">
      <c r="A1" s="203" t="s">
        <v>17</v>
      </c>
      <c r="B1" s="120" t="s">
        <v>44</v>
      </c>
      <c r="C1" s="120" t="s">
        <v>68</v>
      </c>
      <c r="D1" s="120" t="s">
        <v>69</v>
      </c>
      <c r="E1" s="120" t="s">
        <v>34</v>
      </c>
      <c r="F1" s="120" t="s">
        <v>54</v>
      </c>
      <c r="G1" s="120" t="s">
        <v>65</v>
      </c>
      <c r="H1" s="120" t="s">
        <v>64</v>
      </c>
      <c r="I1" s="120" t="s">
        <v>74</v>
      </c>
      <c r="J1" s="120" t="s">
        <v>75</v>
      </c>
      <c r="K1" s="120" t="s">
        <v>77</v>
      </c>
      <c r="L1" s="120" t="s">
        <v>76</v>
      </c>
      <c r="M1" s="120" t="s">
        <v>48</v>
      </c>
      <c r="N1" s="120" t="s">
        <v>62</v>
      </c>
      <c r="O1" s="120" t="s">
        <v>94</v>
      </c>
      <c r="U1" s="130"/>
      <c r="V1" s="130"/>
      <c r="W1" s="130"/>
    </row>
    <row r="2" spans="1:23" s="52" customFormat="1" ht="12" thickBot="1">
      <c r="A2" s="52" t="s">
        <v>3</v>
      </c>
      <c r="B2" s="52" t="str">
        <f>MID(A2,3,9)</f>
        <v>83162CNU3</v>
      </c>
      <c r="C2" s="122">
        <v>0.05</v>
      </c>
      <c r="D2" s="52">
        <f>IF(ISERROR(VLOOKUP(A2,'Bond Position per Summit'!$C$42:$E$56,3,0)),0,VLOOKUP(A2,'Bond Position per Summit'!$C$42:$E$56,3,0))</f>
        <v>18007850.140000001</v>
      </c>
      <c r="E2" s="52">
        <f>IF(ISERROR(VLOOKUP(A2,'Bond Position per Summit'!$C$65:$E$73,3,0)),0,VLOOKUP(A2,'Bond Position per Summit'!$C$65:$E$73,3,0))</f>
        <v>0</v>
      </c>
      <c r="F2" s="52" t="str">
        <f>_xll.BDP($B2&amp;" Mtge Cusip",F$1)</f>
        <v>SBAP 2004-20F 1</v>
      </c>
      <c r="G2" s="52">
        <f>VLOOKUP(A2,'Bond Position per Summit'!$C$10:$D$32,2,0)</f>
        <v>33860000</v>
      </c>
      <c r="H2" s="52">
        <f>VLOOKUP(A2,'Bond Position per Summit'!$C$10:$E$32,3,0)</f>
        <v>18007850.140000001</v>
      </c>
      <c r="I2" s="52" t="str">
        <f>_xll.BDP($B2&amp;" Mtge Cusip",I$1)</f>
        <v>16/06/2004</v>
      </c>
      <c r="J2" s="52" t="str">
        <f>_xll.BDP($B2&amp;" Mtge Cusip",J$1)</f>
        <v>16/06/2004</v>
      </c>
      <c r="K2" s="52" t="str">
        <f>_xll.BDP($B2&amp;" Mtge Cusip",K$1)</f>
        <v>01/12/2004</v>
      </c>
      <c r="L2" s="52" t="str">
        <f>_xll.BDP($B2&amp;" Mtge Cusip",L$1)</f>
        <v>01/06/2024</v>
      </c>
      <c r="M2" s="52">
        <f>_xll.BDP($B2&amp;" Mtge Cusip",M$1)</f>
        <v>2</v>
      </c>
      <c r="N2" s="52" t="str">
        <f>_xll.BDP($B2&amp;" Mtge Cusip",N$1)</f>
        <v>30/360(104)</v>
      </c>
      <c r="O2" s="52">
        <f>_xll.BDP($B2&amp;" Mtge Cusip",O$1)</f>
        <v>5.52</v>
      </c>
      <c r="U2" s="67"/>
      <c r="V2" s="67"/>
      <c r="W2" s="67"/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33860000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0.11053874818500001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165</v>
      </c>
      <c r="I6" s="108" t="s">
        <v>81</v>
      </c>
      <c r="J6" s="118">
        <v>39300</v>
      </c>
      <c r="K6" s="113">
        <f>ROUND(J6/J5,8)</f>
        <v>3.9300000000000002E-2</v>
      </c>
      <c r="L6" s="108" t="s">
        <v>81</v>
      </c>
      <c r="M6" s="112">
        <v>1330700</v>
      </c>
      <c r="N6" s="123">
        <f>ROUND(M6/M5,8)</f>
        <v>3.9300059999999998E-2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41600</v>
      </c>
      <c r="K7" s="115">
        <f>ROUND(J7/J5,8)</f>
        <v>4.1599999999999998E-2</v>
      </c>
      <c r="L7" s="109" t="s">
        <v>82</v>
      </c>
      <c r="M7" s="114">
        <v>1408578</v>
      </c>
      <c r="N7" s="124">
        <f>ROUND(M7/M5,8)</f>
        <v>4.1600060000000001E-2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3.8191388183197983</v>
      </c>
    </row>
    <row r="12" spans="1:23">
      <c r="A12" s="49">
        <f>_xll.BDS($B2&amp;" Mtge Cusip",A11,"cols=2;rows=24")</f>
        <v>42339</v>
      </c>
      <c r="B12" s="50">
        <v>0.11053874800000001</v>
      </c>
      <c r="C12" s="52"/>
      <c r="D12" s="70" t="str">
        <f ca="1">IF(E12&lt;$A$4,"Actual","Model Num")</f>
        <v>Actual</v>
      </c>
      <c r="E12" s="71">
        <v>38154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38154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38154</v>
      </c>
      <c r="Q12" s="94"/>
      <c r="R12" s="95"/>
      <c r="S12" s="96">
        <f>M12</f>
        <v>1000000</v>
      </c>
      <c r="U12" s="139">
        <f>P12</f>
        <v>38154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42156</v>
      </c>
      <c r="B13" s="50">
        <v>0.13244198700000001</v>
      </c>
      <c r="C13" s="52"/>
      <c r="D13" s="70" t="str">
        <f ca="1">IF(E13&lt;$A$4,"Actual","Model Num")</f>
        <v>Actual</v>
      </c>
      <c r="E13" s="71">
        <v>38322</v>
      </c>
      <c r="F13" s="74">
        <f>MAX(IF(ISERROR(VLOOKUP(E13,$A$12:$B$52,2,0)),VLOOKUP(E13,$P$11:$S$52,4,0)/1000000,(VLOOKUP(E13,$A$12:$B$52,2,0))),0)</f>
        <v>0.98263350599999999</v>
      </c>
      <c r="G13" s="128">
        <f>F13*1000000</f>
        <v>982633.50599999994</v>
      </c>
      <c r="H13" s="64"/>
      <c r="I13" s="80">
        <f>E13</f>
        <v>38322</v>
      </c>
      <c r="J13" s="125">
        <f>$M$12*$N$6</f>
        <v>39300.06</v>
      </c>
      <c r="K13" s="88">
        <f>($F$6/360)*($O$2/100)*M12</f>
        <v>25300</v>
      </c>
      <c r="L13" s="90">
        <f>J13-K13</f>
        <v>14000.059999999998</v>
      </c>
      <c r="M13" s="79">
        <f>M12-L13</f>
        <v>985999.94</v>
      </c>
      <c r="N13" s="126">
        <f>L13/M12</f>
        <v>1.4000059999999998E-2</v>
      </c>
      <c r="O13" s="52"/>
      <c r="P13" s="80">
        <f>I13</f>
        <v>38322</v>
      </c>
      <c r="Q13" s="97">
        <f>S12*N13</f>
        <v>14000.059999999998</v>
      </c>
      <c r="R13" s="98">
        <f>S12*$C$2/2</f>
        <v>25000</v>
      </c>
      <c r="S13" s="99">
        <f ca="1">IF(P13&lt;$A$4,(VLOOKUP(P13,$A$11:$B$52,2,0)*$S$12),(S12-(Q13+R13)))</f>
        <v>982633.50599999994</v>
      </c>
      <c r="U13" s="80">
        <f>P13</f>
        <v>38322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41974</v>
      </c>
      <c r="B14" s="50">
        <v>0.15563342899999999</v>
      </c>
      <c r="C14" s="52"/>
      <c r="D14" s="70" t="str">
        <f ca="1">IF(E14&lt;$A$4,"Actual","Model Num")</f>
        <v>Actual</v>
      </c>
      <c r="E14" s="71">
        <f>DATE(YEAR(E13),MONTH(E13)+6,DAY(E13))</f>
        <v>38504</v>
      </c>
      <c r="F14" s="74">
        <f>MAX(IF(ISERROR(VLOOKUP(E14,$A$12:$B$52,2,0)),VLOOKUP(E14,$P$11:$S$52,4,0)/1000000,(VLOOKUP(E14,$A$12:$B$52,2,0))),0)</f>
        <v>0.94995136499999999</v>
      </c>
      <c r="G14" s="128">
        <f>F14*1000000</f>
        <v>949951.36499999999</v>
      </c>
      <c r="H14" s="64"/>
      <c r="I14" s="80">
        <f>E14</f>
        <v>38504</v>
      </c>
      <c r="J14" s="205">
        <f>$M$12*$N$7</f>
        <v>41600.06</v>
      </c>
      <c r="K14" s="88">
        <f>($F$7/360)*($O$2/100)*M13</f>
        <v>27213.598343999998</v>
      </c>
      <c r="L14" s="90">
        <f>J14-K14</f>
        <v>14386.461655999999</v>
      </c>
      <c r="M14" s="79">
        <f>M13-L14</f>
        <v>971613.47834399994</v>
      </c>
      <c r="N14" s="126">
        <f>L14/M13</f>
        <v>1.4590732790511124E-2</v>
      </c>
      <c r="O14" s="52"/>
      <c r="P14" s="80">
        <f>I14</f>
        <v>38504</v>
      </c>
      <c r="Q14" s="97">
        <f ca="1">S13*N14</f>
        <v>14337.342917049109</v>
      </c>
      <c r="R14" s="98">
        <f ca="1">S13*$C$2/2</f>
        <v>24565.837650000001</v>
      </c>
      <c r="S14" s="99">
        <f ca="1">IF(P14&lt;$A$4,(VLOOKUP(P14,$A$11:$B$52,2,0)*$S$12),(S13-(Q14+R14)))</f>
        <v>949951.36499999999</v>
      </c>
      <c r="U14" s="80">
        <f>P14</f>
        <v>38504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41791</v>
      </c>
      <c r="B15" s="50">
        <v>0.200420183</v>
      </c>
      <c r="C15" s="52"/>
      <c r="D15" s="70" t="str">
        <f ca="1">IF(E15&lt;$A$4,"Actual","Model Num")</f>
        <v>Actual</v>
      </c>
      <c r="E15" s="71">
        <f>DATE(YEAR(E14),MONTH(E14)+6,DAY(E14))</f>
        <v>38687</v>
      </c>
      <c r="F15" s="74">
        <f>MAX(IF(ISERROR(VLOOKUP(E15,$A$12:$B$52,2,0)),VLOOKUP(E15,$P$11:$S$52,4,0)/1000000,(VLOOKUP(E15,$A$12:$B$52,2,0))),0)</f>
        <v>0.91935280699999999</v>
      </c>
      <c r="G15" s="128">
        <f>F15*1000000</f>
        <v>919352.80700000003</v>
      </c>
      <c r="H15" s="64"/>
      <c r="I15" s="80">
        <f>E15</f>
        <v>38687</v>
      </c>
      <c r="J15" s="205">
        <f>$M$12*$N$7</f>
        <v>41600.06</v>
      </c>
      <c r="K15" s="88">
        <f>($F$7/360)*($O$2/100)*M14</f>
        <v>26816.5320022944</v>
      </c>
      <c r="L15" s="90">
        <f>J15-K15</f>
        <v>14783.527997705598</v>
      </c>
      <c r="M15" s="79">
        <f>M14-L15</f>
        <v>956829.95034629432</v>
      </c>
      <c r="N15" s="126">
        <f>L15/M14</f>
        <v>1.5215441456104921E-2</v>
      </c>
      <c r="O15" s="52"/>
      <c r="P15" s="80">
        <f>I15</f>
        <v>38687</v>
      </c>
      <c r="Q15" s="97">
        <f ca="1">S14*N15</f>
        <v>14453.929380304457</v>
      </c>
      <c r="R15" s="98">
        <f ca="1">S14*$C$2/2</f>
        <v>23748.784125000002</v>
      </c>
      <c r="S15" s="99">
        <f ca="1">IF(P15&lt;$A$4,(VLOOKUP(P15,$A$11:$B$52,2,0)*$S$12),(S14-(Q15+R15)))</f>
        <v>919352.80700000003</v>
      </c>
      <c r="U15" s="80">
        <f>P15</f>
        <v>38687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41609</v>
      </c>
      <c r="B16" s="50">
        <v>0.239759058</v>
      </c>
      <c r="C16" s="52"/>
      <c r="D16" s="70" t="str">
        <f ca="1">IF(E16&lt;$A$4,"Actual","Model Num")</f>
        <v>Actual</v>
      </c>
      <c r="E16" s="71">
        <f>DATE(YEAR(E15),MONTH(E15)+6,DAY(E15))</f>
        <v>38869</v>
      </c>
      <c r="F16" s="74">
        <f>MAX(IF(ISERROR(VLOOKUP(E16,$A$12:$B$52,2,0)),VLOOKUP(E16,$P$11:$S$52,4,0)/1000000,(VLOOKUP(E16,$A$12:$B$52,2,0))),0)</f>
        <v>0.88465035800000003</v>
      </c>
      <c r="G16" s="128">
        <f>F16*1000000</f>
        <v>884650.35800000001</v>
      </c>
      <c r="H16" s="64"/>
      <c r="I16" s="80">
        <f>E16</f>
        <v>38869</v>
      </c>
      <c r="J16" s="205">
        <f>$M$12*$N$7</f>
        <v>41600.06</v>
      </c>
      <c r="K16" s="88">
        <f>($F$7/360)*($O$2/100)*M15</f>
        <v>26408.506629557723</v>
      </c>
      <c r="L16" s="90">
        <f>J16-K16</f>
        <v>15191.553370442274</v>
      </c>
      <c r="M16" s="79">
        <f>M15-L16</f>
        <v>941638.39697585208</v>
      </c>
      <c r="N16" s="126">
        <f>L16/M15</f>
        <v>1.5876962635778879E-2</v>
      </c>
      <c r="O16" s="52"/>
      <c r="P16" s="80">
        <f>I16</f>
        <v>38869</v>
      </c>
      <c r="Q16" s="97">
        <f ca="1">S15*N16</f>
        <v>14596.530165837432</v>
      </c>
      <c r="R16" s="98">
        <f ca="1">S15*$C$2/2</f>
        <v>22983.820175000001</v>
      </c>
      <c r="S16" s="99">
        <f ca="1">IF(P16&lt;$A$4,(VLOOKUP(P16,$A$11:$B$52,2,0)*$S$12),(S15-(Q16+R16)))</f>
        <v>884650.35800000001</v>
      </c>
      <c r="U16" s="80">
        <f>P16</f>
        <v>38869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41426</v>
      </c>
      <c r="B17" s="50">
        <v>0.288544619</v>
      </c>
      <c r="C17" s="52"/>
      <c r="D17" s="70" t="str">
        <f ca="1">IF(E17&lt;$A$4,"Actual","Model Num")</f>
        <v>Actual</v>
      </c>
      <c r="E17" s="71">
        <f>DATE(YEAR(E16),MONTH(E16)+6,DAY(E16))</f>
        <v>39052</v>
      </c>
      <c r="F17" s="74">
        <f>MAX(IF(ISERROR(VLOOKUP(E17,$A$12:$B$52,2,0)),VLOOKUP(E17,$P$11:$S$52,4,0)/1000000,(VLOOKUP(E17,$A$12:$B$52,2,0))),0)</f>
        <v>0.83757289300000004</v>
      </c>
      <c r="G17" s="128">
        <f>F17*1000000</f>
        <v>837572.89300000004</v>
      </c>
      <c r="H17" s="64"/>
      <c r="I17" s="80">
        <f>E17</f>
        <v>39052</v>
      </c>
      <c r="J17" s="205">
        <f>$M$12*$N$7</f>
        <v>41600.06</v>
      </c>
      <c r="K17" s="88">
        <f>($F$7/360)*($O$2/100)*M16</f>
        <v>25989.219756533515</v>
      </c>
      <c r="L17" s="90">
        <f>J17-K17</f>
        <v>15610.840243466482</v>
      </c>
      <c r="M17" s="79">
        <f>M16-L17</f>
        <v>926027.55673238565</v>
      </c>
      <c r="N17" s="126">
        <f>L17/M16</f>
        <v>1.6578381142487348E-2</v>
      </c>
      <c r="O17" s="52"/>
      <c r="P17" s="80">
        <f>I17</f>
        <v>39052</v>
      </c>
      <c r="Q17" s="97">
        <f ca="1">S16*N17</f>
        <v>14666.070812761882</v>
      </c>
      <c r="R17" s="98">
        <f ca="1">S16*$C$2/2</f>
        <v>22116.258950000003</v>
      </c>
      <c r="S17" s="99">
        <f ca="1">IF(P17&lt;$A$4,(VLOOKUP(P17,$A$11:$B$52,2,0)*$S$12),(S16-(Q17+R17)))</f>
        <v>837572.89300000004</v>
      </c>
      <c r="U17" s="80">
        <f>P17</f>
        <v>39052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41244</v>
      </c>
      <c r="B18" s="50">
        <v>0.345626453</v>
      </c>
      <c r="C18" s="52"/>
      <c r="D18" s="70" t="str">
        <f ca="1">IF(E18&lt;$A$4,"Actual","Model Num")</f>
        <v>Actual</v>
      </c>
      <c r="E18" s="71">
        <f>DATE(YEAR(E17),MONTH(E17)+6,DAY(E17))</f>
        <v>39234</v>
      </c>
      <c r="F18" s="74">
        <f>MAX(IF(ISERROR(VLOOKUP(E18,$A$12:$B$52,2,0)),VLOOKUP(E18,$P$11:$S$52,4,0)/1000000,(VLOOKUP(E18,$A$12:$B$52,2,0))),0)</f>
        <v>0.79774920199999999</v>
      </c>
      <c r="G18" s="128">
        <f>F18*1000000</f>
        <v>797749.20200000005</v>
      </c>
      <c r="H18" s="64"/>
      <c r="I18" s="80">
        <f>E18</f>
        <v>39234</v>
      </c>
      <c r="J18" s="205">
        <f>$M$12*$N$7</f>
        <v>41600.06</v>
      </c>
      <c r="K18" s="88">
        <f>($F$7/360)*($O$2/100)*M17</f>
        <v>25558.360565813844</v>
      </c>
      <c r="L18" s="90">
        <f>J18-K18</f>
        <v>16041.699434186154</v>
      </c>
      <c r="M18" s="79">
        <f>M17-L18</f>
        <v>909985.85729819955</v>
      </c>
      <c r="N18" s="126">
        <f>L18/M17</f>
        <v>1.7323133979718137E-2</v>
      </c>
      <c r="O18" s="52"/>
      <c r="P18" s="80">
        <f>I18</f>
        <v>39234</v>
      </c>
      <c r="Q18" s="97">
        <f ca="1">S17*N18</f>
        <v>14509.387443219124</v>
      </c>
      <c r="R18" s="98">
        <f ca="1">S17*$C$2/2</f>
        <v>20939.322325000001</v>
      </c>
      <c r="S18" s="99">
        <f ca="1">IF(P18&lt;$A$4,(VLOOKUP(P18,$A$11:$B$52,2,0)*$S$12),(S17-(Q18+R18)))</f>
        <v>797749.20200000005</v>
      </c>
      <c r="U18" s="80">
        <f>P18</f>
        <v>39234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41061</v>
      </c>
      <c r="B19" s="50">
        <v>0.38945426700000002</v>
      </c>
      <c r="C19" s="52"/>
      <c r="D19" s="70" t="str">
        <f ca="1">IF(E19&lt;$A$4,"Actual","Model Num")</f>
        <v>Actual</v>
      </c>
      <c r="E19" s="71">
        <f>DATE(YEAR(E18),MONTH(E18)+6,DAY(E18))</f>
        <v>39417</v>
      </c>
      <c r="F19" s="74">
        <f>MAX(IF(ISERROR(VLOOKUP(E19,$A$12:$B$52,2,0)),VLOOKUP(E19,$P$11:$S$52,4,0)/1000000,(VLOOKUP(E19,$A$12:$B$52,2,0))),0)</f>
        <v>0.75385541</v>
      </c>
      <c r="G19" s="128">
        <f>F19*1000000</f>
        <v>753855.41</v>
      </c>
      <c r="H19" s="64"/>
      <c r="I19" s="80">
        <f>E19</f>
        <v>39417</v>
      </c>
      <c r="J19" s="205">
        <f>$M$12*$N$7</f>
        <v>41600.06</v>
      </c>
      <c r="K19" s="88">
        <f>($F$7/360)*($O$2/100)*M18</f>
        <v>25115.609661430306</v>
      </c>
      <c r="L19" s="90">
        <f>J19-K19</f>
        <v>16484.450338569692</v>
      </c>
      <c r="M19" s="79">
        <f>M18-L19</f>
        <v>893501.40695962985</v>
      </c>
      <c r="N19" s="126">
        <f>L19/M18</f>
        <v>1.8115062125814763E-2</v>
      </c>
      <c r="O19" s="52"/>
      <c r="P19" s="80">
        <f>I19</f>
        <v>39417</v>
      </c>
      <c r="Q19" s="97">
        <f ca="1">S18*N19</f>
        <v>14451.276355049151</v>
      </c>
      <c r="R19" s="98">
        <f ca="1">S18*$C$2/2</f>
        <v>19943.730050000002</v>
      </c>
      <c r="S19" s="99">
        <f ca="1">IF(P19&lt;$A$4,(VLOOKUP(P19,$A$11:$B$52,2,0)*$S$12),(S18-(Q19+R19)))</f>
        <v>753855.41</v>
      </c>
      <c r="U19" s="80">
        <f>P19</f>
        <v>39417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40878</v>
      </c>
      <c r="B20" s="50">
        <v>0.443759921</v>
      </c>
      <c r="C20" s="52"/>
      <c r="D20" s="70" t="str">
        <f ca="1">IF(E20&lt;$A$4,"Actual","Model Num")</f>
        <v>Actual</v>
      </c>
      <c r="E20" s="71">
        <f>DATE(YEAR(E19),MONTH(E19)+6,DAY(E19))</f>
        <v>39600</v>
      </c>
      <c r="F20" s="74">
        <f>MAX(IF(ISERROR(VLOOKUP(E20,$A$12:$B$52,2,0)),VLOOKUP(E20,$P$11:$S$52,4,0)/1000000,(VLOOKUP(E20,$A$12:$B$52,2,0))),0)</f>
        <v>0.70924791600000003</v>
      </c>
      <c r="G20" s="128">
        <f>F20*1000000</f>
        <v>709247.91600000008</v>
      </c>
      <c r="H20" s="64"/>
      <c r="I20" s="80">
        <f>E20</f>
        <v>39600</v>
      </c>
      <c r="J20" s="205">
        <f>$M$12*$N$7</f>
        <v>41600.06</v>
      </c>
      <c r="K20" s="88">
        <f>($F$7/360)*($O$2/100)*M19</f>
        <v>24660.638832085784</v>
      </c>
      <c r="L20" s="90">
        <f>J20-K20</f>
        <v>16939.421167914214</v>
      </c>
      <c r="M20" s="79">
        <f>M19-L20</f>
        <v>876561.98579171568</v>
      </c>
      <c r="N20" s="126">
        <f>L20/M19</f>
        <v>1.8958471733754718E-2</v>
      </c>
      <c r="O20" s="52"/>
      <c r="P20" s="80">
        <f>I20</f>
        <v>39600</v>
      </c>
      <c r="Q20" s="97">
        <f ca="1">S19*N20</f>
        <v>14291.946481823074</v>
      </c>
      <c r="R20" s="98">
        <f ca="1">S19*$C$2/2</f>
        <v>18846.385250000003</v>
      </c>
      <c r="S20" s="99">
        <f ca="1">IF(P20&lt;$A$4,(VLOOKUP(P20,$A$11:$B$52,2,0)*$S$12),(S19-(Q20+R20)))</f>
        <v>709247.91600000008</v>
      </c>
      <c r="U20" s="80">
        <f>P20</f>
        <v>39600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40695</v>
      </c>
      <c r="B21" s="50">
        <v>0.47967219700000002</v>
      </c>
      <c r="C21" s="52"/>
      <c r="D21" s="70" t="str">
        <f ca="1">IF(E21&lt;$A$4,"Actual","Model Num")</f>
        <v>Actual</v>
      </c>
      <c r="E21" s="71">
        <f>DATE(YEAR(E20),MONTH(E20)+6,DAY(E20))</f>
        <v>39783</v>
      </c>
      <c r="F21" s="74">
        <f>MAX(IF(ISERROR(VLOOKUP(E21,$A$12:$B$52,2,0)),VLOOKUP(E21,$P$11:$S$52,4,0)/1000000,(VLOOKUP(E21,$A$12:$B$52,2,0))),0)</f>
        <v>0.684067066</v>
      </c>
      <c r="G21" s="128">
        <f>F21*1000000</f>
        <v>684067.06599999999</v>
      </c>
      <c r="H21" s="64"/>
      <c r="I21" s="80">
        <f>E21</f>
        <v>39783</v>
      </c>
      <c r="J21" s="205">
        <f>$M$12*$N$7</f>
        <v>41600.06</v>
      </c>
      <c r="K21" s="88">
        <f>($F$7/360)*($O$2/100)*M20</f>
        <v>24193.110807851353</v>
      </c>
      <c r="L21" s="90">
        <f>J21-K21</f>
        <v>17406.949192148644</v>
      </c>
      <c r="M21" s="79">
        <f>M20-L21</f>
        <v>859155.03659956704</v>
      </c>
      <c r="N21" s="126">
        <f>L21/M20</f>
        <v>1.9858206806021357E-2</v>
      </c>
      <c r="O21" s="52"/>
      <c r="P21" s="80">
        <f>I21</f>
        <v>39783</v>
      </c>
      <c r="Q21" s="97">
        <f ca="1">S20*N21</f>
        <v>14084.391792667666</v>
      </c>
      <c r="R21" s="98">
        <f ca="1">S20*$C$2/2</f>
        <v>17731.197900000003</v>
      </c>
      <c r="S21" s="99">
        <f ca="1">IF(P21&lt;$A$4,(VLOOKUP(P21,$A$11:$B$52,2,0)*$S$12),(S20-(Q21+R21)))</f>
        <v>684067.06599999999</v>
      </c>
      <c r="U21" s="80">
        <f>P21</f>
        <v>39783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40513</v>
      </c>
      <c r="B22" s="50">
        <v>0.53183255299999999</v>
      </c>
      <c r="C22" s="52"/>
      <c r="D22" s="70" t="str">
        <f ca="1">IF(E22&lt;$A$4,"Actual","Model Num")</f>
        <v>Actual</v>
      </c>
      <c r="E22" s="71">
        <f>DATE(YEAR(E21),MONTH(E21)+6,DAY(E21))</f>
        <v>39965</v>
      </c>
      <c r="F22" s="74">
        <f>MAX(IF(ISERROR(VLOOKUP(E22,$A$12:$B$52,2,0)),VLOOKUP(E22,$P$11:$S$52,4,0)/1000000,(VLOOKUP(E22,$A$12:$B$52,2,0))),0)</f>
        <v>0.65494486699999999</v>
      </c>
      <c r="G22" s="128">
        <f>F22*1000000</f>
        <v>654944.86699999997</v>
      </c>
      <c r="H22" s="64"/>
      <c r="I22" s="80">
        <f>E22</f>
        <v>39965</v>
      </c>
      <c r="J22" s="205">
        <f>$M$12*$N$7</f>
        <v>41600.06</v>
      </c>
      <c r="K22" s="88">
        <f>($F$7/360)*($O$2/100)*M21</f>
        <v>23712.679010148051</v>
      </c>
      <c r="L22" s="90">
        <f>J22-K22</f>
        <v>17887.380989851947</v>
      </c>
      <c r="M22" s="79">
        <f>M21-L22</f>
        <v>841267.65560971515</v>
      </c>
      <c r="N22" s="126">
        <f>L22/M21</f>
        <v>2.0819735935725947E-2</v>
      </c>
      <c r="O22" s="52"/>
      <c r="P22" s="80">
        <f>I22</f>
        <v>39965</v>
      </c>
      <c r="Q22" s="97">
        <f ca="1">S21*N22</f>
        <v>14242.095676446814</v>
      </c>
      <c r="R22" s="98">
        <f ca="1">S21*$C$2/2</f>
        <v>17101.676650000001</v>
      </c>
      <c r="S22" s="99">
        <f ca="1">IF(P22&lt;$A$4,(VLOOKUP(P22,$A$11:$B$52,2,0)*$S$12),(S21-(Q22+R22)))</f>
        <v>654944.86699999997</v>
      </c>
      <c r="U22" s="80">
        <f>P22</f>
        <v>39965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40330</v>
      </c>
      <c r="B23" s="50">
        <v>0.57728991699999999</v>
      </c>
      <c r="C23" s="52"/>
      <c r="D23" s="70" t="str">
        <f ca="1">IF(E23&lt;$A$4,"Actual","Model Num")</f>
        <v>Actual</v>
      </c>
      <c r="E23" s="71">
        <f>DATE(YEAR(E22),MONTH(E22)+6,DAY(E22))</f>
        <v>40148</v>
      </c>
      <c r="F23" s="74">
        <f>MAX(IF(ISERROR(VLOOKUP(E23,$A$12:$B$52,2,0)),VLOOKUP(E23,$P$11:$S$52,4,0)/1000000,(VLOOKUP(E23,$A$12:$B$52,2,0))),0)</f>
        <v>0.60967918200000004</v>
      </c>
      <c r="G23" s="128">
        <f>F23*1000000</f>
        <v>609679.18200000003</v>
      </c>
      <c r="H23" s="64"/>
      <c r="I23" s="80">
        <f>E23</f>
        <v>40148</v>
      </c>
      <c r="J23" s="205">
        <f>$M$12*$N$7</f>
        <v>41600.06</v>
      </c>
      <c r="K23" s="88">
        <f>($F$7/360)*($O$2/100)*M22</f>
        <v>23218.987294828137</v>
      </c>
      <c r="L23" s="90">
        <f>J23-K23</f>
        <v>18381.07270517186</v>
      </c>
      <c r="M23" s="79">
        <f>M22-L23</f>
        <v>822886.58290454326</v>
      </c>
      <c r="N23" s="126">
        <f>L23/M22</f>
        <v>2.1849256396110982E-2</v>
      </c>
      <c r="O23" s="52"/>
      <c r="P23" s="80">
        <f>I23</f>
        <v>40148</v>
      </c>
      <c r="Q23" s="97">
        <f ca="1">S22*N23</f>
        <v>14310.058324399806</v>
      </c>
      <c r="R23" s="98">
        <f ca="1">S22*$C$2/2</f>
        <v>16373.621675</v>
      </c>
      <c r="S23" s="99">
        <f ca="1">IF(P23&lt;$A$4,(VLOOKUP(P23,$A$11:$B$52,2,0)*$S$12),(S22-(Q23+R23)))</f>
        <v>609679.18200000003</v>
      </c>
      <c r="U23" s="80">
        <f>P23</f>
        <v>40148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40148</v>
      </c>
      <c r="B24" s="50">
        <v>0.60967918200000004</v>
      </c>
      <c r="C24" s="52"/>
      <c r="D24" s="70" t="str">
        <f ca="1">IF(E24&lt;$A$4,"Actual","Model Num")</f>
        <v>Actual</v>
      </c>
      <c r="E24" s="71">
        <f>DATE(YEAR(E23),MONTH(E23)+6,DAY(E23))</f>
        <v>40330</v>
      </c>
      <c r="F24" s="74">
        <f>MAX(IF(ISERROR(VLOOKUP(E24,$A$12:$B$52,2,0)),VLOOKUP(E24,$P$11:$S$52,4,0)/1000000,(VLOOKUP(E24,$A$12:$B$52,2,0))),0)</f>
        <v>0.57728991699999999</v>
      </c>
      <c r="G24" s="128">
        <f>F24*1000000</f>
        <v>577289.91700000002</v>
      </c>
      <c r="H24" s="64"/>
      <c r="I24" s="80">
        <f>E24</f>
        <v>40330</v>
      </c>
      <c r="J24" s="205">
        <f>$M$12*$N$7</f>
        <v>41600.06</v>
      </c>
      <c r="K24" s="88">
        <f>($F$7/360)*($O$2/100)*M23</f>
        <v>22711.669688165395</v>
      </c>
      <c r="L24" s="90">
        <f>J24-K24</f>
        <v>18888.390311834602</v>
      </c>
      <c r="M24" s="79">
        <f>M23-L24</f>
        <v>803998.19259270863</v>
      </c>
      <c r="N24" s="126">
        <f>L24/M23</f>
        <v>2.2953819765980678E-2</v>
      </c>
      <c r="O24" s="52"/>
      <c r="P24" s="80">
        <f>I24</f>
        <v>40330</v>
      </c>
      <c r="Q24" s="97">
        <f ca="1">S23*N24</f>
        <v>13994.466058698532</v>
      </c>
      <c r="R24" s="98">
        <f ca="1">S23*$C$2/2</f>
        <v>15241.979550000002</v>
      </c>
      <c r="S24" s="99">
        <f ca="1">IF(P24&lt;$A$4,(VLOOKUP(P24,$A$11:$B$52,2,0)*$S$12),(S23-(Q24+R24)))</f>
        <v>577289.91700000002</v>
      </c>
      <c r="U24" s="80">
        <f>P24</f>
        <v>40330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39965</v>
      </c>
      <c r="B25" s="50">
        <v>0.65494486699999999</v>
      </c>
      <c r="C25" s="52"/>
      <c r="D25" s="70" t="str">
        <f ca="1">IF(E25&lt;$A$4,"Actual","Model Num")</f>
        <v>Actual</v>
      </c>
      <c r="E25" s="71">
        <f>DATE(YEAR(E24),MONTH(E24)+6,DAY(E24))</f>
        <v>40513</v>
      </c>
      <c r="F25" s="74">
        <f>MAX(IF(ISERROR(VLOOKUP(E25,$A$12:$B$52,2,0)),VLOOKUP(E25,$P$11:$S$52,4,0)/1000000,(VLOOKUP(E25,$A$12:$B$52,2,0))),0)</f>
        <v>0.53183255299999999</v>
      </c>
      <c r="G25" s="128">
        <f>F25*1000000</f>
        <v>531832.55299999996</v>
      </c>
      <c r="H25" s="64"/>
      <c r="I25" s="80">
        <f>E25</f>
        <v>40513</v>
      </c>
      <c r="J25" s="205">
        <f>$M$12*$N$7</f>
        <v>41600.06</v>
      </c>
      <c r="K25" s="88">
        <f>($F$7/360)*($O$2/100)*M24</f>
        <v>22190.350115558758</v>
      </c>
      <c r="L25" s="90">
        <f>J25-K25</f>
        <v>19409.709884441239</v>
      </c>
      <c r="M25" s="79">
        <f>M24-L25</f>
        <v>784588.4827082674</v>
      </c>
      <c r="N25" s="126">
        <f>L25/M24</f>
        <v>2.4141484475045154E-2</v>
      </c>
      <c r="O25" s="52"/>
      <c r="P25" s="80">
        <f>I25</f>
        <v>40513</v>
      </c>
      <c r="Q25" s="97">
        <f ca="1">S24*N25</f>
        <v>13936.635568855605</v>
      </c>
      <c r="R25" s="98">
        <f ca="1">S24*$C$2/2</f>
        <v>14432.247925000001</v>
      </c>
      <c r="S25" s="99">
        <f ca="1">IF(P25&lt;$A$4,(VLOOKUP(P25,$A$11:$B$52,2,0)*$S$12),(S24-(Q25+R25)))</f>
        <v>531832.55299999996</v>
      </c>
      <c r="U25" s="80">
        <f>P25</f>
        <v>40513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39783</v>
      </c>
      <c r="B26" s="50">
        <v>0.684067066</v>
      </c>
      <c r="C26" s="52"/>
      <c r="D26" s="70" t="str">
        <f ca="1">IF(E26&lt;$A$4,"Actual","Model Num")</f>
        <v>Actual</v>
      </c>
      <c r="E26" s="71">
        <f>DATE(YEAR(E25),MONTH(E25)+6,DAY(E25))</f>
        <v>40695</v>
      </c>
      <c r="F26" s="74">
        <f>MAX(IF(ISERROR(VLOOKUP(E26,$A$12:$B$52,2,0)),VLOOKUP(E26,$P$11:$S$52,4,0)/1000000,(VLOOKUP(E26,$A$12:$B$52,2,0))),0)</f>
        <v>0.47967219700000002</v>
      </c>
      <c r="G26" s="128">
        <f>F26*1000000</f>
        <v>479672.19700000004</v>
      </c>
      <c r="H26" s="64"/>
      <c r="I26" s="80">
        <f>E26</f>
        <v>40695</v>
      </c>
      <c r="J26" s="205">
        <f>$M$12*$N$7</f>
        <v>41600.06</v>
      </c>
      <c r="K26" s="88">
        <f>($F$7/360)*($O$2/100)*M25</f>
        <v>21654.642122748181</v>
      </c>
      <c r="L26" s="90">
        <f>J26-K26</f>
        <v>19945.417877251817</v>
      </c>
      <c r="M26" s="79">
        <f>M25-L26</f>
        <v>764643.06483101554</v>
      </c>
      <c r="N26" s="126">
        <f>L26/M25</f>
        <v>2.542150224841893E-2</v>
      </c>
      <c r="O26" s="52"/>
      <c r="P26" s="80">
        <f>I26</f>
        <v>40695</v>
      </c>
      <c r="Q26" s="97">
        <f ca="1">S25*N26</f>
        <v>13519.982441871878</v>
      </c>
      <c r="R26" s="98">
        <f ca="1">S25*$C$2/2</f>
        <v>13295.813824999999</v>
      </c>
      <c r="S26" s="99">
        <f ca="1">IF(P26&lt;$A$4,(VLOOKUP(P26,$A$11:$B$52,2,0)*$S$12),(S25-(Q26+R26)))</f>
        <v>479672.19700000004</v>
      </c>
      <c r="U26" s="80">
        <f>P26</f>
        <v>40695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39600</v>
      </c>
      <c r="B27" s="50">
        <v>0.70924791600000003</v>
      </c>
      <c r="C27" s="52"/>
      <c r="D27" s="70" t="str">
        <f ca="1">IF(E27&lt;$A$4,"Actual","Model Num")</f>
        <v>Actual</v>
      </c>
      <c r="E27" s="71">
        <f>DATE(YEAR(E26),MONTH(E26)+6,DAY(E26))</f>
        <v>40878</v>
      </c>
      <c r="F27" s="74">
        <f>MAX(IF(ISERROR(VLOOKUP(E27,$A$12:$B$52,2,0)),VLOOKUP(E27,$P$11:$S$52,4,0)/1000000,(VLOOKUP(E27,$A$12:$B$52,2,0))),0)</f>
        <v>0.443759921</v>
      </c>
      <c r="G27" s="128">
        <f>F27*1000000</f>
        <v>443759.92099999997</v>
      </c>
      <c r="H27" s="64"/>
      <c r="I27" s="80">
        <f>E27</f>
        <v>40878</v>
      </c>
      <c r="J27" s="205">
        <f>$M$12*$N$7</f>
        <v>41600.06</v>
      </c>
      <c r="K27" s="88">
        <f>($F$7/360)*($O$2/100)*M26</f>
        <v>21104.14858933603</v>
      </c>
      <c r="L27" s="90">
        <f>J27-K27</f>
        <v>20495.911410663968</v>
      </c>
      <c r="M27" s="79">
        <f>M26-L27</f>
        <v>744147.15342035156</v>
      </c>
      <c r="N27" s="126">
        <f>L27/M26</f>
        <v>2.6804547576971118E-2</v>
      </c>
      <c r="O27" s="52"/>
      <c r="P27" s="80">
        <f>I27</f>
        <v>40878</v>
      </c>
      <c r="Q27" s="97">
        <f ca="1">S26*N27</f>
        <v>12857.396225836765</v>
      </c>
      <c r="R27" s="98">
        <f ca="1">S26*$C$2/2</f>
        <v>11991.804925000002</v>
      </c>
      <c r="S27" s="99">
        <f ca="1">IF(P27&lt;$A$4,(VLOOKUP(P27,$A$11:$B$52,2,0)*$S$12),(S26-(Q27+R27)))</f>
        <v>443759.92099999997</v>
      </c>
      <c r="U27" s="80">
        <f>P27</f>
        <v>40878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39417</v>
      </c>
      <c r="B28" s="50">
        <v>0.75385541</v>
      </c>
      <c r="C28" s="52"/>
      <c r="D28" s="70" t="str">
        <f ca="1">IF(E28&lt;$A$4,"Actual","Model Num")</f>
        <v>Actual</v>
      </c>
      <c r="E28" s="71">
        <f>DATE(YEAR(E27),MONTH(E27)+6,DAY(E27))</f>
        <v>41061</v>
      </c>
      <c r="F28" s="74">
        <f>MAX(IF(ISERROR(VLOOKUP(E28,$A$12:$B$52,2,0)),VLOOKUP(E28,$P$11:$S$52,4,0)/1000000,(VLOOKUP(E28,$A$12:$B$52,2,0))),0)</f>
        <v>0.38945426700000002</v>
      </c>
      <c r="G28" s="128">
        <f>F28*1000000</f>
        <v>389454.26699999999</v>
      </c>
      <c r="H28" s="64"/>
      <c r="I28" s="80">
        <f>E28</f>
        <v>41061</v>
      </c>
      <c r="J28" s="205">
        <f>$M$12*$N$7</f>
        <v>41600.06</v>
      </c>
      <c r="K28" s="88">
        <f>($F$7/360)*($O$2/100)*M27</f>
        <v>20538.461434401703</v>
      </c>
      <c r="L28" s="90">
        <f>J28-K28</f>
        <v>21061.598565598295</v>
      </c>
      <c r="M28" s="79">
        <f>M27-L28</f>
        <v>723085.55485475331</v>
      </c>
      <c r="N28" s="126">
        <f>L28/M27</f>
        <v>2.830300226076533E-2</v>
      </c>
      <c r="O28" s="52"/>
      <c r="P28" s="80">
        <f>I28</f>
        <v>41061</v>
      </c>
      <c r="Q28" s="97">
        <f ca="1">S27*N28</f>
        <v>12559.738047300043</v>
      </c>
      <c r="R28" s="98">
        <f ca="1">S27*$C$2/2</f>
        <v>11093.998025000001</v>
      </c>
      <c r="S28" s="99">
        <f ca="1">IF(P28&lt;$A$4,(VLOOKUP(P28,$A$11:$B$52,2,0)*$S$12),(S27-(Q28+R28)))</f>
        <v>389454.26699999999</v>
      </c>
      <c r="U28" s="80">
        <f>P28</f>
        <v>41061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39234</v>
      </c>
      <c r="B29" s="50">
        <v>0.79774920199999999</v>
      </c>
      <c r="C29" s="52"/>
      <c r="D29" s="70" t="str">
        <f ca="1">IF(E29&lt;$A$4,"Actual","Model Num")</f>
        <v>Actual</v>
      </c>
      <c r="E29" s="71">
        <f>DATE(YEAR(E28),MONTH(E28)+6,DAY(E28))</f>
        <v>41244</v>
      </c>
      <c r="F29" s="74">
        <f>MAX(IF(ISERROR(VLOOKUP(E29,$A$12:$B$52,2,0)),VLOOKUP(E29,$P$11:$S$52,4,0)/1000000,(VLOOKUP(E29,$A$12:$B$52,2,0))),0)</f>
        <v>0.345626453</v>
      </c>
      <c r="G29" s="128">
        <f>F29*1000000</f>
        <v>345626.45299999998</v>
      </c>
      <c r="H29" s="64"/>
      <c r="I29" s="80">
        <f>E29</f>
        <v>41244</v>
      </c>
      <c r="J29" s="205">
        <f>$M$12*$N$7</f>
        <v>41600.06</v>
      </c>
      <c r="K29" s="88">
        <f>($F$7/360)*($O$2/100)*M28</f>
        <v>19957.16131399119</v>
      </c>
      <c r="L29" s="90">
        <f>J29-K29</f>
        <v>21642.898686008808</v>
      </c>
      <c r="M29" s="79">
        <f>M28-L29</f>
        <v>701442.65616874455</v>
      </c>
      <c r="N29" s="126">
        <f>L29/M28</f>
        <v>2.9931311088569917E-2</v>
      </c>
      <c r="O29" s="52"/>
      <c r="P29" s="80">
        <f>I29</f>
        <v>41244</v>
      </c>
      <c r="Q29" s="97">
        <f ca="1">S28*N29</f>
        <v>11656.876820347969</v>
      </c>
      <c r="R29" s="98">
        <f ca="1">S28*$C$2/2</f>
        <v>9736.3566750000009</v>
      </c>
      <c r="S29" s="99">
        <f ca="1">IF(P29&lt;$A$4,(VLOOKUP(P29,$A$11:$B$52,2,0)*$S$12),(S28-(Q29+R29)))</f>
        <v>345626.45299999998</v>
      </c>
      <c r="U29" s="80">
        <f>P29</f>
        <v>41244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39052</v>
      </c>
      <c r="B30" s="50">
        <v>0.83757289300000004</v>
      </c>
      <c r="C30" s="52"/>
      <c r="D30" s="70" t="str">
        <f ca="1">IF(E30&lt;$A$4,"Actual","Model Num")</f>
        <v>Actual</v>
      </c>
      <c r="E30" s="71">
        <f>DATE(YEAR(E29),MONTH(E29)+6,DAY(E29))</f>
        <v>41426</v>
      </c>
      <c r="F30" s="74">
        <f>MAX(IF(ISERROR(VLOOKUP(E30,$A$12:$B$52,2,0)),VLOOKUP(E30,$P$11:$S$52,4,0)/1000000,(VLOOKUP(E30,$A$12:$B$52,2,0))),0)</f>
        <v>0.288544619</v>
      </c>
      <c r="G30" s="128">
        <f>F30*1000000</f>
        <v>288544.61900000001</v>
      </c>
      <c r="H30" s="64"/>
      <c r="I30" s="80">
        <f>E30</f>
        <v>41426</v>
      </c>
      <c r="J30" s="205">
        <f>$M$12*$N$7</f>
        <v>41600.06</v>
      </c>
      <c r="K30" s="88">
        <f>($F$7/360)*($O$2/100)*M29</f>
        <v>19359.817310257349</v>
      </c>
      <c r="L30" s="90">
        <f>J30-K30</f>
        <v>22240.242689742649</v>
      </c>
      <c r="M30" s="79">
        <f>M29-L30</f>
        <v>679202.41347900196</v>
      </c>
      <c r="N30" s="126">
        <f>L30/M29</f>
        <v>3.1706430303537689E-2</v>
      </c>
      <c r="O30" s="52"/>
      <c r="P30" s="80">
        <f>I30</f>
        <v>41426</v>
      </c>
      <c r="Q30" s="97">
        <f ca="1">S29*N30</f>
        <v>10958.581043103444</v>
      </c>
      <c r="R30" s="98">
        <f ca="1">S29*$C$2/2</f>
        <v>8640.6613249999991</v>
      </c>
      <c r="S30" s="99">
        <f ca="1">IF(P30&lt;$A$4,(VLOOKUP(P30,$A$11:$B$52,2,0)*$S$12),(S29-(Q30+R30)))</f>
        <v>288544.61900000001</v>
      </c>
      <c r="U30" s="80">
        <f>P30</f>
        <v>41426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38869</v>
      </c>
      <c r="B31" s="50">
        <v>0.88465035800000003</v>
      </c>
      <c r="C31" s="52"/>
      <c r="D31" s="70" t="str">
        <f ca="1">IF(E31&lt;$A$4,"Actual","Model Num")</f>
        <v>Actual</v>
      </c>
      <c r="E31" s="71">
        <f>DATE(YEAR(E30),MONTH(E30)+6,DAY(E30))</f>
        <v>41609</v>
      </c>
      <c r="F31" s="74">
        <f>MAX(IF(ISERROR(VLOOKUP(E31,$A$12:$B$52,2,0)),VLOOKUP(E31,$P$11:$S$52,4,0)/1000000,(VLOOKUP(E31,$A$12:$B$52,2,0))),0)</f>
        <v>0.239759058</v>
      </c>
      <c r="G31" s="128">
        <f>F31*1000000</f>
        <v>239759.05799999999</v>
      </c>
      <c r="H31" s="64"/>
      <c r="I31" s="80">
        <f>E31</f>
        <v>41609</v>
      </c>
      <c r="J31" s="205">
        <f>$M$12*$N$7</f>
        <v>41600.06</v>
      </c>
      <c r="K31" s="88">
        <f>($F$7/360)*($O$2/100)*M30</f>
        <v>18745.986612020453</v>
      </c>
      <c r="L31" s="90">
        <f>J31-K31</f>
        <v>22854.073387979544</v>
      </c>
      <c r="M31" s="79">
        <f>M30-L31</f>
        <v>656348.34009102243</v>
      </c>
      <c r="N31" s="126">
        <f>L31/M30</f>
        <v>3.3648398377910206E-2</v>
      </c>
      <c r="O31" s="52"/>
      <c r="P31" s="80">
        <f>I31</f>
        <v>41609</v>
      </c>
      <c r="Q31" s="97">
        <f ca="1">S30*N31</f>
        <v>9709.0642899143186</v>
      </c>
      <c r="R31" s="98">
        <f ca="1">S30*$C$2/2</f>
        <v>7213.6154750000005</v>
      </c>
      <c r="S31" s="99">
        <f ca="1">IF(P31&lt;$A$4,(VLOOKUP(P31,$A$11:$B$52,2,0)*$S$12),(S30-(Q31+R31)))</f>
        <v>239759.05799999999</v>
      </c>
      <c r="U31" s="80">
        <f>P31</f>
        <v>41609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38687</v>
      </c>
      <c r="B32" s="50">
        <v>0.91935280699999999</v>
      </c>
      <c r="C32" s="52"/>
      <c r="D32" s="70" t="str">
        <f ca="1">IF(E32&lt;$A$4,"Actual","Model Num")</f>
        <v>Actual</v>
      </c>
      <c r="E32" s="71">
        <f>DATE(YEAR(E31),MONTH(E31)+6,DAY(E31))</f>
        <v>41791</v>
      </c>
      <c r="F32" s="74">
        <f>MAX(IF(ISERROR(VLOOKUP(E32,$A$12:$B$52,2,0)),VLOOKUP(E32,$P$11:$S$52,4,0)/1000000,(VLOOKUP(E32,$A$12:$B$52,2,0))),0)</f>
        <v>0.200420183</v>
      </c>
      <c r="G32" s="128">
        <f>F32*1000000</f>
        <v>200420.18299999999</v>
      </c>
      <c r="H32" s="64"/>
      <c r="I32" s="80">
        <f>E32</f>
        <v>41791</v>
      </c>
      <c r="J32" s="205">
        <f>$M$12*$N$7</f>
        <v>41600.06</v>
      </c>
      <c r="K32" s="88">
        <f>($F$7/360)*($O$2/100)*M31</f>
        <v>18115.214186512218</v>
      </c>
      <c r="L32" s="90">
        <f>J32-K32</f>
        <v>23484.84581348778</v>
      </c>
      <c r="M32" s="79">
        <f>M31-L32</f>
        <v>632863.49427753466</v>
      </c>
      <c r="N32" s="126">
        <f>L32/M31</f>
        <v>3.5781069866392748E-2</v>
      </c>
      <c r="O32" s="52"/>
      <c r="P32" s="80">
        <f>I32</f>
        <v>41791</v>
      </c>
      <c r="Q32" s="97">
        <f ca="1">S31*N32</f>
        <v>8578.8356053985099</v>
      </c>
      <c r="R32" s="98">
        <f ca="1">S31*$C$2/2</f>
        <v>5993.9764500000001</v>
      </c>
      <c r="S32" s="99">
        <f ca="1">IF(P32&lt;$A$4,(VLOOKUP(P32,$A$11:$B$52,2,0)*$S$12),(S31-(Q32+R32)))</f>
        <v>200420.18299999999</v>
      </c>
      <c r="U32" s="80">
        <f>P32</f>
        <v>41791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49">
        <v>38504</v>
      </c>
      <c r="B33" s="50">
        <v>0.94995136499999999</v>
      </c>
      <c r="C33" s="52"/>
      <c r="D33" s="70" t="str">
        <f ca="1">IF(E33&lt;$A$4,"Actual","Model Num")</f>
        <v>Actual</v>
      </c>
      <c r="E33" s="71">
        <f>DATE(YEAR(E32),MONTH(E32)+6,DAY(E32))</f>
        <v>41974</v>
      </c>
      <c r="F33" s="74">
        <f>MAX(IF(ISERROR(VLOOKUP(E33,$A$12:$B$52,2,0)),VLOOKUP(E33,$P$11:$S$52,4,0)/1000000,(VLOOKUP(E33,$A$12:$B$52,2,0))),0)</f>
        <v>0.15563342899999999</v>
      </c>
      <c r="G33" s="128">
        <f>F33*1000000</f>
        <v>155633.429</v>
      </c>
      <c r="H33" s="64"/>
      <c r="I33" s="80">
        <f>E33</f>
        <v>41974</v>
      </c>
      <c r="J33" s="205">
        <f>$M$12*$N$7</f>
        <v>41600.06</v>
      </c>
      <c r="K33" s="88">
        <f>($F$7/360)*($O$2/100)*M32</f>
        <v>17467.032442059957</v>
      </c>
      <c r="L33" s="90">
        <f>J33-K33</f>
        <v>24133.02755794004</v>
      </c>
      <c r="M33" s="79">
        <f>M32-L33</f>
        <v>608730.46671959467</v>
      </c>
      <c r="N33" s="126">
        <f>L33/M32</f>
        <v>3.8133069415687913E-2</v>
      </c>
      <c r="O33" s="52"/>
      <c r="P33" s="80">
        <f>I33</f>
        <v>41974</v>
      </c>
      <c r="Q33" s="97">
        <f ca="1">S32*N33</f>
        <v>7642.6367506438746</v>
      </c>
      <c r="R33" s="98">
        <f ca="1">S32*$C$2/2</f>
        <v>5010.5045749999999</v>
      </c>
      <c r="S33" s="99">
        <f ca="1">IF(P33&lt;$A$4,(VLOOKUP(P33,$A$11:$B$52,2,0)*$S$12),(S32-(Q33+R33)))</f>
        <v>155633.429</v>
      </c>
      <c r="U33" s="80">
        <f>P33</f>
        <v>41974</v>
      </c>
      <c r="V33" s="97">
        <f ca="1">IF(U33&lt;$A$4,0,(YEARFRAC($A$4,U33,1)))</f>
        <v>0</v>
      </c>
      <c r="W33" s="141">
        <f ca="1">V33*(S32-S33)</f>
        <v>0</v>
      </c>
    </row>
    <row r="34" spans="1:23">
      <c r="A34" s="49">
        <v>38322</v>
      </c>
      <c r="B34" s="50">
        <v>0.98263350599999999</v>
      </c>
      <c r="C34" s="52"/>
      <c r="D34" s="70" t="str">
        <f ca="1">IF(E34&lt;$A$4,"Actual","Model Num")</f>
        <v>Actual</v>
      </c>
      <c r="E34" s="71">
        <f>DATE(YEAR(E33),MONTH(E33)+6,DAY(E33))</f>
        <v>42156</v>
      </c>
      <c r="F34" s="74">
        <f>MAX(IF(ISERROR(VLOOKUP(E34,$A$12:$B$52,2,0)),VLOOKUP(E34,$P$11:$S$52,4,0)/1000000,(VLOOKUP(E34,$A$12:$B$52,2,0))),0)</f>
        <v>0.13244198700000001</v>
      </c>
      <c r="G34" s="128">
        <f>F34*1000000</f>
        <v>132441.98700000002</v>
      </c>
      <c r="H34" s="64"/>
      <c r="I34" s="80">
        <f>E34</f>
        <v>42156</v>
      </c>
      <c r="J34" s="205">
        <f>$M$12*$N$7</f>
        <v>41600.06</v>
      </c>
      <c r="K34" s="88">
        <f>($F$7/360)*($O$2/100)*M33</f>
        <v>16800.960881460811</v>
      </c>
      <c r="L34" s="90">
        <f>J34-K34</f>
        <v>24799.099118539187</v>
      </c>
      <c r="M34" s="79">
        <f>M33-L34</f>
        <v>583931.36760105554</v>
      </c>
      <c r="N34" s="126">
        <f>L34/M33</f>
        <v>4.0739047040276748E-2</v>
      </c>
      <c r="O34" s="52"/>
      <c r="P34" s="80">
        <f>I34</f>
        <v>42156</v>
      </c>
      <c r="Q34" s="97">
        <f ca="1">S33*N34</f>
        <v>6340.3575850705711</v>
      </c>
      <c r="R34" s="98">
        <f ca="1">S33*$C$2/2</f>
        <v>3890.8357250000004</v>
      </c>
      <c r="S34" s="99">
        <f ca="1">IF(P34&lt;$A$4,(VLOOKUP(P34,$A$11:$B$52,2,0)*$S$12),(S33-(Q34+R34)))</f>
        <v>132441.98700000002</v>
      </c>
      <c r="U34" s="80">
        <f>P34</f>
        <v>42156</v>
      </c>
      <c r="V34" s="97">
        <f ca="1">IF(U34&lt;$A$4,0,(YEARFRAC($A$4,U34,1)))</f>
        <v>0</v>
      </c>
      <c r="W34" s="141">
        <f ca="1">V34*(S33-S34)</f>
        <v>0</v>
      </c>
    </row>
    <row r="35" spans="1:23">
      <c r="A35" s="49">
        <v>38154</v>
      </c>
      <c r="B35" s="50">
        <v>1</v>
      </c>
      <c r="D35" s="70" t="str">
        <f ca="1">IF(E35&lt;$A$4,"Actual","Model Num")</f>
        <v>Actual</v>
      </c>
      <c r="E35" s="71">
        <f>DATE(YEAR(E34),MONTH(E34)+6,DAY(E34))</f>
        <v>42339</v>
      </c>
      <c r="F35" s="74">
        <f>MAX(IF(ISERROR(VLOOKUP(E35,$A$12:$B$52,2,0)),VLOOKUP(E35,$P$11:$S$52,4,0)/1000000,(VLOOKUP(E35,$A$12:$B$52,2,0))),0)</f>
        <v>0.11053874800000001</v>
      </c>
      <c r="G35" s="128">
        <f>F35*1000000</f>
        <v>110538.74800000001</v>
      </c>
      <c r="I35" s="80">
        <f>E35</f>
        <v>42339</v>
      </c>
      <c r="J35" s="205">
        <f>$M$12*$N$7</f>
        <v>41600.06</v>
      </c>
      <c r="K35" s="88">
        <f>($F$7/360)*($O$2/100)*M34</f>
        <v>16116.505745789133</v>
      </c>
      <c r="L35" s="90">
        <f>J35-K35</f>
        <v>25483.554254210867</v>
      </c>
      <c r="M35" s="79">
        <f>M34-L35</f>
        <v>558447.81334684463</v>
      </c>
      <c r="N35" s="126">
        <f>L35/M34</f>
        <v>4.3641351823424122E-2</v>
      </c>
      <c r="O35" s="52"/>
      <c r="P35" s="80">
        <f>I35</f>
        <v>42339</v>
      </c>
      <c r="Q35" s="97">
        <f ca="1">S34*N35</f>
        <v>5779.9473508603651</v>
      </c>
      <c r="R35" s="98">
        <f ca="1">S34*$C$2/2</f>
        <v>3311.0496750000007</v>
      </c>
      <c r="S35" s="99">
        <f ca="1">IF(P35&lt;$A$4,(VLOOKUP(P35,$A$11:$B$52,2,0)*$S$12),(S34-(Q35+R35)))</f>
        <v>110538.74800000001</v>
      </c>
      <c r="U35" s="80">
        <f>P35</f>
        <v>42339</v>
      </c>
      <c r="V35" s="97">
        <f ca="1">IF(U35&lt;$A$4,0,(YEARFRAC($A$4,U35,1)))</f>
        <v>0</v>
      </c>
      <c r="W35" s="141">
        <f ca="1">V35*(S34-S35)</f>
        <v>0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42522</v>
      </c>
      <c r="F36" s="74">
        <f ca="1">MAX(IF(ISERROR(VLOOKUP(E36,$A$12:$B$52,2,0)),VLOOKUP(E36,$P$11:$S$52,4,0)/1000000,(VLOOKUP(E36,$A$12:$B$52,2,0))),0)</f>
        <v>0.10259186357217841</v>
      </c>
      <c r="G36" s="128">
        <f ca="1">F36*1000000</f>
        <v>102591.86357217841</v>
      </c>
      <c r="I36" s="80">
        <f>E36</f>
        <v>42522</v>
      </c>
      <c r="J36" s="205">
        <f>$M$12*$N$7</f>
        <v>41600.06</v>
      </c>
      <c r="K36" s="88">
        <f>($F$7/360)*($O$2/100)*M35</f>
        <v>15413.159648372912</v>
      </c>
      <c r="L36" s="90">
        <f>J36-K36</f>
        <v>26186.900351627086</v>
      </c>
      <c r="M36" s="79">
        <f>M35-L36</f>
        <v>532260.9129952176</v>
      </c>
      <c r="N36" s="126">
        <f>L36/M35</f>
        <v>4.6892296335956367E-2</v>
      </c>
      <c r="O36" s="52"/>
      <c r="P36" s="80">
        <f>I36</f>
        <v>42522</v>
      </c>
      <c r="Q36" s="97">
        <f ca="1">S35*N36</f>
        <v>5183.4157278216044</v>
      </c>
      <c r="R36" s="98">
        <f ca="1">S35*$C$2/2</f>
        <v>2763.4687000000004</v>
      </c>
      <c r="S36" s="99">
        <f ca="1">IF(P36&lt;$A$4,(VLOOKUP(P36,$A$11:$B$52,2,0)*$S$12),(S35-(Q36+R36)))</f>
        <v>102591.86357217841</v>
      </c>
      <c r="U36" s="80">
        <f>P36</f>
        <v>42522</v>
      </c>
      <c r="V36" s="97">
        <f ca="1">IF(U36&lt;$A$4,0,(YEARFRAC($A$4,U36,1)))</f>
        <v>0.14754098360655737</v>
      </c>
      <c r="W36" s="141">
        <f ca="1">V36*(S35-S36)</f>
        <v>1172.4911450884326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42705</v>
      </c>
      <c r="F37" s="74">
        <f ca="1">MAX(IF(ISERROR(VLOOKUP(E37,$A$12:$B$52,2,0)),VLOOKUP(E37,$P$11:$S$52,4,0)/1000000,(VLOOKUP(E37,$A$12:$B$52,2,0))),0)</f>
        <v>9.4840302414751471E-2</v>
      </c>
      <c r="G37" s="128">
        <f ca="1">F37*1000000</f>
        <v>94840.302414751466</v>
      </c>
      <c r="I37" s="80">
        <f>E37</f>
        <v>42705</v>
      </c>
      <c r="J37" s="205">
        <f>$M$12*$N$7</f>
        <v>41600.06</v>
      </c>
      <c r="K37" s="88">
        <f>($F$7/360)*($O$2/100)*M36</f>
        <v>14690.401198668005</v>
      </c>
      <c r="L37" s="90">
        <f>J37-K37</f>
        <v>26909.658801331992</v>
      </c>
      <c r="M37" s="79">
        <f>M36-L37</f>
        <v>505351.2541938856</v>
      </c>
      <c r="N37" s="126">
        <f>L37/M36</f>
        <v>5.0557270211524584E-2</v>
      </c>
      <c r="O37" s="52"/>
      <c r="P37" s="80">
        <f>I37</f>
        <v>42705</v>
      </c>
      <c r="Q37" s="97">
        <f ca="1">S36*N37</f>
        <v>5186.7645681224894</v>
      </c>
      <c r="R37" s="98">
        <f ca="1">S36*$C$2/2</f>
        <v>2564.7965893044602</v>
      </c>
      <c r="S37" s="99">
        <f ca="1">IF(P37&lt;$A$4,(VLOOKUP(P37,$A$11:$B$52,2,0)*$S$12),(S36-(Q37+R37)))</f>
        <v>94840.302414751466</v>
      </c>
      <c r="U37" s="80">
        <f>P37</f>
        <v>42705</v>
      </c>
      <c r="V37" s="97">
        <f ca="1">IF(U37&lt;$A$4,0,(YEARFRAC($A$4,U37,1)))</f>
        <v>0.64754098360655743</v>
      </c>
      <c r="W37" s="141">
        <f ca="1">V37*(S36-S37)</f>
        <v>5019.4535363666273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42887</v>
      </c>
      <c r="F38" s="74">
        <f ca="1">MAX(IF(ISERROR(VLOOKUP(E38,$A$12:$B$52,2,0)),VLOOKUP(E38,$P$11:$S$52,4,0)/1000000,(VLOOKUP(E38,$A$12:$B$52,2,0))),0)</f>
        <v>8.7279718943051962E-2</v>
      </c>
      <c r="G38" s="128">
        <f ca="1">F38*1000000</f>
        <v>87279.718943051965</v>
      </c>
      <c r="I38" s="80">
        <f>E38</f>
        <v>42887</v>
      </c>
      <c r="J38" s="205">
        <f>$M$12*$N$7</f>
        <v>41600.06</v>
      </c>
      <c r="K38" s="88">
        <f>($F$7/360)*($O$2/100)*M37</f>
        <v>13947.694615751243</v>
      </c>
      <c r="L38" s="90">
        <f>J38-K38</f>
        <v>27652.365384248755</v>
      </c>
      <c r="M38" s="79">
        <f>M37-L38</f>
        <v>477698.88880963682</v>
      </c>
      <c r="N38" s="126">
        <f>L38/M37</f>
        <v>5.4719099150864099E-2</v>
      </c>
      <c r="O38" s="52"/>
      <c r="P38" s="80">
        <f>I38</f>
        <v>42887</v>
      </c>
      <c r="Q38" s="97">
        <f ca="1">S37*N38</f>
        <v>5189.5759113307213</v>
      </c>
      <c r="R38" s="98">
        <f ca="1">S37*$C$2/2</f>
        <v>2371.0075603687869</v>
      </c>
      <c r="S38" s="99">
        <f ca="1">IF(P38&lt;$A$4,(VLOOKUP(P38,$A$11:$B$52,2,0)*$S$12),(S37-(Q38+R38)))</f>
        <v>87279.718943051965</v>
      </c>
      <c r="U38" s="80">
        <f>P38</f>
        <v>42887</v>
      </c>
      <c r="V38" s="97">
        <f ca="1">IF(U38&lt;$A$4,0,(YEARFRAC($A$4,U38,1)))</f>
        <v>1.146374829001368</v>
      </c>
      <c r="W38" s="141">
        <f ca="1">V38*(S37-S38)</f>
        <v>8667.2625845200855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43070</v>
      </c>
      <c r="F39" s="74">
        <f ca="1">MAX(IF(ISERROR(VLOOKUP(E39,$A$12:$B$52,2,0)),VLOOKUP(E39,$P$11:$S$52,4,0)/1000000,(VLOOKUP(E39,$A$12:$B$52,2,0))),0)</f>
        <v>7.9905955421790076E-2</v>
      </c>
      <c r="G39" s="128">
        <f ca="1">F39*1000000</f>
        <v>79905.955421790073</v>
      </c>
      <c r="I39" s="80">
        <f>E39</f>
        <v>43070</v>
      </c>
      <c r="J39" s="205">
        <f>$M$12*$N$7</f>
        <v>41600.06</v>
      </c>
      <c r="K39" s="88">
        <f>($F$7/360)*($O$2/100)*M38</f>
        <v>13184.489331145976</v>
      </c>
      <c r="L39" s="90">
        <f>J39-K39</f>
        <v>28415.570668854023</v>
      </c>
      <c r="M39" s="79">
        <f>M38-L39</f>
        <v>449283.31814078277</v>
      </c>
      <c r="N39" s="126">
        <f>L39/M38</f>
        <v>5.9484272068670518E-2</v>
      </c>
      <c r="O39" s="52"/>
      <c r="P39" s="80">
        <f>I39</f>
        <v>43070</v>
      </c>
      <c r="Q39" s="97">
        <f ca="1">S38*N39</f>
        <v>5191.770547685599</v>
      </c>
      <c r="R39" s="98">
        <f ca="1">S38*$C$2/2</f>
        <v>2181.9929735762994</v>
      </c>
      <c r="S39" s="99">
        <f ca="1">IF(P39&lt;$A$4,(VLOOKUP(P39,$A$11:$B$52,2,0)*$S$12),(S38-(Q39+R39)))</f>
        <v>79905.955421790073</v>
      </c>
      <c r="U39" s="80">
        <f>P39</f>
        <v>43070</v>
      </c>
      <c r="V39" s="97">
        <f ca="1">IF(U39&lt;$A$4,0,(YEARFRAC($A$4,U39,1)))</f>
        <v>1.6470588235294117</v>
      </c>
      <c r="W39" s="141">
        <f ca="1">V39*(S38-S39)</f>
        <v>12145.022270313702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43252</v>
      </c>
      <c r="F40" s="74">
        <f ca="1">MAX(IF(ISERROR(VLOOKUP(E40,$A$12:$B$52,2,0)),VLOOKUP(E40,$P$11:$S$52,4,0)/1000000,(VLOOKUP(E40,$A$12:$B$52,2,0))),0)</f>
        <v>7.2715055301090417E-2</v>
      </c>
      <c r="G40" s="128">
        <f ca="1">F40*1000000</f>
        <v>72715.055301090411</v>
      </c>
      <c r="I40" s="80">
        <f>E40</f>
        <v>43252</v>
      </c>
      <c r="J40" s="205">
        <f>$M$12*$N$7</f>
        <v>41600.06</v>
      </c>
      <c r="K40" s="88">
        <f>($F$7/360)*($O$2/100)*M39</f>
        <v>12400.219580685603</v>
      </c>
      <c r="L40" s="90">
        <f>J40-K40</f>
        <v>29199.840419314394</v>
      </c>
      <c r="M40" s="79">
        <f>M39-L40</f>
        <v>420083.47772146837</v>
      </c>
      <c r="N40" s="126">
        <f>L40/M39</f>
        <v>6.4992042304505587E-2</v>
      </c>
      <c r="O40" s="52"/>
      <c r="P40" s="80">
        <f>I40</f>
        <v>43252</v>
      </c>
      <c r="Q40" s="97">
        <f ca="1">S39*N40</f>
        <v>5193.2512351549176</v>
      </c>
      <c r="R40" s="98">
        <f ca="1">S39*$C$2/2</f>
        <v>1997.6488855447519</v>
      </c>
      <c r="S40" s="99">
        <f ca="1">IF(P40&lt;$A$4,(VLOOKUP(P40,$A$11:$B$52,2,0)*$S$12),(S39-(Q40+R40)))</f>
        <v>72715.055301090411</v>
      </c>
      <c r="U40" s="80">
        <f>P40</f>
        <v>43252</v>
      </c>
      <c r="V40" s="97">
        <f ca="1">IF(U40&lt;$A$4,0,(YEARFRAC($A$4,U40,1)))</f>
        <v>2.1459854014598543</v>
      </c>
      <c r="W40" s="141">
        <f ca="1">V40*(S39-S40)</f>
        <v>15431.566682377379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43435</v>
      </c>
      <c r="F41" s="74">
        <f ca="1">MAX(IF(ISERROR(VLOOKUP(E41,$A$12:$B$52,2,0)),VLOOKUP(E41,$P$11:$S$52,4,0)/1000000,(VLOOKUP(E41,$A$12:$B$52,2,0))),0)</f>
        <v>6.5703282172592498E-2</v>
      </c>
      <c r="G41" s="128">
        <f ca="1">F41*1000000</f>
        <v>65703.282172592502</v>
      </c>
      <c r="I41" s="80">
        <f>E41</f>
        <v>43435</v>
      </c>
      <c r="J41" s="205">
        <f>$M$12*$N$7</f>
        <v>41600.06</v>
      </c>
      <c r="K41" s="88">
        <f>($F$7/360)*($O$2/100)*M40</f>
        <v>11594.303985112527</v>
      </c>
      <c r="L41" s="90">
        <f>J41-K41</f>
        <v>30005.756014887469</v>
      </c>
      <c r="M41" s="79">
        <f>M40-L41</f>
        <v>390077.72170658089</v>
      </c>
      <c r="N41" s="126">
        <f>L41/M40</f>
        <v>7.1428079432303809E-2</v>
      </c>
      <c r="O41" s="52"/>
      <c r="P41" s="80">
        <f>I41</f>
        <v>43435</v>
      </c>
      <c r="Q41" s="97">
        <f ca="1">S40*N41</f>
        <v>5193.89674597065</v>
      </c>
      <c r="R41" s="98">
        <f ca="1">S40*$C$2/2</f>
        <v>1817.8763825272604</v>
      </c>
      <c r="S41" s="99">
        <f ca="1">IF(P41&lt;$A$4,(VLOOKUP(P41,$A$11:$B$52,2,0)*$S$12),(S40-(Q41+R41)))</f>
        <v>65703.282172592502</v>
      </c>
      <c r="U41" s="80">
        <f>P41</f>
        <v>43435</v>
      </c>
      <c r="V41" s="97">
        <f ca="1">IF(U41&lt;$A$4,0,(YEARFRAC($A$4,U41,1)))</f>
        <v>2.6468978102189782</v>
      </c>
      <c r="W41" s="141">
        <f ca="1">V41*(S40-S41)</f>
        <v>18559.44693957339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43617</v>
      </c>
      <c r="F42" s="74">
        <f ca="1">MAX(IF(ISERROR(VLOOKUP(E42,$A$12:$B$52,2,0)),VLOOKUP(E42,$P$11:$S$52,4,0)/1000000,(VLOOKUP(E42,$A$12:$B$52,2,0))),0)</f>
        <v>5.8867146892417607E-2</v>
      </c>
      <c r="G42" s="128">
        <f ca="1">F42*1000000</f>
        <v>58867.146892417608</v>
      </c>
      <c r="I42" s="80">
        <f>E42</f>
        <v>43617</v>
      </c>
      <c r="J42" s="205">
        <f>$M$12*$N$7</f>
        <v>41600.06</v>
      </c>
      <c r="K42" s="88">
        <f>($F$7/360)*($O$2/100)*M41</f>
        <v>10766.145119101633</v>
      </c>
      <c r="L42" s="90">
        <f>J42-K42</f>
        <v>30833.914880898366</v>
      </c>
      <c r="M42" s="79">
        <f>M41-L42</f>
        <v>359243.80682568252</v>
      </c>
      <c r="N42" s="126">
        <f>L42/M41</f>
        <v>7.9045567498704394E-2</v>
      </c>
      <c r="O42" s="52"/>
      <c r="P42" s="80">
        <f>I42</f>
        <v>43617</v>
      </c>
      <c r="Q42" s="97">
        <f ca="1">S41*N42</f>
        <v>5193.5532258600815</v>
      </c>
      <c r="R42" s="98">
        <f ca="1">S41*$C$2/2</f>
        <v>1642.5820543148127</v>
      </c>
      <c r="S42" s="99">
        <f ca="1">IF(P42&lt;$A$4,(VLOOKUP(P42,$A$11:$B$52,2,0)*$S$12),(S41-(Q42+R42)))</f>
        <v>58867.146892417608</v>
      </c>
      <c r="U42" s="80">
        <f>P42</f>
        <v>43617</v>
      </c>
      <c r="V42" s="97">
        <f ca="1">IF(U42&lt;$A$4,0,(YEARFRAC($A$4,U42,1)))</f>
        <v>3.1457905544147846</v>
      </c>
      <c r="W42" s="141">
        <f ca="1">V42*(S41-S42)</f>
        <v>21505.04979307585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43800</v>
      </c>
      <c r="F43" s="74">
        <f ca="1">MAX(IF(ISERROR(VLOOKUP(E43,$A$12:$B$52,2,0)),VLOOKUP(E43,$P$11:$S$52,4,0)/1000000,(VLOOKUP(E43,$A$12:$B$52,2,0))),0)</f>
        <v>5.2203446957699379E-2</v>
      </c>
      <c r="G43" s="128">
        <f ca="1">F43*1000000</f>
        <v>52203.44695769938</v>
      </c>
      <c r="I43" s="80">
        <f>E43</f>
        <v>43800</v>
      </c>
      <c r="J43" s="205">
        <f>$M$12*$N$7</f>
        <v>41600.06</v>
      </c>
      <c r="K43" s="88">
        <f>($F$7/360)*($O$2/100)*M42</f>
        <v>9915.1290683888383</v>
      </c>
      <c r="L43" s="90">
        <f>J43-K43</f>
        <v>31684.930931611161</v>
      </c>
      <c r="M43" s="79">
        <f>M42-L43</f>
        <v>327558.87589407136</v>
      </c>
      <c r="N43" s="126">
        <f>L43/M42</f>
        <v>8.8198962179982077E-2</v>
      </c>
      <c r="O43" s="52"/>
      <c r="P43" s="80">
        <f>I43</f>
        <v>43800</v>
      </c>
      <c r="Q43" s="97">
        <f ca="1">S42*N43</f>
        <v>5192.0212624077903</v>
      </c>
      <c r="R43" s="98">
        <f ca="1">S42*$C$2/2</f>
        <v>1471.6786723104403</v>
      </c>
      <c r="S43" s="99">
        <f ca="1">IF(P43&lt;$A$4,(VLOOKUP(P43,$A$11:$B$52,2,0)*$S$12),(S42-(Q43+R43)))</f>
        <v>52203.44695769938</v>
      </c>
      <c r="U43" s="80">
        <f>P43</f>
        <v>43800</v>
      </c>
      <c r="V43" s="97">
        <f ca="1">IF(U43&lt;$A$4,0,(YEARFRAC($A$4,U43,1)))</f>
        <v>3.6468172484599588</v>
      </c>
      <c r="W43" s="141">
        <f ca="1">V43*(S42-S43)</f>
        <v>24301.295860491937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43983</v>
      </c>
      <c r="F44" s="74">
        <f ca="1">MAX(IF(ISERROR(VLOOKUP(E44,$A$12:$B$52,2,0)),VLOOKUP(E44,$P$11:$S$52,4,0)/1000000,(VLOOKUP(E44,$A$12:$B$52,2,0))),0)</f>
        <v>4.5709324966370563E-2</v>
      </c>
      <c r="G44" s="128">
        <f ca="1">F44*1000000</f>
        <v>45709.324966370565</v>
      </c>
      <c r="I44" s="80">
        <f>E44</f>
        <v>43983</v>
      </c>
      <c r="J44" s="205">
        <f>$M$12*$N$7</f>
        <v>41600.06</v>
      </c>
      <c r="K44" s="88">
        <f>($F$7/360)*($O$2/100)*M43</f>
        <v>9040.6249746763697</v>
      </c>
      <c r="L44" s="90">
        <f>J44-K44</f>
        <v>32559.435025323626</v>
      </c>
      <c r="M44" s="79">
        <f>M43-L44</f>
        <v>294999.44086874771</v>
      </c>
      <c r="N44" s="126">
        <f>L44/M43</f>
        <v>9.9400252661304644E-2</v>
      </c>
      <c r="O44" s="52"/>
      <c r="P44" s="80">
        <f>I44</f>
        <v>43983</v>
      </c>
      <c r="Q44" s="97">
        <f ca="1">S43*N44</f>
        <v>5189.0358173863333</v>
      </c>
      <c r="R44" s="98">
        <f ca="1">S43*$C$2/2</f>
        <v>1305.0861739424845</v>
      </c>
      <c r="S44" s="99">
        <f ca="1">IF(P44&lt;$A$4,(VLOOKUP(P44,$A$11:$B$52,2,0)*$S$12),(S43-(Q44+R44)))</f>
        <v>45709.324966370565</v>
      </c>
      <c r="U44" s="80">
        <f>P44</f>
        <v>43983</v>
      </c>
      <c r="V44" s="97">
        <f ca="1">IF(U44&lt;$A$4,0,(YEARFRAC($A$4,U44,1)))</f>
        <v>4.1461412151067325</v>
      </c>
      <c r="W44" s="141">
        <f ca="1">V44*(S43-S44)</f>
        <v>26925.546844179407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44166</v>
      </c>
      <c r="F45" s="74">
        <f ca="1">MAX(IF(ISERROR(VLOOKUP(E45,$A$12:$B$52,2,0)),VLOOKUP(E45,$P$11:$S$52,4,0)/1000000,(VLOOKUP(E45,$A$12:$B$52,2,0))),0)</f>
        <v>3.9382358142757951E-2</v>
      </c>
      <c r="G45" s="128">
        <f ca="1">F45*1000000</f>
        <v>39382.358142757948</v>
      </c>
      <c r="I45" s="80">
        <f>E45</f>
        <v>44166</v>
      </c>
      <c r="J45" s="205">
        <f>$M$12*$N$7</f>
        <v>41600.06</v>
      </c>
      <c r="K45" s="88">
        <f>($F$7/360)*($O$2/100)*M44</f>
        <v>8141.9845679774371</v>
      </c>
      <c r="L45" s="90">
        <f>J45-K45</f>
        <v>33458.075432022561</v>
      </c>
      <c r="M45" s="79">
        <f>M44-L45</f>
        <v>261541.36543672514</v>
      </c>
      <c r="N45" s="126">
        <f>L45/M44</f>
        <v>0.1134174198211747</v>
      </c>
      <c r="O45" s="52"/>
      <c r="P45" s="80">
        <f>I45</f>
        <v>44166</v>
      </c>
      <c r="Q45" s="97">
        <f ca="1">S44*N45</f>
        <v>5184.2336994533525</v>
      </c>
      <c r="R45" s="98">
        <f ca="1">S44*$C$2/2</f>
        <v>1142.7331241592642</v>
      </c>
      <c r="S45" s="99">
        <f ca="1">IF(P45&lt;$A$4,(VLOOKUP(P45,$A$11:$B$52,2,0)*$S$12),(S44-(Q45+R45)))</f>
        <v>39382.358142757948</v>
      </c>
      <c r="U45" s="80">
        <f>P45</f>
        <v>44166</v>
      </c>
      <c r="V45" s="97">
        <f ca="1">IF(U45&lt;$A$4,0,(YEARFRAC($A$4,U45,1)))</f>
        <v>4.6469622331691296</v>
      </c>
      <c r="W45" s="141">
        <f ca="1">V45*(S44-S45)</f>
        <v>29401.175879841878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44348</v>
      </c>
      <c r="F46" s="74">
        <f ca="1">MAX(IF(ISERROR(VLOOKUP(E46,$A$12:$B$52,2,0)),VLOOKUP(E46,$P$11:$S$52,4,0)/1000000,(VLOOKUP(E46,$A$12:$B$52,2,0))),0)</f>
        <v>3.322070123579008E-2</v>
      </c>
      <c r="G46" s="128">
        <f ca="1">F46*1000000</f>
        <v>33220.701235790082</v>
      </c>
      <c r="I46" s="80">
        <f>E46</f>
        <v>44348</v>
      </c>
      <c r="J46" s="205">
        <f>$M$12*$N$7</f>
        <v>41600.06</v>
      </c>
      <c r="K46" s="88">
        <f>($F$7/360)*($O$2/100)*M45</f>
        <v>7218.5416860536143</v>
      </c>
      <c r="L46" s="90">
        <f>J46-K46</f>
        <v>34381.518313946384</v>
      </c>
      <c r="M46" s="79">
        <f>M45-L46</f>
        <v>227159.84712277877</v>
      </c>
      <c r="N46" s="126">
        <f>L46/M45</f>
        <v>0.13145728690578518</v>
      </c>
      <c r="O46" s="52"/>
      <c r="P46" s="80">
        <f>I46</f>
        <v>44348</v>
      </c>
      <c r="Q46" s="97">
        <f ca="1">S45*N46</f>
        <v>5177.0979533989166</v>
      </c>
      <c r="R46" s="98">
        <f ca="1">S45*$C$2/2</f>
        <v>984.55895356894871</v>
      </c>
      <c r="S46" s="99">
        <f ca="1">IF(P46&lt;$A$4,(VLOOKUP(P46,$A$11:$B$52,2,0)*$S$12),(S45-(Q46+R46)))</f>
        <v>33220.701235790082</v>
      </c>
      <c r="U46" s="80">
        <f>P46</f>
        <v>44348</v>
      </c>
      <c r="V46" s="97">
        <f ca="1">IF(U46&lt;$A$4,0,(YEARFRAC($A$4,U46,1)))</f>
        <v>5.1459854014598543</v>
      </c>
      <c r="W46" s="141">
        <f ca="1">V46*(S45-S46)</f>
        <v>31707.796492060919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44531</v>
      </c>
      <c r="F47" s="74">
        <f ca="1">MAX(IF(ISERROR(VLOOKUP(E47,$A$12:$B$52,2,0)),VLOOKUP(E47,$P$11:$S$52,4,0)/1000000,(VLOOKUP(E47,$A$12:$B$52,2,0))),0)</f>
        <v>2.7223327503459193E-2</v>
      </c>
      <c r="G47" s="128">
        <f ca="1">F47*1000000</f>
        <v>27223.327503459193</v>
      </c>
      <c r="I47" s="80">
        <f>E47</f>
        <v>44531</v>
      </c>
      <c r="J47" s="205">
        <f>$M$12*$N$7</f>
        <v>41600.06</v>
      </c>
      <c r="K47" s="88">
        <f>($F$7/360)*($O$2/100)*M46</f>
        <v>6269.6117805886943</v>
      </c>
      <c r="L47" s="90">
        <f>J47-K47</f>
        <v>35330.448219411301</v>
      </c>
      <c r="M47" s="79">
        <f>M46-L47</f>
        <v>191829.39890336746</v>
      </c>
      <c r="N47" s="126">
        <f>L47/M46</f>
        <v>0.15553122027025915</v>
      </c>
      <c r="O47" s="52"/>
      <c r="P47" s="80">
        <f>I47</f>
        <v>44531</v>
      </c>
      <c r="Q47" s="97">
        <f ca="1">S46*N47</f>
        <v>5166.8562014361378</v>
      </c>
      <c r="R47" s="98">
        <f ca="1">S46*$C$2/2</f>
        <v>830.5175308947521</v>
      </c>
      <c r="S47" s="99">
        <f ca="1">IF(P47&lt;$A$4,(VLOOKUP(P47,$A$11:$B$52,2,0)*$S$12),(S46-(Q47+R47)))</f>
        <v>27223.327503459193</v>
      </c>
      <c r="U47" s="80">
        <f>P47</f>
        <v>44531</v>
      </c>
      <c r="V47" s="97">
        <f ca="1">IF(U47&lt;$A$4,0,(YEARFRAC($A$4,U47,1)))</f>
        <v>5.6468978102189782</v>
      </c>
      <c r="W47" s="141">
        <f ca="1">V47*(S46-S47)</f>
        <v>33866.556596164119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44713</v>
      </c>
      <c r="F48" s="74">
        <f ca="1">MAX(IF(ISERROR(VLOOKUP(E48,$A$12:$B$52,2,0)),VLOOKUP(E48,$P$11:$S$52,4,0)/1000000,(VLOOKUP(E48,$A$12:$B$52,2,0))),0)</f>
        <v>2.1390466356486421E-2</v>
      </c>
      <c r="G48" s="128">
        <f ca="1">F48*1000000</f>
        <v>21390.46635648642</v>
      </c>
      <c r="I48" s="80">
        <f>E48</f>
        <v>44713</v>
      </c>
      <c r="J48" s="205">
        <f>$M$12*$N$7</f>
        <v>41600.06</v>
      </c>
      <c r="K48" s="88">
        <f>($F$7/360)*($O$2/100)*M47</f>
        <v>5294.491409732942</v>
      </c>
      <c r="L48" s="90">
        <f>J48-K48</f>
        <v>36305.568590267052</v>
      </c>
      <c r="M48" s="79">
        <f>M47-L48</f>
        <v>155523.83031310042</v>
      </c>
      <c r="N48" s="126">
        <f>L48/M47</f>
        <v>0.18925966925724297</v>
      </c>
      <c r="O48" s="52"/>
      <c r="P48" s="80">
        <f>I48</f>
        <v>44713</v>
      </c>
      <c r="Q48" s="97">
        <f ca="1">S47*N48</f>
        <v>5152.2779593862924</v>
      </c>
      <c r="R48" s="98">
        <f ca="1">S47*$C$2/2</f>
        <v>680.58318758647988</v>
      </c>
      <c r="S48" s="99">
        <f ca="1">IF(P48&lt;$A$4,(VLOOKUP(P48,$A$11:$B$52,2,0)*$S$12),(S47-(Q48+R48)))</f>
        <v>21390.46635648642</v>
      </c>
      <c r="U48" s="80">
        <f>P48</f>
        <v>44713</v>
      </c>
      <c r="V48" s="97">
        <f ca="1">IF(U48&lt;$A$4,0,(YEARFRAC($A$4,U48,1)))</f>
        <v>6.1458740711771611</v>
      </c>
      <c r="W48" s="141">
        <f ca="1">V48*(S47-S48)</f>
        <v>35848.030083956641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44896</v>
      </c>
      <c r="F49" s="74">
        <f ca="1">MAX(IF(ISERROR(VLOOKUP(E49,$A$12:$B$52,2,0)),VLOOKUP(E49,$P$11:$S$52,4,0)/1000000,(VLOOKUP(E49,$A$12:$B$52,2,0))),0)</f>
        <v>1.5724484550303147E-2</v>
      </c>
      <c r="G49" s="128">
        <f ca="1">F49*1000000</f>
        <v>15724.484550303147</v>
      </c>
      <c r="I49" s="80">
        <f>E49</f>
        <v>44896</v>
      </c>
      <c r="J49" s="205">
        <f>$M$12*$N$7</f>
        <v>41600.06</v>
      </c>
      <c r="K49" s="88">
        <f>($F$7/360)*($O$2/100)*M48</f>
        <v>4292.457716641572</v>
      </c>
      <c r="L49" s="90">
        <f>J49-K49</f>
        <v>37307.602283358428</v>
      </c>
      <c r="M49" s="79">
        <f>M48-L49</f>
        <v>118216.22802974199</v>
      </c>
      <c r="N49" s="126">
        <f>L49/M48</f>
        <v>0.23988350986630666</v>
      </c>
      <c r="O49" s="52"/>
      <c r="P49" s="80">
        <f>I49</f>
        <v>44896</v>
      </c>
      <c r="Q49" s="97">
        <f ca="1">S48*N49</f>
        <v>5131.2201472711113</v>
      </c>
      <c r="R49" s="98">
        <f ca="1">S48*$C$2/2</f>
        <v>534.76165891216056</v>
      </c>
      <c r="S49" s="99">
        <f ca="1">IF(P49&lt;$A$4,(VLOOKUP(P49,$A$11:$B$52,2,0)*$S$12),(S48-(Q49+R49)))</f>
        <v>15724.484550303148</v>
      </c>
      <c r="U49" s="80">
        <f>P49</f>
        <v>44896</v>
      </c>
      <c r="V49" s="97">
        <f ca="1">IF(U49&lt;$A$4,0,(YEARFRAC($A$4,U49,1)))</f>
        <v>6.6468517794290189</v>
      </c>
      <c r="W49" s="141">
        <f ca="1">V49*(S48-S49)</f>
        <v>37660.941250641728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45078</v>
      </c>
      <c r="F50" s="74">
        <f ca="1">MAX(IF(ISERROR(VLOOKUP(E50,$A$12:$B$52,2,0)),VLOOKUP(E50,$P$11:$S$52,4,0)/1000000,(VLOOKUP(E50,$A$12:$B$52,2,0))),0)</f>
        <v>1.0231952775857778E-2</v>
      </c>
      <c r="G50" s="128">
        <f ca="1">F50*1000000</f>
        <v>10231.952775857779</v>
      </c>
      <c r="I50" s="80">
        <f>E50</f>
        <v>45078</v>
      </c>
      <c r="J50" s="205">
        <f>$M$12*$N$7</f>
        <v>41600.06</v>
      </c>
      <c r="K50" s="88">
        <f>($F$7/360)*($O$2/100)*M49</f>
        <v>3262.767893620879</v>
      </c>
      <c r="L50" s="90">
        <f>J50-K50</f>
        <v>38337.292106379122</v>
      </c>
      <c r="M50" s="79">
        <f>M49-L50</f>
        <v>79878.935923362878</v>
      </c>
      <c r="N50" s="126">
        <f>L50/M49</f>
        <v>0.3242980489678105</v>
      </c>
      <c r="O50" s="52"/>
      <c r="P50" s="80">
        <f>I50</f>
        <v>45078</v>
      </c>
      <c r="Q50" s="97">
        <f ca="1">S49*N50</f>
        <v>5099.4196606877904</v>
      </c>
      <c r="R50" s="98">
        <f ca="1">S49*$C$2/2</f>
        <v>393.11211375757875</v>
      </c>
      <c r="S50" s="99">
        <f ca="1">IF(P50&lt;$A$4,(VLOOKUP(P50,$A$11:$B$52,2,0)*$S$12),(S49-(Q50+R50)))</f>
        <v>10231.952775857779</v>
      </c>
      <c r="U50" s="80">
        <f>P50</f>
        <v>45078</v>
      </c>
      <c r="V50" s="97">
        <f ca="1">IF(U50&lt;$A$4,0,(YEARFRAC($A$4,U50,1)))</f>
        <v>7.1457905544147842</v>
      </c>
      <c r="W50" s="141">
        <f ca="1">V50*(S49-S50)</f>
        <v>39248.481673654795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45261</v>
      </c>
      <c r="F51" s="74">
        <f ca="1">MAX(IF(ISERROR(VLOOKUP(E51,$A$12:$B$52,2,0)),VLOOKUP(E51,$P$11:$S$52,4,0)/1000000,(VLOOKUP(E51,$A$12:$B$52,2,0))),0)</f>
        <v>4.9298688284853806E-3</v>
      </c>
      <c r="G51" s="128">
        <f ca="1">F51*1000000</f>
        <v>4929.8688284853806</v>
      </c>
      <c r="I51" s="80">
        <f>E51</f>
        <v>45261</v>
      </c>
      <c r="J51" s="205">
        <f>$M$12*$N$7</f>
        <v>41600.06</v>
      </c>
      <c r="K51" s="88">
        <f>($F$7/360)*($O$2/100)*M50</f>
        <v>2204.6586314848155</v>
      </c>
      <c r="L51" s="90">
        <f>J51-K51</f>
        <v>39395.40136851518</v>
      </c>
      <c r="M51" s="79">
        <f>M50-L51</f>
        <v>40483.534554847698</v>
      </c>
      <c r="N51" s="126">
        <f>L51/M50</f>
        <v>0.49318886028116043</v>
      </c>
      <c r="O51" s="52"/>
      <c r="P51" s="80">
        <f>I51</f>
        <v>45261</v>
      </c>
      <c r="Q51" s="97">
        <f ca="1">S50*N51</f>
        <v>5046.2851279759534</v>
      </c>
      <c r="R51" s="98">
        <f ca="1">S50*$C$2/2</f>
        <v>255.79881939644449</v>
      </c>
      <c r="S51" s="99">
        <f ca="1">IF(P51&lt;$A$4,(VLOOKUP(P51,$A$11:$B$52,2,0)*$S$12),(S50-(Q51+R51)))</f>
        <v>4929.8688284853806</v>
      </c>
      <c r="U51" s="80">
        <f>P51</f>
        <v>45261</v>
      </c>
      <c r="V51" s="97">
        <f ca="1">IF(U51&lt;$A$4,0,(YEARFRAC($A$4,U51,1)))</f>
        <v>7.6468172484599588</v>
      </c>
      <c r="W51" s="141">
        <f ca="1">V51*(S50-S51)</f>
        <v>40544.06698154992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45444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45444</v>
      </c>
      <c r="J52" s="206">
        <f>$M$12*$N$7</f>
        <v>41600.06</v>
      </c>
      <c r="K52" s="89">
        <f>($F$7/360)*($O$2/100)*M51</f>
        <v>1117.3455537137963</v>
      </c>
      <c r="L52" s="91">
        <f>J52-K52</f>
        <v>40482.714446286198</v>
      </c>
      <c r="M52" s="85">
        <f>M51-L52</f>
        <v>0.82010856150009204</v>
      </c>
      <c r="N52" s="127">
        <f>L52/M51</f>
        <v>0.99997974216998298</v>
      </c>
      <c r="O52" s="86"/>
      <c r="P52" s="84">
        <f>I52</f>
        <v>45444</v>
      </c>
      <c r="Q52" s="100">
        <f ca="1">S51*N52</f>
        <v>4929.7689600406466</v>
      </c>
      <c r="R52" s="101">
        <v>0.23673602391681925</v>
      </c>
      <c r="S52" s="102">
        <v>0</v>
      </c>
      <c r="U52" s="142">
        <f>P52</f>
        <v>45444</v>
      </c>
      <c r="V52" s="143">
        <f ca="1">IF(U52&lt;$A$4,0,(YEARFRAC($A$4,U52,1)))</f>
        <v>8.1459854014598552</v>
      </c>
      <c r="W52" s="141">
        <f ca="1">V52*(S51-S52)</f>
        <v>40158.639507953907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67" priority="1" stopIfTrue="1">
      <formula>$D1="Actual"</formula>
    </cfRule>
  </conditionalFormatting>
  <conditionalFormatting sqref="A4">
    <cfRule type="expression" dxfId="66" priority="2" stopIfTrue="1">
      <formula>#REF!="Actual"</formula>
    </cfRule>
  </conditionalFormatting>
  <conditionalFormatting sqref="C6:C9">
    <cfRule type="cellIs" dxfId="65" priority="3" stopIfTrue="1" operator="equal">
      <formula>"PROB!!"</formula>
    </cfRule>
  </conditionalFormatting>
  <conditionalFormatting sqref="A7">
    <cfRule type="expression" dxfId="64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indexed="14"/>
  </sheetPr>
  <dimension ref="A1:W200"/>
  <sheetViews>
    <sheetView workbookViewId="0">
      <selection activeCell="E33" sqref="E33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202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6" t="s">
        <v>5</v>
      </c>
      <c r="B2" s="67" t="str">
        <f>MID(A2,3,9)</f>
        <v>83162CPV9</v>
      </c>
      <c r="C2" s="131">
        <v>0.05</v>
      </c>
      <c r="D2" s="67">
        <f>IF(ISERROR(VLOOKUP(A2,'Bond Position per Summit'!$C$42:$E$56,3,0)),0,VLOOKUP(A2,'Bond Position per Summit'!$C$42:$E$56,3,0))</f>
        <v>17722327.149999999</v>
      </c>
      <c r="E2" s="67">
        <f>IF(ISERROR(VLOOKUP(A2,'Bond Position per Summit'!$C$65:$E$73,3,0)),0,VLOOKUP(A2,'Bond Position per Summit'!$C$65:$E$73,3,0))</f>
        <v>0</v>
      </c>
      <c r="F2" s="67" t="str">
        <f>_xll.BDP($B2&amp;" Mtge Cusip",F$1)</f>
        <v>SBAP 2005-20J 1</v>
      </c>
      <c r="G2" s="67">
        <f>VLOOKUP(A2,'Bond Position per Summit'!$C$10:$D$32,2,0)</f>
        <v>29350000</v>
      </c>
      <c r="H2" s="67">
        <f>VLOOKUP(A2,'Bond Position per Summit'!$C$10:$E$32,3,0)</f>
        <v>17722327.149999999</v>
      </c>
      <c r="I2" s="67" t="str">
        <f>_xll.BDP($B2&amp;" Mtge Cusip",I$1)</f>
        <v>12/10/2005</v>
      </c>
      <c r="J2" s="67" t="str">
        <f>_xll.BDP($B2&amp;" Mtge Cusip",J$1)</f>
        <v>12/10/2005</v>
      </c>
      <c r="K2" s="67" t="str">
        <f>_xll.BDP($B2&amp;" Mtge Cusip",K$1)</f>
        <v>01/04/2006</v>
      </c>
      <c r="L2" s="67" t="str">
        <f>_xll.BDP($B2&amp;" Mtge Cusip",L$1)</f>
        <v>01/10/2025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5.09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29350000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0.15544176208700006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169</v>
      </c>
      <c r="I6" s="108" t="s">
        <v>81</v>
      </c>
      <c r="J6" s="118">
        <v>38583</v>
      </c>
      <c r="K6" s="113">
        <f>ROUND(J6/J5,8)</f>
        <v>3.8582999999999999E-2</v>
      </c>
      <c r="L6" s="108" t="s">
        <v>81</v>
      </c>
      <c r="M6" s="112">
        <v>1132424</v>
      </c>
      <c r="N6" s="123">
        <f>ROUND(M6/M5,8)</f>
        <v>3.8583439999999997E-2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40139</v>
      </c>
      <c r="K7" s="115">
        <f>ROUND(J7/J5,8)</f>
        <v>4.0139000000000001E-2</v>
      </c>
      <c r="L7" s="109" t="s">
        <v>82</v>
      </c>
      <c r="M7" s="114">
        <v>1178071</v>
      </c>
      <c r="N7" s="124">
        <f>ROUND(M7/M5,8)</f>
        <v>4.0138710000000001E-2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4.5529088643894102</v>
      </c>
    </row>
    <row r="12" spans="1:23">
      <c r="A12" s="49">
        <f>_xll.BDS($B2&amp;" Mtge Cusip",A11,"cols=2;rows=22")</f>
        <v>42461</v>
      </c>
      <c r="B12" s="50">
        <v>0.15544176200000001</v>
      </c>
      <c r="C12" s="52"/>
      <c r="D12" s="70" t="str">
        <f ca="1">IF(E12&lt;$A$4,"Actual","Model Num")</f>
        <v>Actual</v>
      </c>
      <c r="E12" s="71">
        <v>38637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38637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38637</v>
      </c>
      <c r="Q12" s="94"/>
      <c r="R12" s="95"/>
      <c r="S12" s="96">
        <f>M12</f>
        <v>1000000</v>
      </c>
      <c r="U12" s="139">
        <f>P12</f>
        <v>38637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42278</v>
      </c>
      <c r="B13" s="50">
        <v>0.177129275</v>
      </c>
      <c r="C13" s="52"/>
      <c r="D13" s="70" t="str">
        <f ca="1">IF(E13&lt;$A$4,"Actual","Model Num")</f>
        <v>Actual</v>
      </c>
      <c r="E13" s="71">
        <v>38808</v>
      </c>
      <c r="F13" s="74">
        <f>MAX(IF(ISERROR(VLOOKUP(E13,$A$12:$B$52,2,0)),VLOOKUP(E13,$P$11:$S$52,4,0)/1000000,(VLOOKUP(E13,$A$12:$B$52,2,0))),0)</f>
        <v>0.98083637300000004</v>
      </c>
      <c r="G13" s="128">
        <f>F13*1000000</f>
        <v>980836.37300000002</v>
      </c>
      <c r="H13" s="64"/>
      <c r="I13" s="80">
        <f>E13</f>
        <v>38808</v>
      </c>
      <c r="J13" s="125">
        <f>$M$12*$N$6</f>
        <v>38583.439999999995</v>
      </c>
      <c r="K13" s="88">
        <f>($F$6/360)*($O$2/100)*M12</f>
        <v>23894.722222222223</v>
      </c>
      <c r="L13" s="90">
        <f>J13-K13</f>
        <v>14688.717777777772</v>
      </c>
      <c r="M13" s="79">
        <f>M12-L13</f>
        <v>985311.28222222219</v>
      </c>
      <c r="N13" s="126">
        <f>L13/M12</f>
        <v>1.4688717777777773E-2</v>
      </c>
      <c r="O13" s="52"/>
      <c r="P13" s="80">
        <f>I13</f>
        <v>38808</v>
      </c>
      <c r="Q13" s="97">
        <f>S12*N13</f>
        <v>14688.717777777772</v>
      </c>
      <c r="R13" s="98">
        <f>S12*$C$2/2</f>
        <v>25000</v>
      </c>
      <c r="S13" s="99">
        <f ca="1">IF(P13&lt;$A$4,(VLOOKUP(P13,$A$11:$B$52,2,0)*$S$12),(S12-(Q13+R13)))</f>
        <v>980836.37300000002</v>
      </c>
      <c r="U13" s="80">
        <f>P13</f>
        <v>38808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42095</v>
      </c>
      <c r="B14" s="50">
        <v>0.21753256700000001</v>
      </c>
      <c r="C14" s="52"/>
      <c r="D14" s="70" t="str">
        <f ca="1">IF(E14&lt;$A$4,"Actual","Model Num")</f>
        <v>Actual</v>
      </c>
      <c r="E14" s="71">
        <f>DATE(YEAR(E13),MONTH(E13)+6,DAY(E13))</f>
        <v>38991</v>
      </c>
      <c r="F14" s="74">
        <f>MAX(IF(ISERROR(VLOOKUP(E14,$A$12:$B$52,2,0)),VLOOKUP(E14,$P$11:$S$52,4,0)/1000000,(VLOOKUP(E14,$A$12:$B$52,2,0))),0)</f>
        <v>0.95754812</v>
      </c>
      <c r="G14" s="128">
        <f>F14*1000000</f>
        <v>957548.12</v>
      </c>
      <c r="H14" s="64"/>
      <c r="I14" s="80">
        <f>E14</f>
        <v>38991</v>
      </c>
      <c r="J14" s="205">
        <f>$M$12*$N$7</f>
        <v>40138.71</v>
      </c>
      <c r="K14" s="88">
        <f>($F$7/360)*($O$2/100)*M13</f>
        <v>25076.172132555555</v>
      </c>
      <c r="L14" s="90">
        <f>J14-K14</f>
        <v>15062.537867444444</v>
      </c>
      <c r="M14" s="79">
        <f>M13-L14</f>
        <v>970248.74435477774</v>
      </c>
      <c r="N14" s="126">
        <f>L14/M13</f>
        <v>1.5287085552773885E-2</v>
      </c>
      <c r="O14" s="52"/>
      <c r="P14" s="80">
        <f>I14</f>
        <v>38991</v>
      </c>
      <c r="Q14" s="97">
        <f ca="1">S13*N14</f>
        <v>14994.129547323437</v>
      </c>
      <c r="R14" s="98">
        <f ca="1">S13*$C$2/2</f>
        <v>24520.909325000001</v>
      </c>
      <c r="S14" s="99">
        <f ca="1">IF(P14&lt;$A$4,(VLOOKUP(P14,$A$11:$B$52,2,0)*$S$12),(S13-(Q14+R14)))</f>
        <v>957548.12</v>
      </c>
      <c r="U14" s="80">
        <f>P14</f>
        <v>38991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41913</v>
      </c>
      <c r="B15" s="50">
        <v>0.250693049</v>
      </c>
      <c r="C15" s="52"/>
      <c r="D15" s="70" t="str">
        <f ca="1">IF(E15&lt;$A$4,"Actual","Model Num")</f>
        <v>Actual</v>
      </c>
      <c r="E15" s="71">
        <f>DATE(YEAR(E14),MONTH(E14)+6,DAY(E14))</f>
        <v>39173</v>
      </c>
      <c r="F15" s="74">
        <f>MAX(IF(ISERROR(VLOOKUP(E15,$A$12:$B$52,2,0)),VLOOKUP(E15,$P$11:$S$52,4,0)/1000000,(VLOOKUP(E15,$A$12:$B$52,2,0))),0)</f>
        <v>0.922137121</v>
      </c>
      <c r="G15" s="128">
        <f>F15*1000000</f>
        <v>922137.12100000004</v>
      </c>
      <c r="H15" s="64"/>
      <c r="I15" s="80">
        <f>E15</f>
        <v>39173</v>
      </c>
      <c r="J15" s="205">
        <f>$M$12*$N$7</f>
        <v>40138.71</v>
      </c>
      <c r="K15" s="88">
        <f>($F$7/360)*($O$2/100)*M14</f>
        <v>24692.830543829095</v>
      </c>
      <c r="L15" s="90">
        <f>J15-K15</f>
        <v>15445.879456170904</v>
      </c>
      <c r="M15" s="79">
        <f>M14-L15</f>
        <v>954802.86489860679</v>
      </c>
      <c r="N15" s="126">
        <f>L15/M14</f>
        <v>1.5919504710560098E-2</v>
      </c>
      <c r="O15" s="52"/>
      <c r="P15" s="80">
        <f>I15</f>
        <v>39173</v>
      </c>
      <c r="Q15" s="97">
        <f ca="1">S14*N15</f>
        <v>15243.691806927965</v>
      </c>
      <c r="R15" s="98">
        <f ca="1">S14*$C$2/2</f>
        <v>23938.703000000001</v>
      </c>
      <c r="S15" s="99">
        <f ca="1">IF(P15&lt;$A$4,(VLOOKUP(P15,$A$11:$B$52,2,0)*$S$12),(S14-(Q15+R15)))</f>
        <v>922137.12100000004</v>
      </c>
      <c r="U15" s="80">
        <f>P15</f>
        <v>39173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41730</v>
      </c>
      <c r="B16" s="50">
        <v>0.28787064499999998</v>
      </c>
      <c r="C16" s="52"/>
      <c r="D16" s="70" t="str">
        <f ca="1">IF(E16&lt;$A$4,"Actual","Model Num")</f>
        <v>Actual</v>
      </c>
      <c r="E16" s="71">
        <f>DATE(YEAR(E15),MONTH(E15)+6,DAY(E15))</f>
        <v>39356</v>
      </c>
      <c r="F16" s="74">
        <f>MAX(IF(ISERROR(VLOOKUP(E16,$A$12:$B$52,2,0)),VLOOKUP(E16,$P$11:$S$52,4,0)/1000000,(VLOOKUP(E16,$A$12:$B$52,2,0))),0)</f>
        <v>0.89126773599999998</v>
      </c>
      <c r="G16" s="128">
        <f>F16*1000000</f>
        <v>891267.73600000003</v>
      </c>
      <c r="H16" s="64"/>
      <c r="I16" s="80">
        <f>E16</f>
        <v>39356</v>
      </c>
      <c r="J16" s="205">
        <f>$M$12*$N$7</f>
        <v>40138.71</v>
      </c>
      <c r="K16" s="88">
        <f>($F$7/360)*($O$2/100)*M15</f>
        <v>24299.732911669544</v>
      </c>
      <c r="L16" s="90">
        <f>J16-K16</f>
        <v>15838.977088330455</v>
      </c>
      <c r="M16" s="79">
        <f>M15-L16</f>
        <v>938963.88781027636</v>
      </c>
      <c r="N16" s="126">
        <f>L16/M15</f>
        <v>1.6588740640207905E-2</v>
      </c>
      <c r="O16" s="52"/>
      <c r="P16" s="80">
        <f>I16</f>
        <v>39356</v>
      </c>
      <c r="Q16" s="97">
        <f ca="1">S15*N16</f>
        <v>15297.093534977015</v>
      </c>
      <c r="R16" s="98">
        <f ca="1">S15*$C$2/2</f>
        <v>23053.428025000001</v>
      </c>
      <c r="S16" s="99">
        <f ca="1">IF(P16&lt;$A$4,(VLOOKUP(P16,$A$11:$B$52,2,0)*$S$12),(S15-(Q16+R16)))</f>
        <v>891267.73600000003</v>
      </c>
      <c r="U16" s="80">
        <f>P16</f>
        <v>39356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41548</v>
      </c>
      <c r="B17" s="50">
        <v>0.32679061199999998</v>
      </c>
      <c r="C17" s="52"/>
      <c r="D17" s="70" t="str">
        <f ca="1">IF(E17&lt;$A$4,"Actual","Model Num")</f>
        <v>Actual</v>
      </c>
      <c r="E17" s="71">
        <f>DATE(YEAR(E16),MONTH(E16)+6,DAY(E16))</f>
        <v>39539</v>
      </c>
      <c r="F17" s="74">
        <f>MAX(IF(ISERROR(VLOOKUP(E17,$A$12:$B$52,2,0)),VLOOKUP(E17,$P$11:$S$52,4,0)/1000000,(VLOOKUP(E17,$A$12:$B$52,2,0))),0)</f>
        <v>0.84762481000000001</v>
      </c>
      <c r="G17" s="128">
        <f>F17*1000000</f>
        <v>847624.81</v>
      </c>
      <c r="H17" s="64"/>
      <c r="I17" s="80">
        <f>E17</f>
        <v>39539</v>
      </c>
      <c r="J17" s="205">
        <f>$M$12*$N$7</f>
        <v>40138.71</v>
      </c>
      <c r="K17" s="88">
        <f>($F$7/360)*($O$2/100)*M16</f>
        <v>23896.630944771532</v>
      </c>
      <c r="L17" s="90">
        <f>J17-K17</f>
        <v>16242.079055228467</v>
      </c>
      <c r="M17" s="79">
        <f>M16-L17</f>
        <v>922721.80875504785</v>
      </c>
      <c r="N17" s="126">
        <f>L17/M16</f>
        <v>1.7297874035503143E-2</v>
      </c>
      <c r="O17" s="52"/>
      <c r="P17" s="80">
        <f>I17</f>
        <v>39539</v>
      </c>
      <c r="Q17" s="97">
        <f ca="1">S16*N17</f>
        <v>15417.037029236071</v>
      </c>
      <c r="R17" s="98">
        <f ca="1">S16*$C$2/2</f>
        <v>22281.693400000004</v>
      </c>
      <c r="S17" s="99">
        <f ca="1">IF(P17&lt;$A$4,(VLOOKUP(P17,$A$11:$B$52,2,0)*$S$12),(S16-(Q17+R17)))</f>
        <v>847624.81</v>
      </c>
      <c r="U17" s="80">
        <f>P17</f>
        <v>39539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41365</v>
      </c>
      <c r="B18" s="50">
        <v>0.36456686500000002</v>
      </c>
      <c r="C18" s="52"/>
      <c r="D18" s="70" t="str">
        <f ca="1">IF(E18&lt;$A$4,"Actual","Model Num")</f>
        <v>Actual</v>
      </c>
      <c r="E18" s="71">
        <f>DATE(YEAR(E17),MONTH(E17)+6,DAY(E17))</f>
        <v>39722</v>
      </c>
      <c r="F18" s="74">
        <f>MAX(IF(ISERROR(VLOOKUP(E18,$A$12:$B$52,2,0)),VLOOKUP(E18,$P$11:$S$52,4,0)/1000000,(VLOOKUP(E18,$A$12:$B$52,2,0))),0)</f>
        <v>0.78968672699999998</v>
      </c>
      <c r="G18" s="128">
        <f>F18*1000000</f>
        <v>789686.72699999996</v>
      </c>
      <c r="H18" s="64"/>
      <c r="I18" s="80">
        <f>E18</f>
        <v>39722</v>
      </c>
      <c r="J18" s="205">
        <f>$M$12*$N$7</f>
        <v>40138.71</v>
      </c>
      <c r="K18" s="88">
        <f>($F$7/360)*($O$2/100)*M17</f>
        <v>23483.27003281597</v>
      </c>
      <c r="L18" s="90">
        <f>J18-K18</f>
        <v>16655.439967184029</v>
      </c>
      <c r="M18" s="79">
        <f>M17-L18</f>
        <v>906066.36878786387</v>
      </c>
      <c r="N18" s="126">
        <f>L18/M17</f>
        <v>1.8050337392215576E-2</v>
      </c>
      <c r="O18" s="52"/>
      <c r="P18" s="80">
        <f>I18</f>
        <v>39722</v>
      </c>
      <c r="Q18" s="97">
        <f ca="1">S17*N18</f>
        <v>15299.913802512623</v>
      </c>
      <c r="R18" s="98">
        <f ca="1">S17*$C$2/2</f>
        <v>21190.620250000004</v>
      </c>
      <c r="S18" s="99">
        <f ca="1">IF(P18&lt;$A$4,(VLOOKUP(P18,$A$11:$B$52,2,0)*$S$12),(S17-(Q18+R18)))</f>
        <v>789686.72699999996</v>
      </c>
      <c r="U18" s="80">
        <f>P18</f>
        <v>39722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41183</v>
      </c>
      <c r="B19" s="50">
        <v>0.42284516700000002</v>
      </c>
      <c r="C19" s="52"/>
      <c r="D19" s="70" t="str">
        <f ca="1">IF(E19&lt;$A$4,"Actual","Model Num")</f>
        <v>Actual</v>
      </c>
      <c r="E19" s="71">
        <f>DATE(YEAR(E18),MONTH(E18)+6,DAY(E18))</f>
        <v>39904</v>
      </c>
      <c r="F19" s="74">
        <f>MAX(IF(ISERROR(VLOOKUP(E19,$A$12:$B$52,2,0)),VLOOKUP(E19,$P$11:$S$52,4,0)/1000000,(VLOOKUP(E19,$A$12:$B$52,2,0))),0)</f>
        <v>0.75324128700000004</v>
      </c>
      <c r="G19" s="128">
        <f>F19*1000000</f>
        <v>753241.28700000001</v>
      </c>
      <c r="H19" s="64"/>
      <c r="I19" s="80">
        <f>E19</f>
        <v>39904</v>
      </c>
      <c r="J19" s="205">
        <f>$M$12*$N$7</f>
        <v>40138.71</v>
      </c>
      <c r="K19" s="88">
        <f>($F$7/360)*($O$2/100)*M18</f>
        <v>23059.389085651135</v>
      </c>
      <c r="L19" s="90">
        <f>J19-K19</f>
        <v>17079.320914348864</v>
      </c>
      <c r="M19" s="79">
        <f>M18-L19</f>
        <v>888987.04787351505</v>
      </c>
      <c r="N19" s="126">
        <f>L19/M18</f>
        <v>1.8849966738305926E-2</v>
      </c>
      <c r="O19" s="52"/>
      <c r="P19" s="80">
        <f>I19</f>
        <v>39904</v>
      </c>
      <c r="Q19" s="97">
        <f ca="1">S18*N19</f>
        <v>14885.568537631671</v>
      </c>
      <c r="R19" s="98">
        <f ca="1">S18*$C$2/2</f>
        <v>19742.168174999999</v>
      </c>
      <c r="S19" s="99">
        <f ca="1">IF(P19&lt;$A$4,(VLOOKUP(P19,$A$11:$B$52,2,0)*$S$12),(S18-(Q19+R19)))</f>
        <v>753241.28700000001</v>
      </c>
      <c r="U19" s="80">
        <f>P19</f>
        <v>39904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41000</v>
      </c>
      <c r="B20" s="50">
        <v>0.47296840400000001</v>
      </c>
      <c r="C20" s="52"/>
      <c r="D20" s="70" t="str">
        <f ca="1">IF(E20&lt;$A$4,"Actual","Model Num")</f>
        <v>Actual</v>
      </c>
      <c r="E20" s="71">
        <f>DATE(YEAR(E19),MONTH(E19)+6,DAY(E19))</f>
        <v>40087</v>
      </c>
      <c r="F20" s="74">
        <f>MAX(IF(ISERROR(VLOOKUP(E20,$A$12:$B$52,2,0)),VLOOKUP(E20,$P$11:$S$52,4,0)/1000000,(VLOOKUP(E20,$A$12:$B$52,2,0))),0)</f>
        <v>0.71035501700000003</v>
      </c>
      <c r="G20" s="128">
        <f>F20*1000000</f>
        <v>710355.01699999999</v>
      </c>
      <c r="H20" s="64"/>
      <c r="I20" s="80">
        <f>E20</f>
        <v>40087</v>
      </c>
      <c r="J20" s="205">
        <f>$M$12*$N$7</f>
        <v>40138.71</v>
      </c>
      <c r="K20" s="88">
        <f>($F$7/360)*($O$2/100)*M19</f>
        <v>22624.72036838096</v>
      </c>
      <c r="L20" s="90">
        <f>J20-K20</f>
        <v>17513.989631619039</v>
      </c>
      <c r="M20" s="79">
        <f>M19-L20</f>
        <v>871473.05824189598</v>
      </c>
      <c r="N20" s="126">
        <f>L20/M19</f>
        <v>1.9701062769714197E-2</v>
      </c>
      <c r="O20" s="52"/>
      <c r="P20" s="80">
        <f>I20</f>
        <v>40087</v>
      </c>
      <c r="Q20" s="97">
        <f ca="1">S19*N20</f>
        <v>14839.653875927306</v>
      </c>
      <c r="R20" s="98">
        <f ca="1">S19*$C$2/2</f>
        <v>18831.032175</v>
      </c>
      <c r="S20" s="99">
        <f ca="1">IF(P20&lt;$A$4,(VLOOKUP(P20,$A$11:$B$52,2,0)*$S$12),(S19-(Q20+R20)))</f>
        <v>710355.01699999999</v>
      </c>
      <c r="U20" s="80">
        <f>P20</f>
        <v>40087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40817</v>
      </c>
      <c r="B21" s="50">
        <v>0.51327167399999996</v>
      </c>
      <c r="C21" s="52"/>
      <c r="D21" s="70" t="str">
        <f ca="1">IF(E21&lt;$A$4,"Actual","Model Num")</f>
        <v>Actual</v>
      </c>
      <c r="E21" s="71">
        <f>DATE(YEAR(E20),MONTH(E20)+6,DAY(E20))</f>
        <v>40269</v>
      </c>
      <c r="F21" s="74">
        <f>MAX(IF(ISERROR(VLOOKUP(E21,$A$12:$B$52,2,0)),VLOOKUP(E21,$P$11:$S$52,4,0)/1000000,(VLOOKUP(E21,$A$12:$B$52,2,0))),0)</f>
        <v>0.63859798899999998</v>
      </c>
      <c r="G21" s="128">
        <f>F21*1000000</f>
        <v>638597.98899999994</v>
      </c>
      <c r="H21" s="64"/>
      <c r="I21" s="80">
        <f>E21</f>
        <v>40269</v>
      </c>
      <c r="J21" s="205">
        <f>$M$12*$N$7</f>
        <v>40138.71</v>
      </c>
      <c r="K21" s="88">
        <f>($F$7/360)*($O$2/100)*M20</f>
        <v>22178.989332256253</v>
      </c>
      <c r="L21" s="90">
        <f>J21-K21</f>
        <v>17959.720667743746</v>
      </c>
      <c r="M21" s="79">
        <f>M20-L21</f>
        <v>853513.33757415228</v>
      </c>
      <c r="N21" s="126">
        <f>L21/M20</f>
        <v>2.0608463449203546E-2</v>
      </c>
      <c r="O21" s="52"/>
      <c r="P21" s="80">
        <f>I21</f>
        <v>40269</v>
      </c>
      <c r="Q21" s="97">
        <f ca="1">S20*N21</f>
        <v>14639.325403802864</v>
      </c>
      <c r="R21" s="98">
        <f ca="1">S20*$C$2/2</f>
        <v>17758.875425000002</v>
      </c>
      <c r="S21" s="99">
        <f ca="1">IF(P21&lt;$A$4,(VLOOKUP(P21,$A$11:$B$52,2,0)*$S$12),(S20-(Q21+R21)))</f>
        <v>638597.98899999994</v>
      </c>
      <c r="U21" s="80">
        <f>P21</f>
        <v>40269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40634</v>
      </c>
      <c r="B22" s="50">
        <v>0.55105743900000004</v>
      </c>
      <c r="C22" s="52"/>
      <c r="D22" s="70" t="str">
        <f ca="1">IF(E22&lt;$A$4,"Actual","Model Num")</f>
        <v>Actual</v>
      </c>
      <c r="E22" s="71">
        <f>DATE(YEAR(E21),MONTH(E21)+6,DAY(E21))</f>
        <v>40452</v>
      </c>
      <c r="F22" s="74">
        <f>MAX(IF(ISERROR(VLOOKUP(E22,$A$12:$B$52,2,0)),VLOOKUP(E22,$P$11:$S$52,4,0)/1000000,(VLOOKUP(E22,$A$12:$B$52,2,0))),0)</f>
        <v>0.60382715499999995</v>
      </c>
      <c r="G22" s="128">
        <f>F22*1000000</f>
        <v>603827.15499999991</v>
      </c>
      <c r="H22" s="64"/>
      <c r="I22" s="80">
        <f>E22</f>
        <v>40452</v>
      </c>
      <c r="J22" s="205">
        <f>$M$12*$N$7</f>
        <v>40138.71</v>
      </c>
      <c r="K22" s="88">
        <f>($F$7/360)*($O$2/100)*M21</f>
        <v>21721.914441262175</v>
      </c>
      <c r="L22" s="90">
        <f>J22-K22</f>
        <v>18416.795558737824</v>
      </c>
      <c r="M22" s="79">
        <f>M21-L22</f>
        <v>835096.54201541445</v>
      </c>
      <c r="N22" s="126">
        <f>L22/M21</f>
        <v>2.1577630656694682E-2</v>
      </c>
      <c r="O22" s="52"/>
      <c r="P22" s="80">
        <f>I22</f>
        <v>40452</v>
      </c>
      <c r="Q22" s="97">
        <f ca="1">S21*N22</f>
        <v>13779.431544749972</v>
      </c>
      <c r="R22" s="98">
        <f ca="1">S21*$C$2/2</f>
        <v>15964.949724999999</v>
      </c>
      <c r="S22" s="99">
        <f ca="1">IF(P22&lt;$A$4,(VLOOKUP(P22,$A$11:$B$52,2,0)*$S$12),(S21-(Q22+R22)))</f>
        <v>603827.15499999991</v>
      </c>
      <c r="U22" s="80">
        <f>P22</f>
        <v>40452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40452</v>
      </c>
      <c r="B23" s="50">
        <v>0.60382715499999995</v>
      </c>
      <c r="C23" s="52"/>
      <c r="D23" s="70" t="str">
        <f ca="1">IF(E23&lt;$A$4,"Actual","Model Num")</f>
        <v>Actual</v>
      </c>
      <c r="E23" s="71">
        <f>DATE(YEAR(E22),MONTH(E22)+6,DAY(E22))</f>
        <v>40634</v>
      </c>
      <c r="F23" s="74">
        <f>MAX(IF(ISERROR(VLOOKUP(E23,$A$12:$B$52,2,0)),VLOOKUP(E23,$P$11:$S$52,4,0)/1000000,(VLOOKUP(E23,$A$12:$B$52,2,0))),0)</f>
        <v>0.55105743900000004</v>
      </c>
      <c r="G23" s="128">
        <f>F23*1000000</f>
        <v>551057.43900000001</v>
      </c>
      <c r="H23" s="64"/>
      <c r="I23" s="80">
        <f>E23</f>
        <v>40634</v>
      </c>
      <c r="J23" s="205">
        <f>$M$12*$N$7</f>
        <v>40138.71</v>
      </c>
      <c r="K23" s="88">
        <f>($F$7/360)*($O$2/100)*M22</f>
        <v>21253.206994292297</v>
      </c>
      <c r="L23" s="90">
        <f>J23-K23</f>
        <v>18885.503005707702</v>
      </c>
      <c r="M23" s="79">
        <f>M22-L23</f>
        <v>816211.0390097067</v>
      </c>
      <c r="N23" s="126">
        <f>L23/M22</f>
        <v>2.261475416977491E-2</v>
      </c>
      <c r="O23" s="52"/>
      <c r="P23" s="80">
        <f>I23</f>
        <v>40634</v>
      </c>
      <c r="Q23" s="97">
        <f ca="1">S22*N23</f>
        <v>13655.402671359569</v>
      </c>
      <c r="R23" s="98">
        <f ca="1">S22*$C$2/2</f>
        <v>15095.678874999998</v>
      </c>
      <c r="S23" s="99">
        <f ca="1">IF(P23&lt;$A$4,(VLOOKUP(P23,$A$11:$B$52,2,0)*$S$12),(S22-(Q23+R23)))</f>
        <v>551057.43900000001</v>
      </c>
      <c r="U23" s="80">
        <f>P23</f>
        <v>40634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40269</v>
      </c>
      <c r="B24" s="50">
        <v>0.63859798899999998</v>
      </c>
      <c r="C24" s="52"/>
      <c r="D24" s="70" t="str">
        <f ca="1">IF(E24&lt;$A$4,"Actual","Model Num")</f>
        <v>Actual</v>
      </c>
      <c r="E24" s="71">
        <f>DATE(YEAR(E23),MONTH(E23)+6,DAY(E23))</f>
        <v>40817</v>
      </c>
      <c r="F24" s="74">
        <f>MAX(IF(ISERROR(VLOOKUP(E24,$A$12:$B$52,2,0)),VLOOKUP(E24,$P$11:$S$52,4,0)/1000000,(VLOOKUP(E24,$A$12:$B$52,2,0))),0)</f>
        <v>0.51327167399999996</v>
      </c>
      <c r="G24" s="128">
        <f>F24*1000000</f>
        <v>513271.67399999994</v>
      </c>
      <c r="H24" s="64"/>
      <c r="I24" s="80">
        <f>E24</f>
        <v>40817</v>
      </c>
      <c r="J24" s="205">
        <f>$M$12*$N$7</f>
        <v>40138.71</v>
      </c>
      <c r="K24" s="88">
        <f>($F$7/360)*($O$2/100)*M23</f>
        <v>20772.570942797036</v>
      </c>
      <c r="L24" s="90">
        <f>J24-K24</f>
        <v>19366.139057202963</v>
      </c>
      <c r="M24" s="79">
        <f>M23-L24</f>
        <v>796844.89995250374</v>
      </c>
      <c r="N24" s="126">
        <f>L24/M23</f>
        <v>2.3726877157529663E-2</v>
      </c>
      <c r="O24" s="52"/>
      <c r="P24" s="80">
        <f>I24</f>
        <v>40817</v>
      </c>
      <c r="Q24" s="97">
        <f ca="1">S23*N24</f>
        <v>13074.872161895895</v>
      </c>
      <c r="R24" s="98">
        <f ca="1">S23*$C$2/2</f>
        <v>13776.435975</v>
      </c>
      <c r="S24" s="99">
        <f ca="1">IF(P24&lt;$A$4,(VLOOKUP(P24,$A$11:$B$52,2,0)*$S$12),(S23-(Q24+R24)))</f>
        <v>513271.67399999994</v>
      </c>
      <c r="U24" s="80">
        <f>P24</f>
        <v>40817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40087</v>
      </c>
      <c r="B25" s="50">
        <v>0.71035501700000003</v>
      </c>
      <c r="C25" s="52"/>
      <c r="D25" s="70" t="str">
        <f ca="1">IF(E25&lt;$A$4,"Actual","Model Num")</f>
        <v>Actual</v>
      </c>
      <c r="E25" s="71">
        <f>DATE(YEAR(E24),MONTH(E24)+6,DAY(E24))</f>
        <v>41000</v>
      </c>
      <c r="F25" s="74">
        <f>MAX(IF(ISERROR(VLOOKUP(E25,$A$12:$B$52,2,0)),VLOOKUP(E25,$P$11:$S$52,4,0)/1000000,(VLOOKUP(E25,$A$12:$B$52,2,0))),0)</f>
        <v>0.47296840400000001</v>
      </c>
      <c r="G25" s="128">
        <f>F25*1000000</f>
        <v>472968.40399999998</v>
      </c>
      <c r="H25" s="64"/>
      <c r="I25" s="80">
        <f>E25</f>
        <v>41000</v>
      </c>
      <c r="J25" s="205">
        <f>$M$12*$N$7</f>
        <v>40138.71</v>
      </c>
      <c r="K25" s="88">
        <f>($F$7/360)*($O$2/100)*M24</f>
        <v>20279.702703791219</v>
      </c>
      <c r="L25" s="90">
        <f>J25-K25</f>
        <v>19859.00729620878</v>
      </c>
      <c r="M25" s="79">
        <f>M24-L25</f>
        <v>776985.89265629498</v>
      </c>
      <c r="N25" s="126">
        <f>L25/M24</f>
        <v>2.4922048566028952E-2</v>
      </c>
      <c r="O25" s="52"/>
      <c r="P25" s="80">
        <f>I25</f>
        <v>41000</v>
      </c>
      <c r="Q25" s="97">
        <f ca="1">S24*N25</f>
        <v>12791.781586994977</v>
      </c>
      <c r="R25" s="98">
        <f ca="1">S24*$C$2/2</f>
        <v>12831.79185</v>
      </c>
      <c r="S25" s="99">
        <f ca="1">IF(P25&lt;$A$4,(VLOOKUP(P25,$A$11:$B$52,2,0)*$S$12),(S24-(Q25+R25)))</f>
        <v>472968.40399999998</v>
      </c>
      <c r="U25" s="80">
        <f>P25</f>
        <v>41000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39904</v>
      </c>
      <c r="B26" s="50">
        <v>0.75324128700000004</v>
      </c>
      <c r="C26" s="52"/>
      <c r="D26" s="70" t="str">
        <f ca="1">IF(E26&lt;$A$4,"Actual","Model Num")</f>
        <v>Actual</v>
      </c>
      <c r="E26" s="71">
        <f>DATE(YEAR(E25),MONTH(E25)+6,DAY(E25))</f>
        <v>41183</v>
      </c>
      <c r="F26" s="74">
        <f>MAX(IF(ISERROR(VLOOKUP(E26,$A$12:$B$52,2,0)),VLOOKUP(E26,$P$11:$S$52,4,0)/1000000,(VLOOKUP(E26,$A$12:$B$52,2,0))),0)</f>
        <v>0.42284516700000002</v>
      </c>
      <c r="G26" s="128">
        <f>F26*1000000</f>
        <v>422845.16700000002</v>
      </c>
      <c r="H26" s="64"/>
      <c r="I26" s="80">
        <f>E26</f>
        <v>41183</v>
      </c>
      <c r="J26" s="205">
        <f>$M$12*$N$7</f>
        <v>40138.71</v>
      </c>
      <c r="K26" s="88">
        <f>($F$7/360)*($O$2/100)*M25</f>
        <v>19774.290968102709</v>
      </c>
      <c r="L26" s="90">
        <f>J26-K26</f>
        <v>20364.419031897291</v>
      </c>
      <c r="M26" s="79">
        <f>M25-L26</f>
        <v>756621.47362439765</v>
      </c>
      <c r="N26" s="126">
        <f>L26/M25</f>
        <v>2.6209509367380021E-2</v>
      </c>
      <c r="O26" s="52"/>
      <c r="P26" s="80">
        <f>I26</f>
        <v>41183</v>
      </c>
      <c r="Q26" s="97">
        <f ca="1">S25*N26</f>
        <v>12396.269815112777</v>
      </c>
      <c r="R26" s="98">
        <f ca="1">S25*$C$2/2</f>
        <v>11824.2101</v>
      </c>
      <c r="S26" s="99">
        <f ca="1">IF(P26&lt;$A$4,(VLOOKUP(P26,$A$11:$B$52,2,0)*$S$12),(S25-(Q26+R26)))</f>
        <v>422845.16700000002</v>
      </c>
      <c r="U26" s="80">
        <f>P26</f>
        <v>41183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39722</v>
      </c>
      <c r="B27" s="50">
        <v>0.78968672699999998</v>
      </c>
      <c r="C27" s="52"/>
      <c r="D27" s="70" t="str">
        <f ca="1">IF(E27&lt;$A$4,"Actual","Model Num")</f>
        <v>Actual</v>
      </c>
      <c r="E27" s="71">
        <f>DATE(YEAR(E26),MONTH(E26)+6,DAY(E26))</f>
        <v>41365</v>
      </c>
      <c r="F27" s="74">
        <f>MAX(IF(ISERROR(VLOOKUP(E27,$A$12:$B$52,2,0)),VLOOKUP(E27,$P$11:$S$52,4,0)/1000000,(VLOOKUP(E27,$A$12:$B$52,2,0))),0)</f>
        <v>0.36456686500000002</v>
      </c>
      <c r="G27" s="128">
        <f>F27*1000000</f>
        <v>364566.86499999999</v>
      </c>
      <c r="H27" s="64"/>
      <c r="I27" s="80">
        <f>E27</f>
        <v>41365</v>
      </c>
      <c r="J27" s="205">
        <f>$M$12*$N$7</f>
        <v>40138.71</v>
      </c>
      <c r="K27" s="88">
        <f>($F$7/360)*($O$2/100)*M26</f>
        <v>19256.016503740921</v>
      </c>
      <c r="L27" s="90">
        <f>J27-K27</f>
        <v>20882.693496259079</v>
      </c>
      <c r="M27" s="79">
        <f>M26-L27</f>
        <v>735738.78012813861</v>
      </c>
      <c r="N27" s="126">
        <f>L27/M26</f>
        <v>2.7599921789459643E-2</v>
      </c>
      <c r="O27" s="52"/>
      <c r="P27" s="80">
        <f>I27</f>
        <v>41365</v>
      </c>
      <c r="Q27" s="97">
        <f ca="1">S26*N27</f>
        <v>11670.493538251001</v>
      </c>
      <c r="R27" s="98">
        <f ca="1">S26*$C$2/2</f>
        <v>10571.129175000002</v>
      </c>
      <c r="S27" s="99">
        <f ca="1">IF(P27&lt;$A$4,(VLOOKUP(P27,$A$11:$B$52,2,0)*$S$12),(S26-(Q27+R27)))</f>
        <v>364566.86499999999</v>
      </c>
      <c r="U27" s="80">
        <f>P27</f>
        <v>41365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39539</v>
      </c>
      <c r="B28" s="50">
        <v>0.84762481000000001</v>
      </c>
      <c r="C28" s="52"/>
      <c r="D28" s="70" t="str">
        <f ca="1">IF(E28&lt;$A$4,"Actual","Model Num")</f>
        <v>Actual</v>
      </c>
      <c r="E28" s="71">
        <f>DATE(YEAR(E27),MONTH(E27)+6,DAY(E27))</f>
        <v>41548</v>
      </c>
      <c r="F28" s="74">
        <f>MAX(IF(ISERROR(VLOOKUP(E28,$A$12:$B$52,2,0)),VLOOKUP(E28,$P$11:$S$52,4,0)/1000000,(VLOOKUP(E28,$A$12:$B$52,2,0))),0)</f>
        <v>0.32679061199999998</v>
      </c>
      <c r="G28" s="128">
        <f>F28*1000000</f>
        <v>326790.61199999996</v>
      </c>
      <c r="H28" s="64"/>
      <c r="I28" s="80">
        <f>E28</f>
        <v>41548</v>
      </c>
      <c r="J28" s="205">
        <f>$M$12*$N$7</f>
        <v>40138.71</v>
      </c>
      <c r="K28" s="88">
        <f>($F$7/360)*($O$2/100)*M27</f>
        <v>18724.551954261129</v>
      </c>
      <c r="L28" s="90">
        <f>J28-K28</f>
        <v>21414.15804573887</v>
      </c>
      <c r="M28" s="79">
        <f>M27-L28</f>
        <v>714324.62208239979</v>
      </c>
      <c r="N28" s="126">
        <f>L28/M27</f>
        <v>2.9105653560913713E-2</v>
      </c>
      <c r="O28" s="52"/>
      <c r="P28" s="80">
        <f>I28</f>
        <v>41548</v>
      </c>
      <c r="Q28" s="97">
        <f ca="1">S27*N28</f>
        <v>10610.956872478399</v>
      </c>
      <c r="R28" s="98">
        <f ca="1">S27*$C$2/2</f>
        <v>9114.1716250000009</v>
      </c>
      <c r="S28" s="99">
        <f ca="1">IF(P28&lt;$A$4,(VLOOKUP(P28,$A$11:$B$52,2,0)*$S$12),(S27-(Q28+R28)))</f>
        <v>326790.61199999996</v>
      </c>
      <c r="U28" s="80">
        <f>P28</f>
        <v>41548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39356</v>
      </c>
      <c r="B29" s="50">
        <v>0.89126773599999998</v>
      </c>
      <c r="C29" s="52"/>
      <c r="D29" s="70" t="str">
        <f ca="1">IF(E29&lt;$A$4,"Actual","Model Num")</f>
        <v>Actual</v>
      </c>
      <c r="E29" s="71">
        <f>DATE(YEAR(E28),MONTH(E28)+6,DAY(E28))</f>
        <v>41730</v>
      </c>
      <c r="F29" s="74">
        <f>MAX(IF(ISERROR(VLOOKUP(E29,$A$12:$B$52,2,0)),VLOOKUP(E29,$P$11:$S$52,4,0)/1000000,(VLOOKUP(E29,$A$12:$B$52,2,0))),0)</f>
        <v>0.28787064499999998</v>
      </c>
      <c r="G29" s="128">
        <f>F29*1000000</f>
        <v>287870.64499999996</v>
      </c>
      <c r="H29" s="64"/>
      <c r="I29" s="80">
        <f>E29</f>
        <v>41730</v>
      </c>
      <c r="J29" s="205">
        <f>$M$12*$N$7</f>
        <v>40138.71</v>
      </c>
      <c r="K29" s="88">
        <f>($F$7/360)*($O$2/100)*M28</f>
        <v>18179.561631997076</v>
      </c>
      <c r="L29" s="90">
        <f>J29-K29</f>
        <v>21959.148368002923</v>
      </c>
      <c r="M29" s="79">
        <f>M28-L29</f>
        <v>692365.47371439682</v>
      </c>
      <c r="N29" s="126">
        <f>L29/M28</f>
        <v>3.074113321753854E-2</v>
      </c>
      <c r="O29" s="52"/>
      <c r="P29" s="80">
        <f>I29</f>
        <v>41730</v>
      </c>
      <c r="Q29" s="97">
        <f ca="1">S28*N29</f>
        <v>10045.913737732948</v>
      </c>
      <c r="R29" s="98">
        <f ca="1">S28*$C$2/2</f>
        <v>8169.7652999999991</v>
      </c>
      <c r="S29" s="99">
        <f ca="1">IF(P29&lt;$A$4,(VLOOKUP(P29,$A$11:$B$52,2,0)*$S$12),(S28-(Q29+R29)))</f>
        <v>287870.64499999996</v>
      </c>
      <c r="U29" s="80">
        <f>P29</f>
        <v>41730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39173</v>
      </c>
      <c r="B30" s="50">
        <v>0.922137121</v>
      </c>
      <c r="C30" s="52"/>
      <c r="D30" s="70" t="str">
        <f ca="1">IF(E30&lt;$A$4,"Actual","Model Num")</f>
        <v>Actual</v>
      </c>
      <c r="E30" s="71">
        <f>DATE(YEAR(E29),MONTH(E29)+6,DAY(E29))</f>
        <v>41913</v>
      </c>
      <c r="F30" s="74">
        <f>MAX(IF(ISERROR(VLOOKUP(E30,$A$12:$B$52,2,0)),VLOOKUP(E30,$P$11:$S$52,4,0)/1000000,(VLOOKUP(E30,$A$12:$B$52,2,0))),0)</f>
        <v>0.250693049</v>
      </c>
      <c r="G30" s="128">
        <f>F30*1000000</f>
        <v>250693.049</v>
      </c>
      <c r="H30" s="64"/>
      <c r="I30" s="80">
        <f>E30</f>
        <v>41913</v>
      </c>
      <c r="J30" s="205">
        <f>$M$12*$N$7</f>
        <v>40138.71</v>
      </c>
      <c r="K30" s="88">
        <f>($F$7/360)*($O$2/100)*M29</f>
        <v>17620.701306031398</v>
      </c>
      <c r="L30" s="90">
        <f>J30-K30</f>
        <v>22518.008693968601</v>
      </c>
      <c r="M30" s="79">
        <f>M29-L30</f>
        <v>669847.46502042818</v>
      </c>
      <c r="N30" s="126">
        <f>L30/M29</f>
        <v>3.2523298097411134E-2</v>
      </c>
      <c r="O30" s="52"/>
      <c r="P30" s="80">
        <f>I30</f>
        <v>41913</v>
      </c>
      <c r="Q30" s="97">
        <f ca="1">S29*N30</f>
        <v>9362.5028008290155</v>
      </c>
      <c r="R30" s="98">
        <f ca="1">S29*$C$2/2</f>
        <v>7196.7661249999992</v>
      </c>
      <c r="S30" s="99">
        <f ca="1">IF(P30&lt;$A$4,(VLOOKUP(P30,$A$11:$B$52,2,0)*$S$12),(S29-(Q30+R30)))</f>
        <v>250693.049</v>
      </c>
      <c r="U30" s="80">
        <f>P30</f>
        <v>41913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38991</v>
      </c>
      <c r="B31" s="50">
        <v>0.95754812</v>
      </c>
      <c r="C31" s="52"/>
      <c r="D31" s="70" t="str">
        <f ca="1">IF(E31&lt;$A$4,"Actual","Model Num")</f>
        <v>Actual</v>
      </c>
      <c r="E31" s="71">
        <f>DATE(YEAR(E30),MONTH(E30)+6,DAY(E30))</f>
        <v>42095</v>
      </c>
      <c r="F31" s="74">
        <f>MAX(IF(ISERROR(VLOOKUP(E31,$A$12:$B$52,2,0)),VLOOKUP(E31,$P$11:$S$52,4,0)/1000000,(VLOOKUP(E31,$A$12:$B$52,2,0))),0)</f>
        <v>0.21753256700000001</v>
      </c>
      <c r="G31" s="128">
        <f>F31*1000000</f>
        <v>217532.56700000001</v>
      </c>
      <c r="H31" s="64"/>
      <c r="I31" s="80">
        <f>E31</f>
        <v>42095</v>
      </c>
      <c r="J31" s="205">
        <f>$M$12*$N$7</f>
        <v>40138.71</v>
      </c>
      <c r="K31" s="88">
        <f>($F$7/360)*($O$2/100)*M30</f>
        <v>17047.617984769899</v>
      </c>
      <c r="L31" s="90">
        <f>J31-K31</f>
        <v>23091.092015230101</v>
      </c>
      <c r="M31" s="79">
        <f>M30-L31</f>
        <v>646756.37300519808</v>
      </c>
      <c r="N31" s="126">
        <f>L31/M30</f>
        <v>3.4472164516627525E-2</v>
      </c>
      <c r="O31" s="52"/>
      <c r="P31" s="80">
        <f>I31</f>
        <v>42095</v>
      </c>
      <c r="Q31" s="97">
        <f ca="1">S30*N31</f>
        <v>8641.9320283029647</v>
      </c>
      <c r="R31" s="98">
        <f ca="1">S30*$C$2/2</f>
        <v>6267.3262250000007</v>
      </c>
      <c r="S31" s="99">
        <f ca="1">IF(P31&lt;$A$4,(VLOOKUP(P31,$A$11:$B$52,2,0)*$S$12),(S30-(Q31+R31)))</f>
        <v>217532.56700000001</v>
      </c>
      <c r="U31" s="80">
        <f>P31</f>
        <v>42095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38808</v>
      </c>
      <c r="B32" s="50">
        <v>0.98083637300000004</v>
      </c>
      <c r="C32" s="52"/>
      <c r="D32" s="70" t="str">
        <f ca="1">IF(E32&lt;$A$4,"Actual","Model Num")</f>
        <v>Actual</v>
      </c>
      <c r="E32" s="71">
        <f>DATE(YEAR(E31),MONTH(E31)+6,DAY(E31))</f>
        <v>42278</v>
      </c>
      <c r="F32" s="74">
        <f>MAX(IF(ISERROR(VLOOKUP(E32,$A$12:$B$52,2,0)),VLOOKUP(E32,$P$11:$S$52,4,0)/1000000,(VLOOKUP(E32,$A$12:$B$52,2,0))),0)</f>
        <v>0.177129275</v>
      </c>
      <c r="G32" s="128">
        <f>F32*1000000</f>
        <v>177129.27499999999</v>
      </c>
      <c r="H32" s="64"/>
      <c r="I32" s="80">
        <f>E32</f>
        <v>42278</v>
      </c>
      <c r="J32" s="205">
        <f>$M$12*$N$7</f>
        <v>40138.71</v>
      </c>
      <c r="K32" s="88">
        <f>($F$7/360)*($O$2/100)*M31</f>
        <v>16459.949692982293</v>
      </c>
      <c r="L32" s="90">
        <f>J32-K32</f>
        <v>23678.760307017707</v>
      </c>
      <c r="M32" s="79">
        <f>M31-L32</f>
        <v>623077.61269818037</v>
      </c>
      <c r="N32" s="126">
        <f>L32/M31</f>
        <v>3.6611560852493362E-2</v>
      </c>
      <c r="O32" s="52"/>
      <c r="P32" s="80">
        <f>I32</f>
        <v>42278</v>
      </c>
      <c r="Q32" s="97">
        <f ca="1">S31*N32</f>
        <v>7964.2068141195896</v>
      </c>
      <c r="R32" s="98">
        <f ca="1">S31*$C$2/2</f>
        <v>5438.3141750000004</v>
      </c>
      <c r="S32" s="99">
        <f ca="1">IF(P32&lt;$A$4,(VLOOKUP(P32,$A$11:$B$52,2,0)*$S$12),(S31-(Q32+R32)))</f>
        <v>177129.27499999999</v>
      </c>
      <c r="U32" s="80">
        <f>P32</f>
        <v>42278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49">
        <v>38637</v>
      </c>
      <c r="B33" s="50">
        <v>1</v>
      </c>
      <c r="C33" s="52"/>
      <c r="D33" s="70" t="str">
        <f ca="1">IF(E33&lt;$A$4,"Actual","Model Num")</f>
        <v>Actual</v>
      </c>
      <c r="E33" s="71">
        <f>DATE(YEAR(E32),MONTH(E32)+6,DAY(E32))</f>
        <v>42461</v>
      </c>
      <c r="F33" s="74">
        <f>MAX(IF(ISERROR(VLOOKUP(E33,$A$12:$B$52,2,0)),VLOOKUP(E33,$P$11:$S$52,4,0)/1000000,(VLOOKUP(E33,$A$12:$B$52,2,0))),0)</f>
        <v>0.15544176200000001</v>
      </c>
      <c r="G33" s="128">
        <f>F33*1000000</f>
        <v>155441.76200000002</v>
      </c>
      <c r="H33" s="64"/>
      <c r="I33" s="80">
        <f>E33</f>
        <v>42461</v>
      </c>
      <c r="J33" s="205">
        <f>$M$12*$N$7</f>
        <v>40138.71</v>
      </c>
      <c r="K33" s="88">
        <f>($F$7/360)*($O$2/100)*M32</f>
        <v>15857.325243168691</v>
      </c>
      <c r="L33" s="90">
        <f>J33-K33</f>
        <v>24281.384756831307</v>
      </c>
      <c r="M33" s="79">
        <f>M32-L33</f>
        <v>598796.22794134903</v>
      </c>
      <c r="N33" s="126">
        <f>L33/M32</f>
        <v>3.8970080551735765E-2</v>
      </c>
      <c r="O33" s="52"/>
      <c r="P33" s="80">
        <f>I33</f>
        <v>42461</v>
      </c>
      <c r="Q33" s="97">
        <f ca="1">S32*N33</f>
        <v>6902.7421148205558</v>
      </c>
      <c r="R33" s="98">
        <f ca="1">S32*$C$2/2</f>
        <v>4428.2318750000004</v>
      </c>
      <c r="S33" s="99">
        <f ca="1">IF(P33&lt;$A$4,(VLOOKUP(P33,$A$11:$B$52,2,0)*$S$12),(S32-(Q33+R33)))</f>
        <v>155441.76200000002</v>
      </c>
      <c r="U33" s="80">
        <f>P33</f>
        <v>42461</v>
      </c>
      <c r="V33" s="97">
        <f ca="1">IF(U33&lt;$A$4,0,(YEARFRAC($A$4,U33,1)))</f>
        <v>0</v>
      </c>
      <c r="W33" s="141">
        <f ca="1">V33*(S32-S33)</f>
        <v>0</v>
      </c>
    </row>
    <row r="34" spans="1:23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42644</v>
      </c>
      <c r="F34" s="74">
        <f ca="1">MAX(IF(ISERROR(VLOOKUP(E34,$A$12:$B$52,2,0)),VLOOKUP(E34,$P$11:$S$52,4,0)/1000000,(VLOOKUP(E34,$A$12:$B$52,2,0))),0)</f>
        <v>0.14509208636029897</v>
      </c>
      <c r="G34" s="128">
        <f ca="1">F34*1000000</f>
        <v>145092.08636029897</v>
      </c>
      <c r="H34" s="64"/>
      <c r="I34" s="80">
        <f>E34</f>
        <v>42644</v>
      </c>
      <c r="J34" s="205">
        <f>$M$12*$N$7</f>
        <v>40138.71</v>
      </c>
      <c r="K34" s="88">
        <f>($F$7/360)*($O$2/100)*M33</f>
        <v>15239.364001107333</v>
      </c>
      <c r="L34" s="90">
        <f>J34-K34</f>
        <v>24899.345998892666</v>
      </c>
      <c r="M34" s="79">
        <f>M33-L34</f>
        <v>573896.88194245636</v>
      </c>
      <c r="N34" s="126">
        <f>L34/M33</f>
        <v>4.158233608868276E-2</v>
      </c>
      <c r="O34" s="52"/>
      <c r="P34" s="80">
        <f>I34</f>
        <v>42644</v>
      </c>
      <c r="Q34" s="97">
        <f ca="1">S33*N34</f>
        <v>6463.6315897010372</v>
      </c>
      <c r="R34" s="98">
        <f ca="1">S33*$C$2/2</f>
        <v>3886.0440500000004</v>
      </c>
      <c r="S34" s="99">
        <f ca="1">IF(P34&lt;$A$4,(VLOOKUP(P34,$A$11:$B$52,2,0)*$S$12),(S33-(Q34+R34)))</f>
        <v>145092.08636029897</v>
      </c>
      <c r="U34" s="80">
        <f>P34</f>
        <v>42644</v>
      </c>
      <c r="V34" s="97">
        <f ca="1">IF(U34&lt;$A$4,0,(YEARFRAC($A$4,U34,1)))</f>
        <v>0.48087431693989069</v>
      </c>
      <c r="W34" s="141">
        <f ca="1">V34*(S33-S34)</f>
        <v>4976.893203790667</v>
      </c>
    </row>
    <row r="35" spans="1:23">
      <c r="A35" s="49"/>
      <c r="B35" s="50"/>
      <c r="D35" s="70" t="str">
        <f ca="1">IF(E35&lt;$A$4,"Actual","Model Num")</f>
        <v>Model Num</v>
      </c>
      <c r="E35" s="71">
        <f>DATE(YEAR(E34),MONTH(E34)+6,DAY(E34))</f>
        <v>42826</v>
      </c>
      <c r="F35" s="74">
        <f ca="1">MAX(IF(ISERROR(VLOOKUP(E35,$A$12:$B$52,2,0)),VLOOKUP(E35,$P$11:$S$52,4,0)/1000000,(VLOOKUP(E35,$A$12:$B$52,2,0))),0)</f>
        <v>0.13500954573915885</v>
      </c>
      <c r="G35" s="128">
        <f ca="1">F35*1000000</f>
        <v>135009.54573915884</v>
      </c>
      <c r="I35" s="80">
        <f>E35</f>
        <v>42826</v>
      </c>
      <c r="J35" s="205">
        <f>$M$12*$N$7</f>
        <v>40138.71</v>
      </c>
      <c r="K35" s="88">
        <f>($F$7/360)*($O$2/100)*M34</f>
        <v>14605.675645435515</v>
      </c>
      <c r="L35" s="90">
        <f>J35-K35</f>
        <v>25533.034354564486</v>
      </c>
      <c r="M35" s="79">
        <f>M34-L35</f>
        <v>548363.84758789185</v>
      </c>
      <c r="N35" s="126">
        <f>L35/M34</f>
        <v>4.4490630909412465E-2</v>
      </c>
      <c r="O35" s="52"/>
      <c r="P35" s="80">
        <f>I35</f>
        <v>42826</v>
      </c>
      <c r="Q35" s="97">
        <f ca="1">S34*N35</f>
        <v>6455.2384621326601</v>
      </c>
      <c r="R35" s="98">
        <f ca="1">S34*$C$2/2</f>
        <v>3627.3021590074745</v>
      </c>
      <c r="S35" s="99">
        <f ca="1">IF(P35&lt;$A$4,(VLOOKUP(P35,$A$11:$B$52,2,0)*$S$12),(S34-(Q35+R35)))</f>
        <v>135009.54573915884</v>
      </c>
      <c r="U35" s="80">
        <f>P35</f>
        <v>42826</v>
      </c>
      <c r="V35" s="97">
        <f ca="1">IF(U35&lt;$A$4,0,(YEARFRAC($A$4,U35,1)))</f>
        <v>0.98082191780821915</v>
      </c>
      <c r="W35" s="141">
        <f ca="1">V35*(S34-S35)</f>
        <v>9889.1768284059326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43009</v>
      </c>
      <c r="F36" s="74">
        <f ca="1">MAX(IF(ISERROR(VLOOKUP(E36,$A$12:$B$52,2,0)),VLOOKUP(E36,$P$11:$S$52,4,0)/1000000,(VLOOKUP(E36,$A$12:$B$52,2,0))),0)</f>
        <v>0.12518797641422369</v>
      </c>
      <c r="G36" s="128">
        <f ca="1">F36*1000000</f>
        <v>125187.9764142237</v>
      </c>
      <c r="I36" s="80">
        <f>E36</f>
        <v>43009</v>
      </c>
      <c r="J36" s="205">
        <f>$M$12*$N$7</f>
        <v>40138.71</v>
      </c>
      <c r="K36" s="88">
        <f>($F$7/360)*($O$2/100)*M35</f>
        <v>13955.859921111847</v>
      </c>
      <c r="L36" s="90">
        <f>J36-K36</f>
        <v>26182.85007888815</v>
      </c>
      <c r="M36" s="79">
        <f>M35-L36</f>
        <v>522180.99750900373</v>
      </c>
      <c r="N36" s="126">
        <f>L36/M35</f>
        <v>4.7747221473588404E-2</v>
      </c>
      <c r="O36" s="52"/>
      <c r="P36" s="80">
        <f>I36</f>
        <v>43009</v>
      </c>
      <c r="Q36" s="97">
        <f ca="1">S35*N36</f>
        <v>6446.3306814561811</v>
      </c>
      <c r="R36" s="98">
        <f ca="1">S35*$C$2/2</f>
        <v>3375.2386434789714</v>
      </c>
      <c r="S36" s="99">
        <f ca="1">IF(P36&lt;$A$4,(VLOOKUP(P36,$A$11:$B$52,2,0)*$S$12),(S35-(Q36+R36)))</f>
        <v>125187.9764142237</v>
      </c>
      <c r="U36" s="80">
        <f>P36</f>
        <v>43009</v>
      </c>
      <c r="V36" s="97">
        <f ca="1">IF(U36&lt;$A$4,0,(YEARFRAC($A$4,U36,1)))</f>
        <v>1.4801641586867305</v>
      </c>
      <c r="W36" s="141">
        <f ca="1">V36*(S35-S36)</f>
        <v>14537.53489682603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43191</v>
      </c>
      <c r="F37" s="74">
        <f ca="1">MAX(IF(ISERROR(VLOOKUP(E37,$A$12:$B$52,2,0)),VLOOKUP(E37,$P$11:$S$52,4,0)/1000000,(VLOOKUP(E37,$A$12:$B$52,2,0))),0)</f>
        <v>0.11562143329502263</v>
      </c>
      <c r="G37" s="128">
        <f ca="1">F37*1000000</f>
        <v>115621.43329502262</v>
      </c>
      <c r="I37" s="80">
        <f>E37</f>
        <v>43191</v>
      </c>
      <c r="J37" s="205">
        <f>$M$12*$N$7</f>
        <v>40138.71</v>
      </c>
      <c r="K37" s="88">
        <f>($F$7/360)*($O$2/100)*M36</f>
        <v>13289.506386604146</v>
      </c>
      <c r="L37" s="90">
        <f>J37-K37</f>
        <v>26849.203613395854</v>
      </c>
      <c r="M37" s="79">
        <f>M36-L37</f>
        <v>495331.79389560787</v>
      </c>
      <c r="N37" s="126">
        <f>L37/M36</f>
        <v>5.1417427561470976E-2</v>
      </c>
      <c r="O37" s="52"/>
      <c r="P37" s="80">
        <f>I37</f>
        <v>43191</v>
      </c>
      <c r="Q37" s="97">
        <f ca="1">S36*N37</f>
        <v>6436.8437088454839</v>
      </c>
      <c r="R37" s="98">
        <f ca="1">S36*$C$2/2</f>
        <v>3129.6994103555926</v>
      </c>
      <c r="S37" s="99">
        <f ca="1">IF(P37&lt;$A$4,(VLOOKUP(P37,$A$11:$B$52,2,0)*$S$12),(S36-(Q37+R37)))</f>
        <v>115621.43329502262</v>
      </c>
      <c r="U37" s="80">
        <f>P37</f>
        <v>43191</v>
      </c>
      <c r="V37" s="97">
        <f ca="1">IF(U37&lt;$A$4,0,(YEARFRAC($A$4,U37,1)))</f>
        <v>1.9790145985401462</v>
      </c>
      <c r="W37" s="141">
        <f ca="1">V37*(S36-S37)</f>
        <v>18932.328490462707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43374</v>
      </c>
      <c r="F38" s="74">
        <f ca="1">MAX(IF(ISERROR(VLOOKUP(E38,$A$12:$B$52,2,0)),VLOOKUP(E38,$P$11:$S$52,4,0)/1000000,(VLOOKUP(E38,$A$12:$B$52,2,0))),0)</f>
        <v>0.10630419725182036</v>
      </c>
      <c r="G38" s="128">
        <f ca="1">F38*1000000</f>
        <v>106304.19725182035</v>
      </c>
      <c r="I38" s="80">
        <f>E38</f>
        <v>43374</v>
      </c>
      <c r="J38" s="205">
        <f>$M$12*$N$7</f>
        <v>40138.71</v>
      </c>
      <c r="K38" s="88">
        <f>($F$7/360)*($O$2/100)*M37</f>
        <v>12606.194154643221</v>
      </c>
      <c r="L38" s="90">
        <f>J38-K38</f>
        <v>27532.515845356778</v>
      </c>
      <c r="M38" s="79">
        <f>M37-L38</f>
        <v>467799.27805025107</v>
      </c>
      <c r="N38" s="126">
        <f>L38/M37</f>
        <v>5.5583986702778275E-2</v>
      </c>
      <c r="O38" s="52"/>
      <c r="P38" s="80">
        <f>I38</f>
        <v>43374</v>
      </c>
      <c r="Q38" s="97">
        <f ca="1">S37*N38</f>
        <v>6426.7002108267025</v>
      </c>
      <c r="R38" s="98">
        <f ca="1">S37*$C$2/2</f>
        <v>2890.5358323755659</v>
      </c>
      <c r="S38" s="99">
        <f ca="1">IF(P38&lt;$A$4,(VLOOKUP(P38,$A$11:$B$52,2,0)*$S$12),(S37-(Q38+R38)))</f>
        <v>106304.19725182035</v>
      </c>
      <c r="U38" s="80">
        <f>P38</f>
        <v>43374</v>
      </c>
      <c r="V38" s="97">
        <f ca="1">IF(U38&lt;$A$4,0,(YEARFRAC($A$4,U38,1)))</f>
        <v>2.4799270072992701</v>
      </c>
      <c r="W38" s="141">
        <f ca="1">V38*(S37-S38)</f>
        <v>23106.065296919496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43556</v>
      </c>
      <c r="F39" s="74">
        <f ca="1">MAX(IF(ISERROR(VLOOKUP(E39,$A$12:$B$52,2,0)),VLOOKUP(E39,$P$11:$S$52,4,0)/1000000,(VLOOKUP(E39,$A$12:$B$52,2,0))),0)</f>
        <v>9.723078589270745E-2</v>
      </c>
      <c r="G39" s="128">
        <f ca="1">F39*1000000</f>
        <v>97230.785892707456</v>
      </c>
      <c r="I39" s="80">
        <f>E39</f>
        <v>43556</v>
      </c>
      <c r="J39" s="205">
        <f>$M$12*$N$7</f>
        <v>40138.71</v>
      </c>
      <c r="K39" s="88">
        <f>($F$7/360)*($O$2/100)*M38</f>
        <v>11905.491626378889</v>
      </c>
      <c r="L39" s="90">
        <f>J39-K39</f>
        <v>28233.218373621108</v>
      </c>
      <c r="M39" s="79">
        <f>M38-L39</f>
        <v>439566.05967662996</v>
      </c>
      <c r="N39" s="126">
        <f>L39/M38</f>
        <v>6.0353274787628662E-2</v>
      </c>
      <c r="O39" s="52"/>
      <c r="P39" s="80">
        <f>I39</f>
        <v>43556</v>
      </c>
      <c r="Q39" s="97">
        <f ca="1">S38*N39</f>
        <v>6415.8064278173933</v>
      </c>
      <c r="R39" s="98">
        <f ca="1">S38*$C$2/2</f>
        <v>2657.6049312955092</v>
      </c>
      <c r="S39" s="99">
        <f ca="1">IF(P39&lt;$A$4,(VLOOKUP(P39,$A$11:$B$52,2,0)*$S$12),(S38-(Q39+R39)))</f>
        <v>97230.785892707456</v>
      </c>
      <c r="U39" s="80">
        <f>P39</f>
        <v>43556</v>
      </c>
      <c r="V39" s="97">
        <f ca="1">IF(U39&lt;$A$4,0,(YEARFRAC($A$4,U39,1)))</f>
        <v>2.9787816563997263</v>
      </c>
      <c r="W39" s="141">
        <f ca="1">V39*(S38-S39)</f>
        <v>27027.711317494413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43739</v>
      </c>
      <c r="F40" s="74">
        <f ca="1">MAX(IF(ISERROR(VLOOKUP(E40,$A$12:$B$52,2,0)),VLOOKUP(E40,$P$11:$S$52,4,0)/1000000,(VLOOKUP(E40,$A$12:$B$52,2,0))),0)</f>
        <v>8.8395969092176868E-2</v>
      </c>
      <c r="G40" s="128">
        <f ca="1">F40*1000000</f>
        <v>88395.969092176863</v>
      </c>
      <c r="I40" s="80">
        <f>E40</f>
        <v>43739</v>
      </c>
      <c r="J40" s="205">
        <f>$M$12*$N$7</f>
        <v>40138.71</v>
      </c>
      <c r="K40" s="88">
        <f>($F$7/360)*($O$2/100)*M39</f>
        <v>11186.956218770232</v>
      </c>
      <c r="L40" s="90">
        <f>J40-K40</f>
        <v>28951.753781229767</v>
      </c>
      <c r="M40" s="79">
        <f>M39-L40</f>
        <v>410614.30589540018</v>
      </c>
      <c r="N40" s="126">
        <f>L40/M39</f>
        <v>6.586439772563045E-2</v>
      </c>
      <c r="O40" s="52"/>
      <c r="P40" s="80">
        <f>I40</f>
        <v>43739</v>
      </c>
      <c r="Q40" s="97">
        <f ca="1">S39*N40</f>
        <v>6404.0471532129022</v>
      </c>
      <c r="R40" s="98">
        <f ca="1">S39*$C$2/2</f>
        <v>2430.7696473176866</v>
      </c>
      <c r="S40" s="99">
        <f ca="1">IF(P40&lt;$A$4,(VLOOKUP(P40,$A$11:$B$52,2,0)*$S$12),(S39-(Q40+R40)))</f>
        <v>88395.969092176863</v>
      </c>
      <c r="U40" s="80">
        <f>P40</f>
        <v>43739</v>
      </c>
      <c r="V40" s="97">
        <f ca="1">IF(U40&lt;$A$4,0,(YEARFRAC($A$4,U40,1)))</f>
        <v>3.4798083504449009</v>
      </c>
      <c r="W40" s="141">
        <f ca="1">V40*(S39-S40)</f>
        <v>30743.469277137257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43922</v>
      </c>
      <c r="F41" s="74">
        <f ca="1">MAX(IF(ISERROR(VLOOKUP(E41,$A$12:$B$52,2,0)),VLOOKUP(E41,$P$11:$S$52,4,0)/1000000,(VLOOKUP(E41,$A$12:$B$52,2,0))),0)</f>
        <v>7.9794791233586126E-2</v>
      </c>
      <c r="G41" s="128">
        <f ca="1">F41*1000000</f>
        <v>79794.791233586133</v>
      </c>
      <c r="I41" s="80">
        <f>E41</f>
        <v>43922</v>
      </c>
      <c r="J41" s="205">
        <f>$M$12*$N$7</f>
        <v>40138.71</v>
      </c>
      <c r="K41" s="88">
        <f>($F$7/360)*($O$2/100)*M40</f>
        <v>10450.134085037935</v>
      </c>
      <c r="L41" s="90">
        <f>J41-K41</f>
        <v>29688.575914962064</v>
      </c>
      <c r="M41" s="79">
        <f>M40-L41</f>
        <v>380925.72998043813</v>
      </c>
      <c r="N41" s="126">
        <f>L41/M40</f>
        <v>7.2302828929016724E-2</v>
      </c>
      <c r="O41" s="52"/>
      <c r="P41" s="80">
        <f>I41</f>
        <v>43922</v>
      </c>
      <c r="Q41" s="97">
        <f ca="1">S40*N41</f>
        <v>6391.2786312863136</v>
      </c>
      <c r="R41" s="98">
        <f ca="1">S40*$C$2/2</f>
        <v>2209.8992273044219</v>
      </c>
      <c r="S41" s="99">
        <f ca="1">IF(P41&lt;$A$4,(VLOOKUP(P41,$A$11:$B$52,2,0)*$S$12),(S40-(Q41+R41)))</f>
        <v>79794.791233586133</v>
      </c>
      <c r="U41" s="80">
        <f>P41</f>
        <v>43922</v>
      </c>
      <c r="V41" s="97">
        <f ca="1">IF(U41&lt;$A$4,0,(YEARFRAC($A$4,U41,1)))</f>
        <v>3.9792008757526003</v>
      </c>
      <c r="W41" s="141">
        <f ca="1">V41*(S40-S41)</f>
        <v>34225.814467408112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44105</v>
      </c>
      <c r="F42" s="74">
        <f ca="1">MAX(IF(ISERROR(VLOOKUP(E42,$A$12:$B$52,2,0)),VLOOKUP(E42,$P$11:$S$52,4,0)/1000000,(VLOOKUP(E42,$A$12:$B$52,2,0))),0)</f>
        <v>7.1422603209152724E-2</v>
      </c>
      <c r="G42" s="128">
        <f ca="1">F42*1000000</f>
        <v>71422.60320915273</v>
      </c>
      <c r="I42" s="80">
        <f>E42</f>
        <v>44105</v>
      </c>
      <c r="J42" s="205">
        <f>$M$12*$N$7</f>
        <v>40138.71</v>
      </c>
      <c r="K42" s="88">
        <f>($F$7/360)*($O$2/100)*M41</f>
        <v>9694.5598280021513</v>
      </c>
      <c r="L42" s="90">
        <f>J42-K42</f>
        <v>30444.150171997848</v>
      </c>
      <c r="M42" s="79">
        <f>M41-L42</f>
        <v>350481.57980844029</v>
      </c>
      <c r="N42" s="126">
        <f>L42/M41</f>
        <v>7.9921485412815935E-2</v>
      </c>
      <c r="O42" s="52"/>
      <c r="P42" s="80">
        <f>I42</f>
        <v>44105</v>
      </c>
      <c r="Q42" s="97">
        <f ca="1">S41*N42</f>
        <v>6377.318243593747</v>
      </c>
      <c r="R42" s="98">
        <f ca="1">S41*$C$2/2</f>
        <v>1994.8697808396535</v>
      </c>
      <c r="S42" s="99">
        <f ca="1">IF(P42&lt;$A$4,(VLOOKUP(P42,$A$11:$B$52,2,0)*$S$12),(S41-(Q42+R42)))</f>
        <v>71422.60320915273</v>
      </c>
      <c r="U42" s="80">
        <f>P42</f>
        <v>44105</v>
      </c>
      <c r="V42" s="97">
        <f ca="1">IF(U42&lt;$A$4,0,(YEARFRAC($A$4,U42,1)))</f>
        <v>4.4800218938149978</v>
      </c>
      <c r="W42" s="141">
        <f ca="1">V42*(S41-S42)</f>
        <v>37507.585648597378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44287</v>
      </c>
      <c r="F43" s="74">
        <f ca="1">MAX(IF(ISERROR(VLOOKUP(E43,$A$12:$B$52,2,0)),VLOOKUP(E43,$P$11:$S$52,4,0)/1000000,(VLOOKUP(E43,$A$12:$B$52,2,0))),0)</f>
        <v>6.3275109063654605E-2</v>
      </c>
      <c r="G43" s="128">
        <f ca="1">F43*1000000</f>
        <v>63275.109063654607</v>
      </c>
      <c r="I43" s="80">
        <f>E43</f>
        <v>44287</v>
      </c>
      <c r="J43" s="205">
        <f>$M$12*$N$7</f>
        <v>40138.71</v>
      </c>
      <c r="K43" s="88">
        <f>($F$7/360)*($O$2/100)*M42</f>
        <v>8919.7562061248063</v>
      </c>
      <c r="L43" s="90">
        <f>J43-K43</f>
        <v>31218.953793875193</v>
      </c>
      <c r="M43" s="79">
        <f>M42-L43</f>
        <v>319262.62601456512</v>
      </c>
      <c r="N43" s="126">
        <f>L43/M42</f>
        <v>8.9074449535802333E-2</v>
      </c>
      <c r="O43" s="52"/>
      <c r="P43" s="80">
        <f>I43</f>
        <v>44287</v>
      </c>
      <c r="Q43" s="97">
        <f ca="1">S42*N43</f>
        <v>6361.9290652693089</v>
      </c>
      <c r="R43" s="98">
        <f ca="1">S42*$C$2/2</f>
        <v>1785.5650802288183</v>
      </c>
      <c r="S43" s="99">
        <f ca="1">IF(P43&lt;$A$4,(VLOOKUP(P43,$A$11:$B$52,2,0)*$S$12),(S42-(Q43+R43)))</f>
        <v>63275.1090636546</v>
      </c>
      <c r="U43" s="80">
        <f>P43</f>
        <v>44287</v>
      </c>
      <c r="V43" s="97">
        <f ca="1">IF(U43&lt;$A$4,0,(YEARFRAC($A$4,U43,1)))</f>
        <v>4.9790145985401466</v>
      </c>
      <c r="W43" s="141">
        <f ca="1">V43*(S42-S43)</f>
        <v>40566.492291955568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44470</v>
      </c>
      <c r="F44" s="74">
        <f ca="1">MAX(IF(ISERROR(VLOOKUP(E44,$A$12:$B$52,2,0)),VLOOKUP(E44,$P$11:$S$52,4,0)/1000000,(VLOOKUP(E44,$A$12:$B$52,2,0))),0)</f>
        <v>5.5348435451245952E-2</v>
      </c>
      <c r="G44" s="128">
        <f ca="1">F44*1000000</f>
        <v>55348.435451245954</v>
      </c>
      <c r="I44" s="80">
        <f>E44</f>
        <v>44470</v>
      </c>
      <c r="J44" s="205">
        <f>$M$12*$N$7</f>
        <v>40138.71</v>
      </c>
      <c r="K44" s="88">
        <f>($F$7/360)*($O$2/100)*M43</f>
        <v>8125.2338320706822</v>
      </c>
      <c r="L44" s="90">
        <f>J44-K44</f>
        <v>32013.476167929315</v>
      </c>
      <c r="M44" s="79">
        <f>M43-L44</f>
        <v>287249.14984663582</v>
      </c>
      <c r="N44" s="126">
        <f>L44/M43</f>
        <v>0.10027317186343267</v>
      </c>
      <c r="O44" s="52"/>
      <c r="P44" s="80">
        <f>I44</f>
        <v>44470</v>
      </c>
      <c r="Q44" s="97">
        <f ca="1">S43*N44</f>
        <v>6344.7958858172833</v>
      </c>
      <c r="R44" s="98">
        <f ca="1">S43*$C$2/2</f>
        <v>1581.877726591365</v>
      </c>
      <c r="S44" s="99">
        <f ca="1">IF(P44&lt;$A$4,(VLOOKUP(P44,$A$11:$B$52,2,0)*$S$12),(S43-(Q44+R44)))</f>
        <v>55348.435451245954</v>
      </c>
      <c r="U44" s="80">
        <f>P44</f>
        <v>44470</v>
      </c>
      <c r="V44" s="97">
        <f ca="1">IF(U44&lt;$A$4,0,(YEARFRAC($A$4,U44,1)))</f>
        <v>5.4799270072992705</v>
      </c>
      <c r="W44" s="141">
        <f ca="1">V44*(S43-S44)</f>
        <v>43437.59280668461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44652</v>
      </c>
      <c r="F45" s="74">
        <f ca="1">MAX(IF(ISERROR(VLOOKUP(E45,$A$12:$B$52,2,0)),VLOOKUP(E45,$P$11:$S$52,4,0)/1000000,(VLOOKUP(E45,$A$12:$B$52,2,0))),0)</f>
        <v>4.7639238244741866E-2</v>
      </c>
      <c r="G45" s="128">
        <f ca="1">F45*1000000</f>
        <v>47639.238244741864</v>
      </c>
      <c r="I45" s="80">
        <f>E45</f>
        <v>44652</v>
      </c>
      <c r="J45" s="205">
        <f>$M$12*$N$7</f>
        <v>40138.71</v>
      </c>
      <c r="K45" s="88">
        <f>($F$7/360)*($O$2/100)*M44</f>
        <v>7310.4908635968814</v>
      </c>
      <c r="L45" s="90">
        <f>J45-K45</f>
        <v>32828.219136403117</v>
      </c>
      <c r="M45" s="79">
        <f>M44-L45</f>
        <v>254420.9307102327</v>
      </c>
      <c r="N45" s="126">
        <f>L45/M44</f>
        <v>0.11428482609584856</v>
      </c>
      <c r="O45" s="52"/>
      <c r="P45" s="80">
        <f>I45</f>
        <v>44652</v>
      </c>
      <c r="Q45" s="97">
        <f ca="1">S44*N45</f>
        <v>6325.4863202229426</v>
      </c>
      <c r="R45" s="98">
        <f ca="1">S44*$C$2/2</f>
        <v>1383.710886281149</v>
      </c>
      <c r="S45" s="99">
        <f ca="1">IF(P45&lt;$A$4,(VLOOKUP(P45,$A$11:$B$52,2,0)*$S$12),(S44-(Q45+R45)))</f>
        <v>47639.238244741864</v>
      </c>
      <c r="U45" s="80">
        <f>P45</f>
        <v>44652</v>
      </c>
      <c r="V45" s="97">
        <f ca="1">IF(U45&lt;$A$4,0,(YEARFRAC($A$4,U45,1)))</f>
        <v>5.9788815017598749</v>
      </c>
      <c r="W45" s="141">
        <f ca="1">V45*(S44-S45)</f>
        <v>46092.376571386209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44835</v>
      </c>
      <c r="F46" s="74">
        <f ca="1">MAX(IF(ISERROR(VLOOKUP(E46,$A$12:$B$52,2,0)),VLOOKUP(E46,$P$11:$S$52,4,0)/1000000,(VLOOKUP(E46,$A$12:$B$52,2,0))),0)</f>
        <v>4.0144873003233585E-2</v>
      </c>
      <c r="G46" s="128">
        <f ca="1">F46*1000000</f>
        <v>40144.873003233588</v>
      </c>
      <c r="I46" s="80">
        <f>E46</f>
        <v>44835</v>
      </c>
      <c r="J46" s="205">
        <f>$M$12*$N$7</f>
        <v>40138.71</v>
      </c>
      <c r="K46" s="88">
        <f>($F$7/360)*($O$2/100)*M45</f>
        <v>6475.0126865754228</v>
      </c>
      <c r="L46" s="90">
        <f>J46-K46</f>
        <v>33663.697313424578</v>
      </c>
      <c r="M46" s="79">
        <f>M45-L46</f>
        <v>220757.23339680812</v>
      </c>
      <c r="N46" s="126">
        <f>L46/M45</f>
        <v>0.13231496803132572</v>
      </c>
      <c r="O46" s="52"/>
      <c r="P46" s="80">
        <f>I46</f>
        <v>44835</v>
      </c>
      <c r="Q46" s="97">
        <f ca="1">S45*N46</f>
        <v>6303.3842853897295</v>
      </c>
      <c r="R46" s="98">
        <f ca="1">S45*$C$2/2</f>
        <v>1190.9809561185466</v>
      </c>
      <c r="S46" s="99">
        <f ca="1">IF(P46&lt;$A$4,(VLOOKUP(P46,$A$11:$B$52,2,0)*$S$12),(S45-(Q46+R46)))</f>
        <v>40144.873003233588</v>
      </c>
      <c r="U46" s="80">
        <f>P46</f>
        <v>44835</v>
      </c>
      <c r="V46" s="97">
        <f ca="1">IF(U46&lt;$A$4,0,(YEARFRAC($A$4,U46,1)))</f>
        <v>6.4798592100117327</v>
      </c>
      <c r="W46" s="141">
        <f ca="1">V46*(S45-S46)</f>
        <v>48562.431633379209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45017</v>
      </c>
      <c r="F47" s="74">
        <f ca="1">MAX(IF(ISERROR(VLOOKUP(E47,$A$12:$B$52,2,0)),VLOOKUP(E47,$P$11:$S$52,4,0)/1000000,(VLOOKUP(E47,$A$12:$B$52,2,0))),0)</f>
        <v>3.2863682852695149E-2</v>
      </c>
      <c r="G47" s="128">
        <f ca="1">F47*1000000</f>
        <v>32863.68285269515</v>
      </c>
      <c r="I47" s="80">
        <f>E47</f>
        <v>45017</v>
      </c>
      <c r="J47" s="205">
        <f>$M$12*$N$7</f>
        <v>40138.71</v>
      </c>
      <c r="K47" s="88">
        <f>($F$7/360)*($O$2/100)*M46</f>
        <v>5618.2715899487666</v>
      </c>
      <c r="L47" s="90">
        <f>J47-K47</f>
        <v>34520.438410051232</v>
      </c>
      <c r="M47" s="79">
        <f>M46-L47</f>
        <v>186236.7949867569</v>
      </c>
      <c r="N47" s="126">
        <f>L47/M46</f>
        <v>0.15637285301542628</v>
      </c>
      <c r="O47" s="52"/>
      <c r="P47" s="80">
        <f>I47</f>
        <v>45017</v>
      </c>
      <c r="Q47" s="97">
        <f ca="1">S46*N47</f>
        <v>6277.5683254576006</v>
      </c>
      <c r="R47" s="98">
        <f ca="1">S46*$C$2/2</f>
        <v>1003.6218250808397</v>
      </c>
      <c r="S47" s="99">
        <f ca="1">IF(P47&lt;$A$4,(VLOOKUP(P47,$A$11:$B$52,2,0)*$S$12),(S46-(Q47+R47)))</f>
        <v>32863.68285269515</v>
      </c>
      <c r="U47" s="80">
        <f>P47</f>
        <v>45017</v>
      </c>
      <c r="V47" s="97">
        <f ca="1">IF(U47&lt;$A$4,0,(YEARFRAC($A$4,U47,1)))</f>
        <v>6.9787816563997263</v>
      </c>
      <c r="W47" s="141">
        <f ca="1">V47*(S46-S47)</f>
        <v>50813.836259336007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45200</v>
      </c>
      <c r="F48" s="74">
        <f ca="1">MAX(IF(ISERROR(VLOOKUP(E48,$A$12:$B$52,2,0)),VLOOKUP(E48,$P$11:$S$52,4,0)/1000000,(VLOOKUP(E48,$A$12:$B$52,2,0))),0)</f>
        <v>2.5795521893872641E-2</v>
      </c>
      <c r="G48" s="128">
        <f ca="1">F48*1000000</f>
        <v>25795.521893872639</v>
      </c>
      <c r="I48" s="80">
        <f>E48</f>
        <v>45200</v>
      </c>
      <c r="J48" s="205">
        <f>$M$12*$N$7</f>
        <v>40138.71</v>
      </c>
      <c r="K48" s="88">
        <f>($F$7/360)*($O$2/100)*M47</f>
        <v>4739.7264324129628</v>
      </c>
      <c r="L48" s="90">
        <f>J48-K48</f>
        <v>35398.983567587034</v>
      </c>
      <c r="M48" s="79">
        <f>M47-L48</f>
        <v>150837.81141916986</v>
      </c>
      <c r="N48" s="126">
        <f>L48/M47</f>
        <v>0.19007513295159648</v>
      </c>
      <c r="O48" s="52"/>
      <c r="P48" s="80">
        <f>I48</f>
        <v>45200</v>
      </c>
      <c r="Q48" s="97">
        <f ca="1">S47*N48</f>
        <v>6246.5688875051319</v>
      </c>
      <c r="R48" s="98">
        <f ca="1">S47*$C$2/2</f>
        <v>821.59207131737878</v>
      </c>
      <c r="S48" s="99">
        <f ca="1">IF(P48&lt;$A$4,(VLOOKUP(P48,$A$11:$B$52,2,0)*$S$12),(S47-(Q48+R48)))</f>
        <v>25795.521893872639</v>
      </c>
      <c r="U48" s="80">
        <f>P48</f>
        <v>45200</v>
      </c>
      <c r="V48" s="97">
        <f ca="1">IF(U48&lt;$A$4,0,(YEARFRAC($A$4,U48,1)))</f>
        <v>7.4798083504449009</v>
      </c>
      <c r="W48" s="141">
        <f ca="1">V48*(S47-S48)</f>
        <v>52868.489362089254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45383</v>
      </c>
      <c r="F49" s="74">
        <f ca="1">MAX(IF(ISERROR(VLOOKUP(E49,$A$12:$B$52,2,0)),VLOOKUP(E49,$P$11:$S$52,4,0)/1000000,(VLOOKUP(E49,$A$12:$B$52,2,0))),0)</f>
        <v>1.8942810098060012E-2</v>
      </c>
      <c r="G49" s="128">
        <f ca="1">F49*1000000</f>
        <v>18942.810098060014</v>
      </c>
      <c r="I49" s="80">
        <f>E49</f>
        <v>45383</v>
      </c>
      <c r="J49" s="205">
        <f>$M$12*$N$7</f>
        <v>40138.71</v>
      </c>
      <c r="K49" s="88">
        <f>($F$7/360)*($O$2/100)*M48</f>
        <v>3838.8223006178728</v>
      </c>
      <c r="L49" s="90">
        <f>J49-K49</f>
        <v>36299.887699382125</v>
      </c>
      <c r="M49" s="79">
        <f>M48-L49</f>
        <v>114537.92371978774</v>
      </c>
      <c r="N49" s="126">
        <f>L49/M48</f>
        <v>0.24065509408981522</v>
      </c>
      <c r="O49" s="52"/>
      <c r="P49" s="80">
        <f>I49</f>
        <v>45383</v>
      </c>
      <c r="Q49" s="97">
        <f ca="1">S48*N49</f>
        <v>6207.8237484658084</v>
      </c>
      <c r="R49" s="98">
        <f ca="1">S48*$C$2/2</f>
        <v>644.88804734681605</v>
      </c>
      <c r="S49" s="99">
        <f ca="1">IF(P49&lt;$A$4,(VLOOKUP(P49,$A$11:$B$52,2,0)*$S$12),(S48-(Q49+R49)))</f>
        <v>18942.810098060014</v>
      </c>
      <c r="U49" s="80">
        <f>P49</f>
        <v>45383</v>
      </c>
      <c r="V49" s="97">
        <f ca="1">IF(U49&lt;$A$4,0,(YEARFRAC($A$4,U49,1)))</f>
        <v>7.9790145985401466</v>
      </c>
      <c r="W49" s="141">
        <f ca="1">V49*(S48-S49)</f>
        <v>54677.887458377205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45566</v>
      </c>
      <c r="F50" s="74">
        <f ca="1">MAX(IF(ISERROR(VLOOKUP(E50,$A$12:$B$52,2,0)),VLOOKUP(E50,$P$11:$S$52,4,0)/1000000,(VLOOKUP(E50,$A$12:$B$52,2,0))),0)</f>
        <v>1.2313009374530825E-2</v>
      </c>
      <c r="G50" s="128">
        <f ca="1">F50*1000000</f>
        <v>12313.009374530824</v>
      </c>
      <c r="I50" s="80">
        <f>E50</f>
        <v>45566</v>
      </c>
      <c r="J50" s="205">
        <f>$M$12*$N$7</f>
        <v>40138.71</v>
      </c>
      <c r="K50" s="88">
        <f>($F$7/360)*($O$2/100)*M49</f>
        <v>2914.9901586685978</v>
      </c>
      <c r="L50" s="90">
        <f>J50-K50</f>
        <v>37223.719841331404</v>
      </c>
      <c r="M50" s="79">
        <f>M49-L50</f>
        <v>77314.203878456334</v>
      </c>
      <c r="N50" s="126">
        <f>L50/M49</f>
        <v>0.32499034933091403</v>
      </c>
      <c r="O50" s="52"/>
      <c r="P50" s="80">
        <f>I50</f>
        <v>45566</v>
      </c>
      <c r="Q50" s="97">
        <f ca="1">S49*N50</f>
        <v>6156.2304710776898</v>
      </c>
      <c r="R50" s="98">
        <f ca="1">S49*$C$2/2</f>
        <v>473.57025245150038</v>
      </c>
      <c r="S50" s="99">
        <f ca="1">IF(P50&lt;$A$4,(VLOOKUP(P50,$A$11:$B$52,2,0)*$S$12),(S49-(Q50+R50)))</f>
        <v>12313.009374530824</v>
      </c>
      <c r="U50" s="80">
        <f>P50</f>
        <v>45566</v>
      </c>
      <c r="V50" s="97">
        <f ca="1">IF(U50&lt;$A$4,0,(YEARFRAC($A$4,U50,1)))</f>
        <v>8.4799270072992705</v>
      </c>
      <c r="W50" s="141">
        <f ca="1">V50*(S49-S50)</f>
        <v>56220.226208467422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45748</v>
      </c>
      <c r="F51" s="74">
        <f ca="1">MAX(IF(ISERROR(VLOOKUP(E51,$A$12:$B$52,2,0)),VLOOKUP(E51,$P$11:$S$52,4,0)/1000000,(VLOOKUP(E51,$A$12:$B$52,2,0))),0)</f>
        <v>5.9260856139867549E-3</v>
      </c>
      <c r="G51" s="128">
        <f ca="1">F51*1000000</f>
        <v>5926.0856139867547</v>
      </c>
      <c r="I51" s="80">
        <f>E51</f>
        <v>45748</v>
      </c>
      <c r="J51" s="205">
        <f>$M$12*$N$7</f>
        <v>40138.71</v>
      </c>
      <c r="K51" s="88">
        <f>($F$7/360)*($O$2/100)*M50</f>
        <v>1967.6464887067136</v>
      </c>
      <c r="L51" s="90">
        <f>J51-K51</f>
        <v>38171.063511293287</v>
      </c>
      <c r="M51" s="79">
        <f>M50-L51</f>
        <v>39143.140367163047</v>
      </c>
      <c r="N51" s="126">
        <f>L51/M50</f>
        <v>0.49371346526830995</v>
      </c>
      <c r="O51" s="52"/>
      <c r="P51" s="80">
        <f>I51</f>
        <v>45748</v>
      </c>
      <c r="Q51" s="97">
        <f ca="1">S50*N51</f>
        <v>6079.0985261807991</v>
      </c>
      <c r="R51" s="98">
        <f ca="1">S50*$C$2/2</f>
        <v>307.82523436327062</v>
      </c>
      <c r="S51" s="99">
        <f ca="1">IF(P51&lt;$A$4,(VLOOKUP(P51,$A$11:$B$52,2,0)*$S$12),(S50-(Q51+R51)))</f>
        <v>5926.0856139867547</v>
      </c>
      <c r="U51" s="80">
        <f>P51</f>
        <v>45748</v>
      </c>
      <c r="V51" s="97">
        <f ca="1">IF(U51&lt;$A$4,0,(YEARFRAC($A$4,U51,1)))</f>
        <v>8.9789214344374493</v>
      </c>
      <c r="W51" s="141">
        <f ca="1">V51*(S50-S51)</f>
        <v>57347.686653666984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45931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45931</v>
      </c>
      <c r="J52" s="206">
        <f>$M$12*$N$7</f>
        <v>40138.71</v>
      </c>
      <c r="K52" s="89">
        <f>($F$7/360)*($O$2/100)*M51</f>
        <v>996.19292234429952</v>
      </c>
      <c r="L52" s="91">
        <f>J52-K52</f>
        <v>39142.517077655699</v>
      </c>
      <c r="M52" s="85">
        <f>M51-L52</f>
        <v>0.62328950734809041</v>
      </c>
      <c r="N52" s="127">
        <f>L52/M51</f>
        <v>0.99998407666064859</v>
      </c>
      <c r="O52" s="86"/>
      <c r="P52" s="84">
        <f>I52</f>
        <v>45931</v>
      </c>
      <c r="Q52" s="100">
        <f ca="1">S51*N52</f>
        <v>5925.9912509144979</v>
      </c>
      <c r="R52" s="101">
        <v>0.23673602391681925</v>
      </c>
      <c r="S52" s="102">
        <v>0</v>
      </c>
      <c r="U52" s="142">
        <f>P52</f>
        <v>45931</v>
      </c>
      <c r="V52" s="143">
        <f ca="1">IF(U52&lt;$A$4,0,(YEARFRAC($A$4,U52,1)))</f>
        <v>9.4798795510539282</v>
      </c>
      <c r="W52" s="141">
        <f ca="1">V52*(S51-S52)</f>
        <v>56178.577829827896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63" priority="1" stopIfTrue="1">
      <formula>$D1="Actual"</formula>
    </cfRule>
  </conditionalFormatting>
  <conditionalFormatting sqref="A4">
    <cfRule type="expression" dxfId="62" priority="2" stopIfTrue="1">
      <formula>#REF!="Actual"</formula>
    </cfRule>
  </conditionalFormatting>
  <conditionalFormatting sqref="C6:C9">
    <cfRule type="cellIs" dxfId="61" priority="3" stopIfTrue="1" operator="equal">
      <formula>"PROB!!"</formula>
    </cfRule>
  </conditionalFormatting>
  <conditionalFormatting sqref="A7">
    <cfRule type="expression" dxfId="60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4"/>
  </sheetPr>
  <dimension ref="A1:W200"/>
  <sheetViews>
    <sheetView workbookViewId="0">
      <selection activeCell="E38" sqref="E38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7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20" customFormat="1" ht="11.25">
      <c r="A1" s="203" t="s">
        <v>17</v>
      </c>
      <c r="B1" s="120" t="s">
        <v>44</v>
      </c>
      <c r="C1" s="120" t="s">
        <v>68</v>
      </c>
      <c r="D1" s="120" t="s">
        <v>69</v>
      </c>
      <c r="E1" s="120" t="s">
        <v>34</v>
      </c>
      <c r="F1" s="120" t="s">
        <v>54</v>
      </c>
      <c r="G1" s="120" t="s">
        <v>65</v>
      </c>
      <c r="H1" s="120" t="s">
        <v>64</v>
      </c>
      <c r="I1" s="120" t="s">
        <v>74</v>
      </c>
      <c r="J1" s="120" t="s">
        <v>75</v>
      </c>
      <c r="K1" s="120" t="s">
        <v>77</v>
      </c>
      <c r="L1" s="120" t="s">
        <v>76</v>
      </c>
      <c r="M1" s="120" t="s">
        <v>48</v>
      </c>
      <c r="N1" s="120" t="s">
        <v>62</v>
      </c>
      <c r="O1" s="120" t="s">
        <v>94</v>
      </c>
      <c r="U1" s="130"/>
      <c r="V1" s="130"/>
      <c r="W1" s="130"/>
    </row>
    <row r="2" spans="1:23" s="52" customFormat="1" ht="12" thickBot="1">
      <c r="A2" s="52" t="s">
        <v>2</v>
      </c>
      <c r="B2" s="52" t="str">
        <f>MID(A2,3,9)</f>
        <v>83162CMR1</v>
      </c>
      <c r="C2" s="52">
        <v>0.05</v>
      </c>
      <c r="D2" s="52">
        <f>IF(ISERROR(VLOOKUP(A2,'Bond Position per Summit'!$C$42:$E$56,3,0)),0,VLOOKUP(A2,'Bond Position per Summit'!$C$42:$E$56,3,0))</f>
        <v>17268356.890000001</v>
      </c>
      <c r="E2" s="52">
        <f>IF(ISERROR(VLOOKUP(A2,'Bond Position per Summit'!$C$65:$E$73,3,0)),0,VLOOKUP(A2,'Bond Position per Summit'!$C$65:$E$73,3,0))</f>
        <v>0</v>
      </c>
      <c r="F2" s="52" t="str">
        <f>_xll.BDP($B2&amp;" Mtge Cusip",F$1)</f>
        <v>SBAP 2002-20L 1</v>
      </c>
      <c r="G2" s="52">
        <f>VLOOKUP(A2,'Bond Position per Summit'!$C$10:$D$32,2,0)</f>
        <v>42200000</v>
      </c>
      <c r="H2" s="52">
        <f>VLOOKUP(A2,'Bond Position per Summit'!$C$10:$E$32,3,0)</f>
        <v>17268356.890000001</v>
      </c>
      <c r="I2" s="52" t="str">
        <f>_xll.BDP($B2&amp;" Mtge Cusip",I$1)</f>
        <v>11/12/2002</v>
      </c>
      <c r="J2" s="52" t="str">
        <f>_xll.BDP($B2&amp;" Mtge Cusip",J$1)</f>
        <v>11/12/2002</v>
      </c>
      <c r="K2" s="52" t="str">
        <f>_xll.BDP($B2&amp;" Mtge Cusip",K$1)</f>
        <v>01/06/2003</v>
      </c>
      <c r="L2" s="52" t="str">
        <f>_xll.BDP($B2&amp;" Mtge Cusip",L$1)</f>
        <v>01/12/2022</v>
      </c>
      <c r="M2" s="52">
        <f>_xll.BDP($B2&amp;" Mtge Cusip",M$1)</f>
        <v>2</v>
      </c>
      <c r="N2" s="52" t="str">
        <f>_xll.BDP($B2&amp;" Mtge Cusip",N$1)</f>
        <v>30/360(104)</v>
      </c>
      <c r="O2" s="52">
        <f>_xll.BDP($B2&amp;" Mtge Cusip",O$1)</f>
        <v>5.0999999999999996</v>
      </c>
      <c r="U2" s="67"/>
      <c r="V2" s="67"/>
      <c r="W2" s="67"/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42200000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8.6265850682000017E-2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170</v>
      </c>
      <c r="I6" s="108" t="s">
        <v>81</v>
      </c>
      <c r="J6" s="118">
        <v>38756</v>
      </c>
      <c r="K6" s="113">
        <f>ROUND(J6/J5,8)</f>
        <v>3.8755999999999999E-2</v>
      </c>
      <c r="L6" s="108" t="s">
        <v>81</v>
      </c>
      <c r="M6" s="112">
        <v>1635492</v>
      </c>
      <c r="N6" s="113">
        <f>ROUND(M6/M5,8)</f>
        <v>3.8755730000000002E-2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40172</v>
      </c>
      <c r="K7" s="115">
        <f>ROUND(J7/J5,8)</f>
        <v>4.0171999999999999E-2</v>
      </c>
      <c r="L7" s="109" t="s">
        <v>82</v>
      </c>
      <c r="M7" s="114">
        <v>1695275</v>
      </c>
      <c r="N7" s="115">
        <f>ROUND(M7/M5,8)</f>
        <v>4.0172390000000002E-2</v>
      </c>
      <c r="O7" s="204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3.1529566057206657</v>
      </c>
    </row>
    <row r="12" spans="1:23">
      <c r="A12" s="49">
        <f>_xll.BDS($B2&amp;" Mtge Cusip",A11,"cols=2;rows=27")</f>
        <v>42339</v>
      </c>
      <c r="B12" s="50">
        <v>8.6265851000000005E-2</v>
      </c>
      <c r="C12" s="52"/>
      <c r="D12" s="70" t="str">
        <f ca="1">IF(E12&lt;$A$4,"Actual","Model Num")</f>
        <v>Actual</v>
      </c>
      <c r="E12" s="71">
        <v>37601</v>
      </c>
      <c r="F12" s="74">
        <f>MAX(IF(ISERROR(VLOOKUP(E12,$A$12:$B$52,2,0)),VLOOKUP(E12,$P$11:$S$52,4,0)/1000000,(VLOOKUP(E12,$A$12:$B$52,2,0))),0)</f>
        <v>1</v>
      </c>
      <c r="G12" s="128">
        <f>F12*1000000</f>
        <v>1000000</v>
      </c>
      <c r="H12" s="64"/>
      <c r="I12" s="80">
        <f>E12</f>
        <v>37601</v>
      </c>
      <c r="J12" s="61">
        <v>0</v>
      </c>
      <c r="K12" s="87">
        <v>0</v>
      </c>
      <c r="L12" s="63">
        <v>0</v>
      </c>
      <c r="M12" s="65">
        <f>J5</f>
        <v>1000000</v>
      </c>
      <c r="N12" s="92"/>
      <c r="O12" s="52"/>
      <c r="P12" s="80">
        <f>I12</f>
        <v>37601</v>
      </c>
      <c r="Q12" s="94"/>
      <c r="R12" s="95"/>
      <c r="S12" s="96">
        <f>M12</f>
        <v>1000000</v>
      </c>
      <c r="U12" s="139">
        <f>P12</f>
        <v>37601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42156</v>
      </c>
      <c r="B13" s="50">
        <v>0.10276450099999999</v>
      </c>
      <c r="C13" s="52"/>
      <c r="D13" s="70" t="str">
        <f ca="1">IF(E13&lt;$A$4,"Actual","Model Num")</f>
        <v>Actual</v>
      </c>
      <c r="E13" s="71">
        <v>37773</v>
      </c>
      <c r="F13" s="74">
        <f>MAX(IF(ISERROR(VLOOKUP(E13,$A$12:$B$52,2,0)),VLOOKUP(E13,$P$11:$S$52,4,0)/1000000,(VLOOKUP(E13,$A$12:$B$52,2,0))),0)</f>
        <v>0.983966432</v>
      </c>
      <c r="G13" s="128">
        <f>F13*1000000</f>
        <v>983966.43200000003</v>
      </c>
      <c r="H13" s="64"/>
      <c r="I13" s="80">
        <f>E13</f>
        <v>37773</v>
      </c>
      <c r="J13" s="207">
        <f>$M$12*$N$6</f>
        <v>38755.730000000003</v>
      </c>
      <c r="K13" s="88">
        <f>($F$6/360)*($O$2/100)*M12</f>
        <v>24083.333333333332</v>
      </c>
      <c r="L13" s="90">
        <f>J13-K13</f>
        <v>14672.396666666671</v>
      </c>
      <c r="M13" s="79">
        <f>M12-L13</f>
        <v>985327.60333333327</v>
      </c>
      <c r="N13" s="208">
        <f>L13/M12</f>
        <v>1.4672396666666671E-2</v>
      </c>
      <c r="O13" s="52"/>
      <c r="P13" s="80">
        <f>I13</f>
        <v>37773</v>
      </c>
      <c r="Q13" s="97">
        <f>S12*N13</f>
        <v>14672.396666666671</v>
      </c>
      <c r="R13" s="98">
        <f>S12*$C$2/2</f>
        <v>25000</v>
      </c>
      <c r="S13" s="99">
        <f ca="1">IF(P13&lt;$A$4,(VLOOKUP(P13,$A$11:$B$52,2,0)*$S$12),(S12-(Q13+R13)))</f>
        <v>983966.43200000003</v>
      </c>
      <c r="U13" s="80">
        <f>P13</f>
        <v>37773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41974</v>
      </c>
      <c r="B14" s="50">
        <v>0.13136861</v>
      </c>
      <c r="C14" s="52"/>
      <c r="D14" s="70" t="str">
        <f ca="1">IF(E14&lt;$A$4,"Actual","Model Num")</f>
        <v>Actual</v>
      </c>
      <c r="E14" s="71">
        <f>DATE(YEAR(E13),MONTH(E13)+6,DAY(E13))</f>
        <v>37956</v>
      </c>
      <c r="F14" s="74">
        <f>MAX(IF(ISERROR(VLOOKUP(E14,$A$12:$B$52,2,0)),VLOOKUP(E14,$P$11:$S$52,4,0)/1000000,(VLOOKUP(E14,$A$12:$B$52,2,0))),0)</f>
        <v>0.95896875999999998</v>
      </c>
      <c r="G14" s="128">
        <f>F14*1000000</f>
        <v>958968.76</v>
      </c>
      <c r="H14" s="64"/>
      <c r="I14" s="80">
        <f>E14</f>
        <v>37956</v>
      </c>
      <c r="J14" s="207">
        <f>$M$12*$N$7</f>
        <v>40172.39</v>
      </c>
      <c r="K14" s="88">
        <f>($F$7/360)*($O$2/100)*M13</f>
        <v>25125.853884999997</v>
      </c>
      <c r="L14" s="90">
        <f>J14-K14</f>
        <v>15046.536115000003</v>
      </c>
      <c r="M14" s="79">
        <f>M13-L14</f>
        <v>970281.06721833325</v>
      </c>
      <c r="N14" s="92">
        <f>L14/M13</f>
        <v>1.5270592302598678E-2</v>
      </c>
      <c r="O14" s="52"/>
      <c r="P14" s="80">
        <f>I14</f>
        <v>37956</v>
      </c>
      <c r="Q14" s="97">
        <f ca="1">S13*N14</f>
        <v>15025.750222514685</v>
      </c>
      <c r="R14" s="98">
        <f ca="1">S13*$C$2/2</f>
        <v>24599.160800000001</v>
      </c>
      <c r="S14" s="99">
        <f ca="1">IF(P14&lt;$A$4,(VLOOKUP(P14,$A$11:$B$52,2,0)*$S$12),(S13-(Q14+R14)))</f>
        <v>958968.76</v>
      </c>
      <c r="U14" s="80">
        <f>P14</f>
        <v>37956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41791</v>
      </c>
      <c r="B15" s="50">
        <v>0.14386273499999999</v>
      </c>
      <c r="C15" s="52"/>
      <c r="D15" s="70" t="str">
        <f ca="1">IF(E15&lt;$A$4,"Actual","Model Num")</f>
        <v>Actual</v>
      </c>
      <c r="E15" s="71">
        <f>DATE(YEAR(E14),MONTH(E14)+6,DAY(E14))</f>
        <v>38139</v>
      </c>
      <c r="F15" s="74">
        <f>MAX(IF(ISERROR(VLOOKUP(E15,$A$12:$B$52,2,0)),VLOOKUP(E15,$P$11:$S$52,4,0)/1000000,(VLOOKUP(E15,$A$12:$B$52,2,0))),0)</f>
        <v>0.92305660199999995</v>
      </c>
      <c r="G15" s="128">
        <f>F15*1000000</f>
        <v>923056.60199999996</v>
      </c>
      <c r="H15" s="64"/>
      <c r="I15" s="80">
        <f>E15</f>
        <v>38139</v>
      </c>
      <c r="J15" s="207">
        <f>$M$12*$N$7</f>
        <v>40172.39</v>
      </c>
      <c r="K15" s="88">
        <f>($F$7/360)*($O$2/100)*M14</f>
        <v>24742.167214067496</v>
      </c>
      <c r="L15" s="90">
        <f>J15-K15</f>
        <v>15430.222785932503</v>
      </c>
      <c r="M15" s="79">
        <f>M14-L15</f>
        <v>954850.84443240077</v>
      </c>
      <c r="N15" s="92">
        <f>L15/M14</f>
        <v>1.5902838164377358E-2</v>
      </c>
      <c r="O15" s="52"/>
      <c r="P15" s="80">
        <f>I15</f>
        <v>38139</v>
      </c>
      <c r="Q15" s="97">
        <f ca="1">S14*N15</f>
        <v>15250.324994973631</v>
      </c>
      <c r="R15" s="98">
        <f ca="1">S14*$C$2/2</f>
        <v>23974.219000000001</v>
      </c>
      <c r="S15" s="99">
        <f ca="1">IF(P15&lt;$A$4,(VLOOKUP(P15,$A$11:$B$52,2,0)*$S$12),(S14-(Q15+R15)))</f>
        <v>923056.60199999996</v>
      </c>
      <c r="U15" s="80">
        <f>P15</f>
        <v>38139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41609</v>
      </c>
      <c r="B16" s="50">
        <v>0.16913119400000001</v>
      </c>
      <c r="C16" s="52"/>
      <c r="D16" s="70" t="str">
        <f ca="1">IF(E16&lt;$A$4,"Actual","Model Num")</f>
        <v>Actual</v>
      </c>
      <c r="E16" s="71">
        <f>DATE(YEAR(E15),MONTH(E15)+6,DAY(E15))</f>
        <v>38322</v>
      </c>
      <c r="F16" s="74">
        <f>MAX(IF(ISERROR(VLOOKUP(E16,$A$12:$B$52,2,0)),VLOOKUP(E16,$P$11:$S$52,4,0)/1000000,(VLOOKUP(E16,$A$12:$B$52,2,0))),0)</f>
        <v>0.88628275300000003</v>
      </c>
      <c r="G16" s="128">
        <f>F16*1000000</f>
        <v>886282.75300000003</v>
      </c>
      <c r="H16" s="64"/>
      <c r="I16" s="80">
        <f>E16</f>
        <v>38322</v>
      </c>
      <c r="J16" s="207">
        <f>$M$12*$N$7</f>
        <v>40172.39</v>
      </c>
      <c r="K16" s="88">
        <f>($F$7/360)*($O$2/100)*M15</f>
        <v>24348.696533026217</v>
      </c>
      <c r="L16" s="90">
        <f>J16-K16</f>
        <v>15823.693466973782</v>
      </c>
      <c r="M16" s="79">
        <f>M15-L16</f>
        <v>939027.15096542705</v>
      </c>
      <c r="N16" s="92">
        <f>L16/M15</f>
        <v>1.6571900793971629E-2</v>
      </c>
      <c r="O16" s="52"/>
      <c r="P16" s="80">
        <f>I16</f>
        <v>38322</v>
      </c>
      <c r="Q16" s="97">
        <f ca="1">S15*N16</f>
        <v>15296.802435564552</v>
      </c>
      <c r="R16" s="98">
        <f ca="1">S15*$C$2/2</f>
        <v>23076.41505</v>
      </c>
      <c r="S16" s="99">
        <f ca="1">IF(P16&lt;$A$4,(VLOOKUP(P16,$A$11:$B$52,2,0)*$S$12),(S15-(Q16+R16)))</f>
        <v>886282.75300000003</v>
      </c>
      <c r="U16" s="80">
        <f>P16</f>
        <v>38322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41426</v>
      </c>
      <c r="B17" s="50">
        <v>0.18698231800000001</v>
      </c>
      <c r="C17" s="52"/>
      <c r="D17" s="70" t="str">
        <f ca="1">IF(E17&lt;$A$4,"Actual","Model Num")</f>
        <v>Actual</v>
      </c>
      <c r="E17" s="71">
        <f>DATE(YEAR(E16),MONTH(E16)+6,DAY(E16))</f>
        <v>38504</v>
      </c>
      <c r="F17" s="74">
        <f>MAX(IF(ISERROR(VLOOKUP(E17,$A$12:$B$52,2,0)),VLOOKUP(E17,$P$11:$S$52,4,0)/1000000,(VLOOKUP(E17,$A$12:$B$52,2,0))),0)</f>
        <v>0.85087296499999998</v>
      </c>
      <c r="G17" s="128">
        <f>F17*1000000</f>
        <v>850872.96499999997</v>
      </c>
      <c r="H17" s="64"/>
      <c r="I17" s="80">
        <f>E17</f>
        <v>38504</v>
      </c>
      <c r="J17" s="207">
        <f>$M$12*$N$7</f>
        <v>40172.39</v>
      </c>
      <c r="K17" s="88">
        <f>($F$7/360)*($O$2/100)*M16</f>
        <v>23945.192349618388</v>
      </c>
      <c r="L17" s="90">
        <f>J17-K17</f>
        <v>16227.197650381611</v>
      </c>
      <c r="M17" s="79">
        <f>M16-L17</f>
        <v>922799.95331504545</v>
      </c>
      <c r="N17" s="92">
        <f>L17/M16</f>
        <v>1.728086097797939E-2</v>
      </c>
      <c r="O17" s="52"/>
      <c r="P17" s="80">
        <f>I17</f>
        <v>38504</v>
      </c>
      <c r="Q17" s="97">
        <f ca="1">S16*N17</f>
        <v>15315.729041773848</v>
      </c>
      <c r="R17" s="98">
        <f ca="1">S16*$C$2/2</f>
        <v>22157.068825000002</v>
      </c>
      <c r="S17" s="99">
        <f ca="1">IF(P17&lt;$A$4,(VLOOKUP(P17,$A$11:$B$52,2,0)*$S$12),(S16-(Q17+R17)))</f>
        <v>850872.96499999997</v>
      </c>
      <c r="U17" s="80">
        <f>P17</f>
        <v>38504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41244</v>
      </c>
      <c r="B18" s="50">
        <v>0.246873761</v>
      </c>
      <c r="C18" s="52"/>
      <c r="D18" s="70" t="str">
        <f ca="1">IF(E18&lt;$A$4,"Actual","Model Num")</f>
        <v>Actual</v>
      </c>
      <c r="E18" s="71">
        <f>DATE(YEAR(E17),MONTH(E17)+6,DAY(E17))</f>
        <v>38687</v>
      </c>
      <c r="F18" s="74">
        <f>MAX(IF(ISERROR(VLOOKUP(E18,$A$12:$B$52,2,0)),VLOOKUP(E18,$P$11:$S$52,4,0)/1000000,(VLOOKUP(E18,$A$12:$B$52,2,0))),0)</f>
        <v>0.79883875900000001</v>
      </c>
      <c r="G18" s="128">
        <f>F18*1000000</f>
        <v>798838.75899999996</v>
      </c>
      <c r="H18" s="64"/>
      <c r="I18" s="80">
        <f>E18</f>
        <v>38687</v>
      </c>
      <c r="J18" s="207">
        <f>$M$12*$N$7</f>
        <v>40172.39</v>
      </c>
      <c r="K18" s="88">
        <f>($F$7/360)*($O$2/100)*M17</f>
        <v>23531.398809533657</v>
      </c>
      <c r="L18" s="90">
        <f>J18-K18</f>
        <v>16640.991190466342</v>
      </c>
      <c r="M18" s="79">
        <f>M17-L18</f>
        <v>906158.96212457912</v>
      </c>
      <c r="N18" s="92">
        <f>L18/M17</f>
        <v>1.803315131376592E-2</v>
      </c>
      <c r="O18" s="52"/>
      <c r="P18" s="80">
        <f>I18</f>
        <v>38687</v>
      </c>
      <c r="Q18" s="97">
        <f ca="1">S17*N18</f>
        <v>15343.920926637653</v>
      </c>
      <c r="R18" s="98">
        <f ca="1">S17*$C$2/2</f>
        <v>21271.824124999999</v>
      </c>
      <c r="S18" s="99">
        <f ca="1">IF(P18&lt;$A$4,(VLOOKUP(P18,$A$11:$B$52,2,0)*$S$12),(S17-(Q18+R18)))</f>
        <v>798838.75899999996</v>
      </c>
      <c r="U18" s="80">
        <f>P18</f>
        <v>38687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41061</v>
      </c>
      <c r="B19" s="50">
        <v>0.29485941900000001</v>
      </c>
      <c r="C19" s="52"/>
      <c r="D19" s="70" t="str">
        <f ca="1">IF(E19&lt;$A$4,"Actual","Model Num")</f>
        <v>Actual</v>
      </c>
      <c r="E19" s="71">
        <f>DATE(YEAR(E18),MONTH(E18)+6,DAY(E18))</f>
        <v>38869</v>
      </c>
      <c r="F19" s="74">
        <f>MAX(IF(ISERROR(VLOOKUP(E19,$A$12:$B$52,2,0)),VLOOKUP(E19,$P$11:$S$52,4,0)/1000000,(VLOOKUP(E19,$A$12:$B$52,2,0))),0)</f>
        <v>0.74295383000000004</v>
      </c>
      <c r="G19" s="128">
        <f>F19*1000000</f>
        <v>742953.83000000007</v>
      </c>
      <c r="H19" s="64"/>
      <c r="I19" s="80">
        <f>E19</f>
        <v>38869</v>
      </c>
      <c r="J19" s="207">
        <f>$M$12*$N$7</f>
        <v>40172.39</v>
      </c>
      <c r="K19" s="88">
        <f>($F$7/360)*($O$2/100)*M18</f>
        <v>23107.053534176765</v>
      </c>
      <c r="L19" s="90">
        <f>J19-K19</f>
        <v>17065.336465823235</v>
      </c>
      <c r="M19" s="79">
        <f>M18-L19</f>
        <v>889093.62565875589</v>
      </c>
      <c r="N19" s="92">
        <f>L19/M18</f>
        <v>1.8832607940897996E-2</v>
      </c>
      <c r="O19" s="52"/>
      <c r="P19" s="80">
        <f>I19</f>
        <v>38869</v>
      </c>
      <c r="Q19" s="97">
        <f ca="1">S18*N19</f>
        <v>15044.2171562405</v>
      </c>
      <c r="R19" s="98">
        <f ca="1">S18*$C$2/2</f>
        <v>19970.968975</v>
      </c>
      <c r="S19" s="99">
        <f ca="1">IF(P19&lt;$A$4,(VLOOKUP(P19,$A$11:$B$52,2,0)*$S$12),(S18-(Q19+R19)))</f>
        <v>742953.83000000007</v>
      </c>
      <c r="U19" s="80">
        <f>P19</f>
        <v>38869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40878</v>
      </c>
      <c r="B20" s="50">
        <v>0.33238704499999999</v>
      </c>
      <c r="C20" s="52"/>
      <c r="D20" s="70" t="str">
        <f ca="1">IF(E20&lt;$A$4,"Actual","Model Num")</f>
        <v>Actual</v>
      </c>
      <c r="E20" s="71">
        <f>DATE(YEAR(E19),MONTH(E19)+6,DAY(E19))</f>
        <v>39052</v>
      </c>
      <c r="F20" s="74">
        <f>MAX(IF(ISERROR(VLOOKUP(E20,$A$12:$B$52,2,0)),VLOOKUP(E20,$P$11:$S$52,4,0)/1000000,(VLOOKUP(E20,$A$12:$B$52,2,0))),0)</f>
        <v>0.695717276</v>
      </c>
      <c r="G20" s="128">
        <f>F20*1000000</f>
        <v>695717.27599999995</v>
      </c>
      <c r="H20" s="64"/>
      <c r="I20" s="80">
        <f>E20</f>
        <v>39052</v>
      </c>
      <c r="J20" s="207">
        <f>$M$12*$N$7</f>
        <v>40172.39</v>
      </c>
      <c r="K20" s="88">
        <f>($F$7/360)*($O$2/100)*M19</f>
        <v>22671.887454298274</v>
      </c>
      <c r="L20" s="90">
        <f>J20-K20</f>
        <v>17500.502545701725</v>
      </c>
      <c r="M20" s="79">
        <f>M19-L20</f>
        <v>871593.1231130542</v>
      </c>
      <c r="N20" s="92">
        <f>L20/M19</f>
        <v>1.9683531678382108E-2</v>
      </c>
      <c r="O20" s="52"/>
      <c r="P20" s="80">
        <f>I20</f>
        <v>39052</v>
      </c>
      <c r="Q20" s="97">
        <f ca="1">S19*N20</f>
        <v>14623.955248380316</v>
      </c>
      <c r="R20" s="98">
        <f ca="1">S19*$C$2/2</f>
        <v>18573.845750000004</v>
      </c>
      <c r="S20" s="99">
        <f ca="1">IF(P20&lt;$A$4,(VLOOKUP(P20,$A$11:$B$52,2,0)*$S$12),(S19-(Q20+R20)))</f>
        <v>695717.27599999995</v>
      </c>
      <c r="U20" s="80">
        <f>P20</f>
        <v>39052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40695</v>
      </c>
      <c r="B21" s="50">
        <v>0.36197289199999999</v>
      </c>
      <c r="C21" s="52"/>
      <c r="D21" s="70" t="str">
        <f ca="1">IF(E21&lt;$A$4,"Actual","Model Num")</f>
        <v>Actual</v>
      </c>
      <c r="E21" s="71">
        <f>DATE(YEAR(E20),MONTH(E20)+6,DAY(E20))</f>
        <v>39234</v>
      </c>
      <c r="F21" s="74">
        <f>MAX(IF(ISERROR(VLOOKUP(E21,$A$12:$B$52,2,0)),VLOOKUP(E21,$P$11:$S$52,4,0)/1000000,(VLOOKUP(E21,$A$12:$B$52,2,0))),0)</f>
        <v>0.64239631500000005</v>
      </c>
      <c r="G21" s="128">
        <f>F21*1000000</f>
        <v>642396.31500000006</v>
      </c>
      <c r="H21" s="64"/>
      <c r="I21" s="80">
        <f>E21</f>
        <v>39234</v>
      </c>
      <c r="J21" s="207">
        <f>$M$12*$N$7</f>
        <v>40172.39</v>
      </c>
      <c r="K21" s="88">
        <f>($F$7/360)*($O$2/100)*M20</f>
        <v>22225.624639382881</v>
      </c>
      <c r="L21" s="90">
        <f>J21-K21</f>
        <v>17946.765360617119</v>
      </c>
      <c r="M21" s="79">
        <f>M20-L21</f>
        <v>853646.35775243712</v>
      </c>
      <c r="N21" s="92">
        <f>L21/M20</f>
        <v>2.0590760625229538E-2</v>
      </c>
      <c r="O21" s="52"/>
      <c r="P21" s="80">
        <f>I21</f>
        <v>39234</v>
      </c>
      <c r="Q21" s="97">
        <f ca="1">S20*N21</f>
        <v>14325.34789295275</v>
      </c>
      <c r="R21" s="98">
        <f ca="1">S20*$C$2/2</f>
        <v>17392.9319</v>
      </c>
      <c r="S21" s="99">
        <f ca="1">IF(P21&lt;$A$4,(VLOOKUP(P21,$A$11:$B$52,2,0)*$S$12),(S20-(Q21+R21)))</f>
        <v>642396.31500000006</v>
      </c>
      <c r="U21" s="80">
        <f>P21</f>
        <v>39234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40513</v>
      </c>
      <c r="B22" s="50">
        <v>0.40920276900000002</v>
      </c>
      <c r="C22" s="52"/>
      <c r="D22" s="70" t="str">
        <f ca="1">IF(E22&lt;$A$4,"Actual","Model Num")</f>
        <v>Actual</v>
      </c>
      <c r="E22" s="71">
        <f>DATE(YEAR(E21),MONTH(E21)+6,DAY(E21))</f>
        <v>39417</v>
      </c>
      <c r="F22" s="74">
        <f>MAX(IF(ISERROR(VLOOKUP(E22,$A$12:$B$52,2,0)),VLOOKUP(E22,$P$11:$S$52,4,0)/1000000,(VLOOKUP(E22,$A$12:$B$52,2,0))),0)</f>
        <v>0.60318743399999997</v>
      </c>
      <c r="G22" s="128">
        <f>F22*1000000</f>
        <v>603187.43400000001</v>
      </c>
      <c r="H22" s="64"/>
      <c r="I22" s="80">
        <f>E22</f>
        <v>39417</v>
      </c>
      <c r="J22" s="207">
        <f>$M$12*$N$7</f>
        <v>40172.39</v>
      </c>
      <c r="K22" s="88">
        <f>($F$7/360)*($O$2/100)*M21</f>
        <v>21767.982122687146</v>
      </c>
      <c r="L22" s="90">
        <f>J22-K22</f>
        <v>18404.407877312853</v>
      </c>
      <c r="M22" s="79">
        <f>M21-L22</f>
        <v>835241.94987512426</v>
      </c>
      <c r="N22" s="92">
        <f>L22/M21</f>
        <v>2.1559756812844329E-2</v>
      </c>
      <c r="O22" s="52"/>
      <c r="P22" s="80">
        <f>I22</f>
        <v>39417</v>
      </c>
      <c r="Q22" s="97">
        <f ca="1">S21*N22</f>
        <v>13849.908328867343</v>
      </c>
      <c r="R22" s="98">
        <f ca="1">S21*$C$2/2</f>
        <v>16059.907875000003</v>
      </c>
      <c r="S22" s="99">
        <f ca="1">IF(P22&lt;$A$4,(VLOOKUP(P22,$A$11:$B$52,2,0)*$S$12),(S21-(Q22+R22)))</f>
        <v>603187.43400000001</v>
      </c>
      <c r="U22" s="80">
        <f>P22</f>
        <v>39417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40330</v>
      </c>
      <c r="B23" s="50">
        <v>0.45499814300000002</v>
      </c>
      <c r="C23" s="52"/>
      <c r="D23" s="70" t="str">
        <f ca="1">IF(E23&lt;$A$4,"Actual","Model Num")</f>
        <v>Actual</v>
      </c>
      <c r="E23" s="71">
        <f>DATE(YEAR(E22),MONTH(E22)+6,DAY(E22))</f>
        <v>39600</v>
      </c>
      <c r="F23" s="74">
        <f>MAX(IF(ISERROR(VLOOKUP(E23,$A$12:$B$52,2,0)),VLOOKUP(E23,$P$11:$S$52,4,0)/1000000,(VLOOKUP(E23,$A$12:$B$52,2,0))),0)</f>
        <v>0.56543394700000005</v>
      </c>
      <c r="G23" s="128">
        <f>F23*1000000</f>
        <v>565433.94700000004</v>
      </c>
      <c r="H23" s="64"/>
      <c r="I23" s="80">
        <f>E23</f>
        <v>39600</v>
      </c>
      <c r="J23" s="207">
        <f>$M$12*$N$7</f>
        <v>40172.39</v>
      </c>
      <c r="K23" s="88">
        <f>($F$7/360)*($O$2/100)*M22</f>
        <v>21298.669721815666</v>
      </c>
      <c r="L23" s="90">
        <f>J23-K23</f>
        <v>18873.720278184333</v>
      </c>
      <c r="M23" s="79">
        <f>M22-L23</f>
        <v>816368.22959693999</v>
      </c>
      <c r="N23" s="92">
        <f>L23/M22</f>
        <v>2.2596710187995365E-2</v>
      </c>
      <c r="O23" s="52"/>
      <c r="P23" s="80">
        <f>I23</f>
        <v>39600</v>
      </c>
      <c r="Q23" s="97">
        <f ca="1">S22*N23</f>
        <v>13630.051635138581</v>
      </c>
      <c r="R23" s="98">
        <f ca="1">S22*$C$2/2</f>
        <v>15079.685850000002</v>
      </c>
      <c r="S23" s="99">
        <f ca="1">IF(P23&lt;$A$4,(VLOOKUP(P23,$A$11:$B$52,2,0)*$S$12),(S22-(Q23+R23)))</f>
        <v>565433.94700000004</v>
      </c>
      <c r="U23" s="80">
        <f>P23</f>
        <v>39600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40148</v>
      </c>
      <c r="B24" s="50">
        <v>0.47337012899999997</v>
      </c>
      <c r="C24" s="52"/>
      <c r="D24" s="70" t="str">
        <f ca="1">IF(E24&lt;$A$4,"Actual","Model Num")</f>
        <v>Actual</v>
      </c>
      <c r="E24" s="71">
        <f>DATE(YEAR(E23),MONTH(E23)+6,DAY(E23))</f>
        <v>39783</v>
      </c>
      <c r="F24" s="74">
        <f>MAX(IF(ISERROR(VLOOKUP(E24,$A$12:$B$52,2,0)),VLOOKUP(E24,$P$11:$S$52,4,0)/1000000,(VLOOKUP(E24,$A$12:$B$52,2,0))),0)</f>
        <v>0.53710737500000005</v>
      </c>
      <c r="G24" s="128">
        <f>F24*1000000</f>
        <v>537107.375</v>
      </c>
      <c r="H24" s="64"/>
      <c r="I24" s="80">
        <f>E24</f>
        <v>39783</v>
      </c>
      <c r="J24" s="207">
        <f>$M$12*$N$7</f>
        <v>40172.39</v>
      </c>
      <c r="K24" s="88">
        <f>($F$7/360)*($O$2/100)*M23</f>
        <v>20817.389854721969</v>
      </c>
      <c r="L24" s="90">
        <f>J24-K24</f>
        <v>19355.000145278031</v>
      </c>
      <c r="M24" s="79">
        <f>M23-L24</f>
        <v>797013.22945166193</v>
      </c>
      <c r="N24" s="92">
        <f>L24/M23</f>
        <v>2.3708664109618825E-2</v>
      </c>
      <c r="O24" s="52"/>
      <c r="P24" s="80">
        <f>I24</f>
        <v>39783</v>
      </c>
      <c r="Q24" s="97">
        <f ca="1">S23*N24</f>
        <v>13405.683525599014</v>
      </c>
      <c r="R24" s="98">
        <f ca="1">S23*$C$2/2</f>
        <v>14135.848675000001</v>
      </c>
      <c r="S24" s="99">
        <f ca="1">IF(P24&lt;$A$4,(VLOOKUP(P24,$A$11:$B$52,2,0)*$S$12),(S23-(Q24+R24)))</f>
        <v>537107.375</v>
      </c>
      <c r="U24" s="80">
        <f>P24</f>
        <v>39783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39965</v>
      </c>
      <c r="B25" s="50">
        <v>0.505292042</v>
      </c>
      <c r="C25" s="52"/>
      <c r="D25" s="70" t="str">
        <f ca="1">IF(E25&lt;$A$4,"Actual","Model Num")</f>
        <v>Actual</v>
      </c>
      <c r="E25" s="71">
        <f>DATE(YEAR(E24),MONTH(E24)+6,DAY(E24))</f>
        <v>39965</v>
      </c>
      <c r="F25" s="74">
        <f>MAX(IF(ISERROR(VLOOKUP(E25,$A$12:$B$52,2,0)),VLOOKUP(E25,$P$11:$S$52,4,0)/1000000,(VLOOKUP(E25,$A$12:$B$52,2,0))),0)</f>
        <v>0.505292042</v>
      </c>
      <c r="G25" s="128">
        <f>F25*1000000</f>
        <v>505292.04200000002</v>
      </c>
      <c r="H25" s="64"/>
      <c r="I25" s="80">
        <f>E25</f>
        <v>39965</v>
      </c>
      <c r="J25" s="207">
        <f>$M$12*$N$7</f>
        <v>40172.39</v>
      </c>
      <c r="K25" s="88">
        <f>($F$7/360)*($O$2/100)*M24</f>
        <v>20323.837351017377</v>
      </c>
      <c r="L25" s="90">
        <f>J25-K25</f>
        <v>19848.552648982622</v>
      </c>
      <c r="M25" s="79">
        <f>M24-L25</f>
        <v>777164.67680267931</v>
      </c>
      <c r="N25" s="92">
        <f>L25/M24</f>
        <v>2.4903667737909762E-2</v>
      </c>
      <c r="O25" s="52"/>
      <c r="P25" s="80">
        <f>I25</f>
        <v>39965</v>
      </c>
      <c r="Q25" s="97">
        <f ca="1">S24*N25</f>
        <v>13375.9436065809</v>
      </c>
      <c r="R25" s="98">
        <f ca="1">S24*$C$2/2</f>
        <v>13427.684375000001</v>
      </c>
      <c r="S25" s="99">
        <f ca="1">IF(P25&lt;$A$4,(VLOOKUP(P25,$A$11:$B$52,2,0)*$S$12),(S24-(Q25+R25)))</f>
        <v>505292.04200000002</v>
      </c>
      <c r="U25" s="80">
        <f>P25</f>
        <v>39965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39783</v>
      </c>
      <c r="B26" s="50">
        <v>0.53710737500000005</v>
      </c>
      <c r="C26" s="52"/>
      <c r="D26" s="70" t="str">
        <f ca="1">IF(E26&lt;$A$4,"Actual","Model Num")</f>
        <v>Actual</v>
      </c>
      <c r="E26" s="71">
        <f>DATE(YEAR(E25),MONTH(E25)+6,DAY(E25))</f>
        <v>40148</v>
      </c>
      <c r="F26" s="74">
        <f>MAX(IF(ISERROR(VLOOKUP(E26,$A$12:$B$52,2,0)),VLOOKUP(E26,$P$11:$S$52,4,0)/1000000,(VLOOKUP(E26,$A$12:$B$52,2,0))),0)</f>
        <v>0.47337012899999997</v>
      </c>
      <c r="G26" s="128">
        <f>F26*1000000</f>
        <v>473370.12899999996</v>
      </c>
      <c r="H26" s="64"/>
      <c r="I26" s="80">
        <f>E26</f>
        <v>40148</v>
      </c>
      <c r="J26" s="207">
        <f>$M$12*$N$7</f>
        <v>40172.39</v>
      </c>
      <c r="K26" s="88">
        <f>($F$7/360)*($O$2/100)*M25</f>
        <v>19817.699258468321</v>
      </c>
      <c r="L26" s="90">
        <f>J26-K26</f>
        <v>20354.690741531678</v>
      </c>
      <c r="M26" s="79">
        <f>M25-L26</f>
        <v>756809.98606114765</v>
      </c>
      <c r="N26" s="92">
        <f>L26/M25</f>
        <v>2.619096228777739E-2</v>
      </c>
      <c r="O26" s="52"/>
      <c r="P26" s="80">
        <f>I26</f>
        <v>40148</v>
      </c>
      <c r="Q26" s="97">
        <f ca="1">S25*N26</f>
        <v>13234.08481633603</v>
      </c>
      <c r="R26" s="98">
        <f ca="1">S25*$C$2/2</f>
        <v>12632.301050000002</v>
      </c>
      <c r="S26" s="99">
        <f ca="1">IF(P26&lt;$A$4,(VLOOKUP(P26,$A$11:$B$52,2,0)*$S$12),(S25-(Q26+R26)))</f>
        <v>473370.12899999996</v>
      </c>
      <c r="U26" s="80">
        <f>P26</f>
        <v>40148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39600</v>
      </c>
      <c r="B27" s="50">
        <v>0.56543394700000005</v>
      </c>
      <c r="C27" s="52"/>
      <c r="D27" s="70" t="str">
        <f ca="1">IF(E27&lt;$A$4,"Actual","Model Num")</f>
        <v>Actual</v>
      </c>
      <c r="E27" s="71">
        <f>DATE(YEAR(E26),MONTH(E26)+6,DAY(E26))</f>
        <v>40330</v>
      </c>
      <c r="F27" s="74">
        <f>MAX(IF(ISERROR(VLOOKUP(E27,$A$12:$B$52,2,0)),VLOOKUP(E27,$P$11:$S$52,4,0)/1000000,(VLOOKUP(E27,$A$12:$B$52,2,0))),0)</f>
        <v>0.45499814300000002</v>
      </c>
      <c r="G27" s="128">
        <f>F27*1000000</f>
        <v>454998.14300000004</v>
      </c>
      <c r="H27" s="64"/>
      <c r="I27" s="80">
        <f>E27</f>
        <v>40330</v>
      </c>
      <c r="J27" s="207">
        <f>$M$12*$N$7</f>
        <v>40172.39</v>
      </c>
      <c r="K27" s="88">
        <f>($F$7/360)*($O$2/100)*M26</f>
        <v>19298.654644559265</v>
      </c>
      <c r="L27" s="90">
        <f>J27-K27</f>
        <v>20873.735355440735</v>
      </c>
      <c r="M27" s="79">
        <f>M26-L27</f>
        <v>735936.25070570689</v>
      </c>
      <c r="N27" s="92">
        <f>L27/M26</f>
        <v>2.7581210263991164E-2</v>
      </c>
      <c r="O27" s="52"/>
      <c r="P27" s="80">
        <f>I27</f>
        <v>40330</v>
      </c>
      <c r="Q27" s="97">
        <f ca="1">S26*N27</f>
        <v>13056.121060641621</v>
      </c>
      <c r="R27" s="98">
        <f ca="1">S26*$C$2/2</f>
        <v>11834.253225</v>
      </c>
      <c r="S27" s="99">
        <f ca="1">IF(P27&lt;$A$4,(VLOOKUP(P27,$A$11:$B$52,2,0)*$S$12),(S26-(Q27+R27)))</f>
        <v>454998.14300000004</v>
      </c>
      <c r="U27" s="80">
        <f>P27</f>
        <v>40330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39417</v>
      </c>
      <c r="B28" s="50">
        <v>0.60318743399999997</v>
      </c>
      <c r="C28" s="52"/>
      <c r="D28" s="70" t="str">
        <f ca="1">IF(E28&lt;$A$4,"Actual","Model Num")</f>
        <v>Actual</v>
      </c>
      <c r="E28" s="71">
        <f>DATE(YEAR(E27),MONTH(E27)+6,DAY(E27))</f>
        <v>40513</v>
      </c>
      <c r="F28" s="74">
        <f>MAX(IF(ISERROR(VLOOKUP(E28,$A$12:$B$52,2,0)),VLOOKUP(E28,$P$11:$S$52,4,0)/1000000,(VLOOKUP(E28,$A$12:$B$52,2,0))),0)</f>
        <v>0.40920276900000002</v>
      </c>
      <c r="G28" s="128">
        <f>F28*1000000</f>
        <v>409202.76900000003</v>
      </c>
      <c r="H28" s="64"/>
      <c r="I28" s="80">
        <f>E28</f>
        <v>40513</v>
      </c>
      <c r="J28" s="207">
        <f>$M$12*$N$7</f>
        <v>40172.39</v>
      </c>
      <c r="K28" s="88">
        <f>($F$7/360)*($O$2/100)*M27</f>
        <v>18766.374392995524</v>
      </c>
      <c r="L28" s="90">
        <f>J28-K28</f>
        <v>21406.015607004476</v>
      </c>
      <c r="M28" s="79">
        <f>M27-L28</f>
        <v>714530.23509870237</v>
      </c>
      <c r="N28" s="92">
        <f>L28/M27</f>
        <v>2.9086779712886455E-2</v>
      </c>
      <c r="O28" s="52"/>
      <c r="P28" s="80">
        <f>I28</f>
        <v>40513</v>
      </c>
      <c r="Q28" s="97">
        <f ca="1">S27*N28</f>
        <v>13234.430755213411</v>
      </c>
      <c r="R28" s="98">
        <f ca="1">S27*$C$2/2</f>
        <v>11374.953575000001</v>
      </c>
      <c r="S28" s="99">
        <f ca="1">IF(P28&lt;$A$4,(VLOOKUP(P28,$A$11:$B$52,2,0)*$S$12),(S27-(Q28+R28)))</f>
        <v>409202.76900000003</v>
      </c>
      <c r="U28" s="80">
        <f>P28</f>
        <v>40513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39234</v>
      </c>
      <c r="B29" s="50">
        <v>0.64239631500000005</v>
      </c>
      <c r="C29" s="52"/>
      <c r="D29" s="70" t="str">
        <f ca="1">IF(E29&lt;$A$4,"Actual","Model Num")</f>
        <v>Actual</v>
      </c>
      <c r="E29" s="71">
        <f>DATE(YEAR(E28),MONTH(E28)+6,DAY(E28))</f>
        <v>40695</v>
      </c>
      <c r="F29" s="74">
        <f>MAX(IF(ISERROR(VLOOKUP(E29,$A$12:$B$52,2,0)),VLOOKUP(E29,$P$11:$S$52,4,0)/1000000,(VLOOKUP(E29,$A$12:$B$52,2,0))),0)</f>
        <v>0.36197289199999999</v>
      </c>
      <c r="G29" s="128">
        <f>F29*1000000</f>
        <v>361972.89199999999</v>
      </c>
      <c r="H29" s="64"/>
      <c r="I29" s="80">
        <f>E29</f>
        <v>40695</v>
      </c>
      <c r="J29" s="207">
        <f>$M$12*$N$7</f>
        <v>40172.39</v>
      </c>
      <c r="K29" s="88">
        <f>($F$7/360)*($O$2/100)*M28</f>
        <v>18220.520995016908</v>
      </c>
      <c r="L29" s="90">
        <f>J29-K29</f>
        <v>21951.869004983091</v>
      </c>
      <c r="M29" s="79">
        <f>M28-L29</f>
        <v>692578.36609371926</v>
      </c>
      <c r="N29" s="92">
        <f>L29/M28</f>
        <v>3.0722099537118602E-2</v>
      </c>
      <c r="O29" s="52"/>
      <c r="P29" s="80">
        <f>I29</f>
        <v>40695</v>
      </c>
      <c r="Q29" s="97">
        <f ca="1">S28*N29</f>
        <v>12571.568200082551</v>
      </c>
      <c r="R29" s="98">
        <f ca="1">S28*$C$2/2</f>
        <v>10230.069225000001</v>
      </c>
      <c r="S29" s="99">
        <f ca="1">IF(P29&lt;$A$4,(VLOOKUP(P29,$A$11:$B$52,2,0)*$S$12),(S28-(Q29+R29)))</f>
        <v>361972.89199999999</v>
      </c>
      <c r="U29" s="80">
        <f>P29</f>
        <v>40695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39052</v>
      </c>
      <c r="B30" s="50">
        <v>0.695717276</v>
      </c>
      <c r="C30" s="52"/>
      <c r="D30" s="70" t="str">
        <f ca="1">IF(E30&lt;$A$4,"Actual","Model Num")</f>
        <v>Actual</v>
      </c>
      <c r="E30" s="71">
        <f>DATE(YEAR(E29),MONTH(E29)+6,DAY(E29))</f>
        <v>40878</v>
      </c>
      <c r="F30" s="74">
        <f>MAX(IF(ISERROR(VLOOKUP(E30,$A$12:$B$52,2,0)),VLOOKUP(E30,$P$11:$S$52,4,0)/1000000,(VLOOKUP(E30,$A$12:$B$52,2,0))),0)</f>
        <v>0.33238704499999999</v>
      </c>
      <c r="G30" s="128">
        <f>F30*1000000</f>
        <v>332387.04499999998</v>
      </c>
      <c r="H30" s="64"/>
      <c r="I30" s="80">
        <f>E30</f>
        <v>40878</v>
      </c>
      <c r="J30" s="207">
        <f>$M$12*$N$7</f>
        <v>40172.39</v>
      </c>
      <c r="K30" s="88">
        <f>($F$7/360)*($O$2/100)*M29</f>
        <v>17660.748335389839</v>
      </c>
      <c r="L30" s="90">
        <f>J30-K30</f>
        <v>22511.641664610161</v>
      </c>
      <c r="M30" s="79">
        <f>M29-L30</f>
        <v>670066.72442910913</v>
      </c>
      <c r="N30" s="92">
        <f>L30/M29</f>
        <v>3.2504107501336386E-2</v>
      </c>
      <c r="O30" s="52"/>
      <c r="P30" s="80">
        <f>I30</f>
        <v>40878</v>
      </c>
      <c r="Q30" s="97">
        <f ca="1">S29*N30</f>
        <v>11765.605794137626</v>
      </c>
      <c r="R30" s="98">
        <f ca="1">S29*$C$2/2</f>
        <v>9049.3222999999998</v>
      </c>
      <c r="S30" s="99">
        <f ca="1">IF(P30&lt;$A$4,(VLOOKUP(P30,$A$11:$B$52,2,0)*$S$12),(S29-(Q30+R30)))</f>
        <v>332387.04499999998</v>
      </c>
      <c r="U30" s="80">
        <f>P30</f>
        <v>40878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38869</v>
      </c>
      <c r="B31" s="50">
        <v>0.74295383000000004</v>
      </c>
      <c r="C31" s="52"/>
      <c r="D31" s="70" t="str">
        <f ca="1">IF(E31&lt;$A$4,"Actual","Model Num")</f>
        <v>Actual</v>
      </c>
      <c r="E31" s="71">
        <f>DATE(YEAR(E30),MONTH(E30)+6,DAY(E30))</f>
        <v>41061</v>
      </c>
      <c r="F31" s="74">
        <f>MAX(IF(ISERROR(VLOOKUP(E31,$A$12:$B$52,2,0)),VLOOKUP(E31,$P$11:$S$52,4,0)/1000000,(VLOOKUP(E31,$A$12:$B$52,2,0))),0)</f>
        <v>0.29485941900000001</v>
      </c>
      <c r="G31" s="128">
        <f>F31*1000000</f>
        <v>294859.41899999999</v>
      </c>
      <c r="H31" s="64"/>
      <c r="I31" s="80">
        <f>E31</f>
        <v>41061</v>
      </c>
      <c r="J31" s="207">
        <f>$M$12*$N$7</f>
        <v>40172.39</v>
      </c>
      <c r="K31" s="88">
        <f>($F$7/360)*($O$2/100)*M30</f>
        <v>17086.701472942281</v>
      </c>
      <c r="L31" s="90">
        <f>J31-K31</f>
        <v>23085.688527057719</v>
      </c>
      <c r="M31" s="79">
        <f>M30-L31</f>
        <v>646981.03590205137</v>
      </c>
      <c r="N31" s="92">
        <f>L31/M30</f>
        <v>3.4452820421319266E-2</v>
      </c>
      <c r="O31" s="52"/>
      <c r="P31" s="80">
        <f>I31</f>
        <v>41061</v>
      </c>
      <c r="Q31" s="97">
        <f ca="1">S30*N31</f>
        <v>11451.671171757966</v>
      </c>
      <c r="R31" s="98">
        <f ca="1">S30*$C$2/2</f>
        <v>8309.676125</v>
      </c>
      <c r="S31" s="99">
        <f ca="1">IF(P31&lt;$A$4,(VLOOKUP(P31,$A$11:$B$52,2,0)*$S$12),(S30-(Q31+R31)))</f>
        <v>294859.41899999999</v>
      </c>
      <c r="U31" s="80">
        <f>P31</f>
        <v>41061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38687</v>
      </c>
      <c r="B32" s="50">
        <v>0.79883875900000001</v>
      </c>
      <c r="C32" s="52"/>
      <c r="D32" s="70" t="str">
        <f ca="1">IF(E32&lt;$A$4,"Actual","Model Num")</f>
        <v>Actual</v>
      </c>
      <c r="E32" s="71">
        <f>DATE(YEAR(E31),MONTH(E31)+6,DAY(E31))</f>
        <v>41244</v>
      </c>
      <c r="F32" s="74">
        <f>MAX(IF(ISERROR(VLOOKUP(E32,$A$12:$B$52,2,0)),VLOOKUP(E32,$P$11:$S$52,4,0)/1000000,(VLOOKUP(E32,$A$12:$B$52,2,0))),0)</f>
        <v>0.246873761</v>
      </c>
      <c r="G32" s="128">
        <f>F32*1000000</f>
        <v>246873.761</v>
      </c>
      <c r="H32" s="64"/>
      <c r="I32" s="80">
        <f>E32</f>
        <v>41244</v>
      </c>
      <c r="J32" s="207">
        <f>$M$12*$N$7</f>
        <v>40172.39</v>
      </c>
      <c r="K32" s="88">
        <f>($F$7/360)*($O$2/100)*M31</f>
        <v>16498.016415502309</v>
      </c>
      <c r="L32" s="90">
        <f>J32-K32</f>
        <v>23674.373584497691</v>
      </c>
      <c r="M32" s="79">
        <f>M31-L32</f>
        <v>623306.66231755365</v>
      </c>
      <c r="N32" s="92">
        <f>L32/M31</f>
        <v>3.6592067264366979E-2</v>
      </c>
      <c r="O32" s="52"/>
      <c r="P32" s="80">
        <f>I32</f>
        <v>41244</v>
      </c>
      <c r="Q32" s="97">
        <f ca="1">S31*N32</f>
        <v>10789.515693580166</v>
      </c>
      <c r="R32" s="98">
        <f ca="1">S31*$C$2/2</f>
        <v>7371.4854750000004</v>
      </c>
      <c r="S32" s="99">
        <f ca="1">IF(P32&lt;$A$4,(VLOOKUP(P32,$A$11:$B$52,2,0)*$S$12),(S31-(Q32+R32)))</f>
        <v>246873.761</v>
      </c>
      <c r="U32" s="80">
        <f>P32</f>
        <v>41244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49">
        <v>38504</v>
      </c>
      <c r="B33" s="50">
        <v>0.85087296499999998</v>
      </c>
      <c r="C33" s="52"/>
      <c r="D33" s="70" t="str">
        <f ca="1">IF(E33&lt;$A$4,"Actual","Model Num")</f>
        <v>Actual</v>
      </c>
      <c r="E33" s="71">
        <f>DATE(YEAR(E32),MONTH(E32)+6,DAY(E32))</f>
        <v>41426</v>
      </c>
      <c r="F33" s="74">
        <f>MAX(IF(ISERROR(VLOOKUP(E33,$A$12:$B$52,2,0)),VLOOKUP(E33,$P$11:$S$52,4,0)/1000000,(VLOOKUP(E33,$A$12:$B$52,2,0))),0)</f>
        <v>0.18698231800000001</v>
      </c>
      <c r="G33" s="128">
        <f>F33*1000000</f>
        <v>186982.318</v>
      </c>
      <c r="H33" s="64"/>
      <c r="I33" s="80">
        <f>E33</f>
        <v>41426</v>
      </c>
      <c r="J33" s="207">
        <f>$M$12*$N$7</f>
        <v>40172.39</v>
      </c>
      <c r="K33" s="88">
        <f>($F$7/360)*($O$2/100)*M32</f>
        <v>15894.319889097616</v>
      </c>
      <c r="L33" s="90">
        <f>J33-K33</f>
        <v>24278.070110902383</v>
      </c>
      <c r="M33" s="79">
        <f>M32-L33</f>
        <v>599028.59220665123</v>
      </c>
      <c r="N33" s="92">
        <f>L33/M32</f>
        <v>3.89504421798295E-2</v>
      </c>
      <c r="O33" s="52"/>
      <c r="P33" s="80">
        <f>I33</f>
        <v>41426</v>
      </c>
      <c r="Q33" s="97">
        <f ca="1">S32*N33</f>
        <v>9615.8421535475463</v>
      </c>
      <c r="R33" s="98">
        <f ca="1">S32*$C$2/2</f>
        <v>6171.8440250000003</v>
      </c>
      <c r="S33" s="99">
        <f ca="1">IF(P33&lt;$A$4,(VLOOKUP(P33,$A$11:$B$52,2,0)*$S$12),(S32-(Q33+R33)))</f>
        <v>186982.318</v>
      </c>
      <c r="U33" s="80">
        <f>P33</f>
        <v>41426</v>
      </c>
      <c r="V33" s="97">
        <f ca="1">IF(U33&lt;$A$4,0,(YEARFRAC($A$4,U33,1)))</f>
        <v>0</v>
      </c>
      <c r="W33" s="141">
        <f ca="1">V33*(S32-S33)</f>
        <v>0</v>
      </c>
    </row>
    <row r="34" spans="1:23">
      <c r="A34" s="49">
        <v>38322</v>
      </c>
      <c r="B34" s="50">
        <v>0.88628275300000003</v>
      </c>
      <c r="C34" s="52"/>
      <c r="D34" s="70" t="str">
        <f ca="1">IF(E34&lt;$A$4,"Actual","Model Num")</f>
        <v>Actual</v>
      </c>
      <c r="E34" s="71">
        <f>DATE(YEAR(E33),MONTH(E33)+6,DAY(E33))</f>
        <v>41609</v>
      </c>
      <c r="F34" s="74">
        <f>MAX(IF(ISERROR(VLOOKUP(E34,$A$12:$B$52,2,0)),VLOOKUP(E34,$P$11:$S$52,4,0)/1000000,(VLOOKUP(E34,$A$12:$B$52,2,0))),0)</f>
        <v>0.16913119400000001</v>
      </c>
      <c r="G34" s="128">
        <f>F34*1000000</f>
        <v>169131.19400000002</v>
      </c>
      <c r="H34" s="64"/>
      <c r="I34" s="80">
        <f>E34</f>
        <v>41609</v>
      </c>
      <c r="J34" s="207">
        <f>$M$12*$N$7</f>
        <v>40172.39</v>
      </c>
      <c r="K34" s="88">
        <f>($F$7/360)*($O$2/100)*M33</f>
        <v>15275.229101269606</v>
      </c>
      <c r="L34" s="90">
        <f>J34-K34</f>
        <v>24897.160898730392</v>
      </c>
      <c r="M34" s="79">
        <f>M33-L34</f>
        <v>574131.43130792084</v>
      </c>
      <c r="N34" s="92">
        <f>L34/M33</f>
        <v>4.1562558486592974E-2</v>
      </c>
      <c r="O34" s="52"/>
      <c r="P34" s="80">
        <f>I34</f>
        <v>41609</v>
      </c>
      <c r="Q34" s="97">
        <f ca="1">S33*N34</f>
        <v>7771.4635278337264</v>
      </c>
      <c r="R34" s="98">
        <f ca="1">S33*$C$2/2</f>
        <v>4674.5579500000003</v>
      </c>
      <c r="S34" s="99">
        <f ca="1">IF(P34&lt;$A$4,(VLOOKUP(P34,$A$11:$B$52,2,0)*$S$12),(S33-(Q34+R34)))</f>
        <v>169131.19400000002</v>
      </c>
      <c r="U34" s="80">
        <f>P34</f>
        <v>41609</v>
      </c>
      <c r="V34" s="97">
        <f ca="1">IF(U34&lt;$A$4,0,(YEARFRAC($A$4,U34,1)))</f>
        <v>0</v>
      </c>
      <c r="W34" s="141">
        <f ca="1">V34*(S33-S34)</f>
        <v>0</v>
      </c>
    </row>
    <row r="35" spans="1:23">
      <c r="A35" s="49">
        <v>38139</v>
      </c>
      <c r="B35" s="50">
        <v>0.92305660199999995</v>
      </c>
      <c r="D35" s="70" t="str">
        <f ca="1">IF(E35&lt;$A$4,"Actual","Model Num")</f>
        <v>Actual</v>
      </c>
      <c r="E35" s="71">
        <f>DATE(YEAR(E34),MONTH(E34)+6,DAY(E34))</f>
        <v>41791</v>
      </c>
      <c r="F35" s="74">
        <f>MAX(IF(ISERROR(VLOOKUP(E35,$A$12:$B$52,2,0)),VLOOKUP(E35,$P$11:$S$52,4,0)/1000000,(VLOOKUP(E35,$A$12:$B$52,2,0))),0)</f>
        <v>0.14386273499999999</v>
      </c>
      <c r="G35" s="128">
        <f>F35*1000000</f>
        <v>143862.73499999999</v>
      </c>
      <c r="I35" s="80">
        <f>E35</f>
        <v>41791</v>
      </c>
      <c r="J35" s="207">
        <f>$M$12*$N$7</f>
        <v>40172.39</v>
      </c>
      <c r="K35" s="88">
        <f>($F$7/360)*($O$2/100)*M34</f>
        <v>14640.35149835198</v>
      </c>
      <c r="L35" s="90">
        <f>J35-K35</f>
        <v>25532.038501648021</v>
      </c>
      <c r="M35" s="79">
        <f>M34-L35</f>
        <v>548599.39280627284</v>
      </c>
      <c r="N35" s="92">
        <f>L35/M34</f>
        <v>4.4470720656216017E-2</v>
      </c>
      <c r="O35" s="52"/>
      <c r="P35" s="80">
        <f>I35</f>
        <v>41791</v>
      </c>
      <c r="Q35" s="97">
        <f ca="1">S34*N35</f>
        <v>7521.3860826262789</v>
      </c>
      <c r="R35" s="98">
        <f ca="1">S34*$C$2/2</f>
        <v>4228.2798500000008</v>
      </c>
      <c r="S35" s="99">
        <f ca="1">IF(P35&lt;$A$4,(VLOOKUP(P35,$A$11:$B$52,2,0)*$S$12),(S34-(Q35+R35)))</f>
        <v>143862.73499999999</v>
      </c>
      <c r="U35" s="80">
        <f>P35</f>
        <v>41791</v>
      </c>
      <c r="V35" s="97">
        <f ca="1">IF(U35&lt;$A$4,0,(YEARFRAC($A$4,U35,1)))</f>
        <v>0</v>
      </c>
      <c r="W35" s="141">
        <f ca="1">V35*(S34-S35)</f>
        <v>0</v>
      </c>
    </row>
    <row r="36" spans="1:23">
      <c r="A36" s="49">
        <v>37956</v>
      </c>
      <c r="B36" s="50">
        <v>0.95896875999999998</v>
      </c>
      <c r="D36" s="70" t="str">
        <f ca="1">IF(E36&lt;$A$4,"Actual","Model Num")</f>
        <v>Actual</v>
      </c>
      <c r="E36" s="71">
        <f>DATE(YEAR(E35),MONTH(E35)+6,DAY(E35))</f>
        <v>41974</v>
      </c>
      <c r="F36" s="74">
        <f>MAX(IF(ISERROR(VLOOKUP(E36,$A$12:$B$52,2,0)),VLOOKUP(E36,$P$11:$S$52,4,0)/1000000,(VLOOKUP(E36,$A$12:$B$52,2,0))),0)</f>
        <v>0.13136861</v>
      </c>
      <c r="G36" s="128">
        <f>F36*1000000</f>
        <v>131368.60999999999</v>
      </c>
      <c r="I36" s="80">
        <f>E36</f>
        <v>41974</v>
      </c>
      <c r="J36" s="207">
        <f>$M$12*$N$7</f>
        <v>40172.39</v>
      </c>
      <c r="K36" s="88">
        <f>($F$7/360)*($O$2/100)*M35</f>
        <v>13989.284516559956</v>
      </c>
      <c r="L36" s="90">
        <f>J36-K36</f>
        <v>26183.105483440042</v>
      </c>
      <c r="M36" s="79">
        <f>M35-L36</f>
        <v>522416.2873228328</v>
      </c>
      <c r="N36" s="92">
        <f>L36/M35</f>
        <v>4.7727186407379225E-2</v>
      </c>
      <c r="O36" s="52"/>
      <c r="P36" s="80">
        <f>I36</f>
        <v>41974</v>
      </c>
      <c r="Q36" s="97">
        <f ca="1">S35*N36</f>
        <v>6866.1635704203991</v>
      </c>
      <c r="R36" s="98">
        <f ca="1">S35*$C$2/2</f>
        <v>3596.5683749999998</v>
      </c>
      <c r="S36" s="99">
        <f ca="1">IF(P36&lt;$A$4,(VLOOKUP(P36,$A$11:$B$52,2,0)*$S$12),(S35-(Q36+R36)))</f>
        <v>131368.60999999999</v>
      </c>
      <c r="U36" s="80">
        <f>P36</f>
        <v>41974</v>
      </c>
      <c r="V36" s="97">
        <f ca="1">IF(U36&lt;$A$4,0,(YEARFRAC($A$4,U36,1)))</f>
        <v>0</v>
      </c>
      <c r="W36" s="141">
        <f ca="1">V36*(S35-S36)</f>
        <v>0</v>
      </c>
    </row>
    <row r="37" spans="1:23">
      <c r="A37" s="49">
        <v>37773</v>
      </c>
      <c r="B37" s="50">
        <v>0.983966432</v>
      </c>
      <c r="D37" s="70" t="str">
        <f ca="1">IF(E37&lt;$A$4,"Actual","Model Num")</f>
        <v>Actual</v>
      </c>
      <c r="E37" s="71">
        <f>DATE(YEAR(E36),MONTH(E36)+6,DAY(E36))</f>
        <v>42156</v>
      </c>
      <c r="F37" s="74">
        <f>MAX(IF(ISERROR(VLOOKUP(E37,$A$12:$B$52,2,0)),VLOOKUP(E37,$P$11:$S$52,4,0)/1000000,(VLOOKUP(E37,$A$12:$B$52,2,0))),0)</f>
        <v>0.10276450099999999</v>
      </c>
      <c r="G37" s="128">
        <f>F37*1000000</f>
        <v>102764.50099999999</v>
      </c>
      <c r="I37" s="80">
        <f>E37</f>
        <v>42156</v>
      </c>
      <c r="J37" s="207">
        <f>$M$12*$N$7</f>
        <v>40172.39</v>
      </c>
      <c r="K37" s="88">
        <f>($F$7/360)*($O$2/100)*M36</f>
        <v>13321.615326732235</v>
      </c>
      <c r="L37" s="90">
        <f>J37-K37</f>
        <v>26850.774673267762</v>
      </c>
      <c r="M37" s="79">
        <f>M36-L37</f>
        <v>495565.512649565</v>
      </c>
      <c r="N37" s="92">
        <f>L37/M36</f>
        <v>5.1397277085036663E-2</v>
      </c>
      <c r="O37" s="52"/>
      <c r="P37" s="80">
        <f>I37</f>
        <v>42156</v>
      </c>
      <c r="Q37" s="97">
        <f ca="1">S36*N37</f>
        <v>6751.9888484461171</v>
      </c>
      <c r="R37" s="98">
        <f ca="1">S36*$C$2/2</f>
        <v>3284.2152499999997</v>
      </c>
      <c r="S37" s="99">
        <f ca="1">IF(P37&lt;$A$4,(VLOOKUP(P37,$A$11:$B$52,2,0)*$S$12),(S36-(Q37+R37)))</f>
        <v>102764.50099999999</v>
      </c>
      <c r="U37" s="80">
        <f>P37</f>
        <v>42156</v>
      </c>
      <c r="V37" s="97">
        <f ca="1">IF(U37&lt;$A$4,0,(YEARFRAC($A$4,U37,1)))</f>
        <v>0</v>
      </c>
      <c r="W37" s="141">
        <f ca="1">V37*(S36-S37)</f>
        <v>0</v>
      </c>
    </row>
    <row r="38" spans="1:23">
      <c r="A38" s="49">
        <v>37601</v>
      </c>
      <c r="B38" s="50">
        <v>1</v>
      </c>
      <c r="D38" s="70" t="str">
        <f ca="1">IF(E38&lt;$A$4,"Actual","Model Num")</f>
        <v>Actual</v>
      </c>
      <c r="E38" s="71">
        <f>DATE(YEAR(E37),MONTH(E37)+6,DAY(E37))</f>
        <v>42339</v>
      </c>
      <c r="F38" s="74">
        <f>MAX(IF(ISERROR(VLOOKUP(E38,$A$12:$B$52,2,0)),VLOOKUP(E38,$P$11:$S$52,4,0)/1000000,(VLOOKUP(E38,$A$12:$B$52,2,0))),0)</f>
        <v>8.6265851000000005E-2</v>
      </c>
      <c r="G38" s="128">
        <f>F38*1000000</f>
        <v>86265.85100000001</v>
      </c>
      <c r="I38" s="80">
        <f>E38</f>
        <v>42339</v>
      </c>
      <c r="J38" s="207">
        <f>$M$12*$N$7</f>
        <v>40172.39</v>
      </c>
      <c r="K38" s="88">
        <f>($F$7/360)*($O$2/100)*M37</f>
        <v>12636.920572563908</v>
      </c>
      <c r="L38" s="90">
        <f>J38-K38</f>
        <v>27535.469427436092</v>
      </c>
      <c r="M38" s="79">
        <f>M37-L38</f>
        <v>468030.04322212894</v>
      </c>
      <c r="N38" s="92">
        <f>L38/M37</f>
        <v>5.5563732189950775E-2</v>
      </c>
      <c r="O38" s="52"/>
      <c r="P38" s="80">
        <f>I38</f>
        <v>42339</v>
      </c>
      <c r="Q38" s="97">
        <f ca="1">S37*N38</f>
        <v>5709.9792121979281</v>
      </c>
      <c r="R38" s="98">
        <f ca="1">S37*$C$2/2</f>
        <v>2569.112525</v>
      </c>
      <c r="S38" s="99">
        <f ca="1">IF(P38&lt;$A$4,(VLOOKUP(P38,$A$11:$B$52,2,0)*$S$12),(S37-(Q38+R38)))</f>
        <v>86265.85100000001</v>
      </c>
      <c r="U38" s="80">
        <f>P38</f>
        <v>42339</v>
      </c>
      <c r="V38" s="97">
        <f ca="1">IF(U38&lt;$A$4,0,(YEARFRAC($A$4,U38,1)))</f>
        <v>0</v>
      </c>
      <c r="W38" s="141">
        <f ca="1">V38*(S37-S38)</f>
        <v>0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42522</v>
      </c>
      <c r="F39" s="74">
        <f ca="1">MAX(IF(ISERROR(VLOOKUP(E39,$A$12:$B$52,2,0)),VLOOKUP(E39,$P$11:$S$52,4,0)/1000000,(VLOOKUP(E39,$A$12:$B$52,2,0))),0)</f>
        <v>7.8904533163758742E-2</v>
      </c>
      <c r="G39" s="128">
        <f ca="1">F39*1000000</f>
        <v>78904.533163758737</v>
      </c>
      <c r="I39" s="80">
        <f>E39</f>
        <v>42522</v>
      </c>
      <c r="J39" s="207">
        <f>$M$12*$N$7</f>
        <v>40172.39</v>
      </c>
      <c r="K39" s="88">
        <f>($F$7/360)*($O$2/100)*M38</f>
        <v>11934.766102164287</v>
      </c>
      <c r="L39" s="90">
        <f>J39-K39</f>
        <v>28237.623897835714</v>
      </c>
      <c r="M39" s="79">
        <f>M38-L39</f>
        <v>439792.41932429321</v>
      </c>
      <c r="N39" s="92">
        <f>L39/M38</f>
        <v>6.0332930132935982E-2</v>
      </c>
      <c r="O39" s="52"/>
      <c r="P39" s="80">
        <f>I39</f>
        <v>42522</v>
      </c>
      <c r="Q39" s="97">
        <f ca="1">S38*N39</f>
        <v>5204.6715612412663</v>
      </c>
      <c r="R39" s="98">
        <f ca="1">S38*$C$2/2</f>
        <v>2156.6462750000005</v>
      </c>
      <c r="S39" s="99">
        <f ca="1">IF(P39&lt;$A$4,(VLOOKUP(P39,$A$11:$B$52,2,0)*$S$12),(S38-(Q39+R39)))</f>
        <v>78904.533163758737</v>
      </c>
      <c r="U39" s="80">
        <f>P39</f>
        <v>42522</v>
      </c>
      <c r="V39" s="97">
        <f ca="1">IF(U39&lt;$A$4,0,(YEARFRAC($A$4,U39,1)))</f>
        <v>0.14754098360655737</v>
      </c>
      <c r="W39" s="141">
        <f ca="1">V39*(S38-S39)</f>
        <v>1086.096074199532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42705</v>
      </c>
      <c r="F40" s="74">
        <f ca="1">MAX(IF(ISERROR(VLOOKUP(E40,$A$12:$B$52,2,0)),VLOOKUP(E40,$P$11:$S$52,4,0)/1000000,(VLOOKUP(E40,$A$12:$B$52,2,0))),0)</f>
        <v>7.1736531323031136E-2</v>
      </c>
      <c r="G40" s="128">
        <f ca="1">F40*1000000</f>
        <v>71736.531323031129</v>
      </c>
      <c r="I40" s="80">
        <f>E40</f>
        <v>42705</v>
      </c>
      <c r="J40" s="207">
        <f>$M$12*$N$7</f>
        <v>40172.39</v>
      </c>
      <c r="K40" s="88">
        <f>($F$7/360)*($O$2/100)*M39</f>
        <v>11214.706692769476</v>
      </c>
      <c r="L40" s="90">
        <f>J40-K40</f>
        <v>28957.683307230523</v>
      </c>
      <c r="M40" s="79">
        <f>M39-L40</f>
        <v>410834.73601706268</v>
      </c>
      <c r="N40" s="92">
        <f>L40/M39</f>
        <v>6.5843980102525984E-2</v>
      </c>
      <c r="O40" s="52"/>
      <c r="P40" s="80">
        <f>I40</f>
        <v>42705</v>
      </c>
      <c r="Q40" s="97">
        <f ca="1">S39*N40</f>
        <v>5195.3885116336323</v>
      </c>
      <c r="R40" s="98">
        <f ca="1">S39*$C$2/2</f>
        <v>1972.6133290939686</v>
      </c>
      <c r="S40" s="99">
        <f ca="1">IF(P40&lt;$A$4,(VLOOKUP(P40,$A$11:$B$52,2,0)*$S$12),(S39-(Q40+R40)))</f>
        <v>71736.531323031129</v>
      </c>
      <c r="U40" s="80">
        <f>P40</f>
        <v>42705</v>
      </c>
      <c r="V40" s="97">
        <f ca="1">IF(U40&lt;$A$4,0,(YEARFRAC($A$4,U40,1)))</f>
        <v>0.64754098360655743</v>
      </c>
      <c r="W40" s="141">
        <f ca="1">V40*(S39-S40)</f>
        <v>4641.5749624383689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42887</v>
      </c>
      <c r="F41" s="74">
        <f ca="1">MAX(IF(ISERROR(VLOOKUP(E41,$A$12:$B$52,2,0)),VLOOKUP(E41,$P$11:$S$52,4,0)/1000000,(VLOOKUP(E41,$A$12:$B$52,2,0))),0)</f>
        <v>6.4757832267792262E-2</v>
      </c>
      <c r="G41" s="128">
        <f ca="1">F41*1000000</f>
        <v>64757.832267792262</v>
      </c>
      <c r="I41" s="80">
        <f>E41</f>
        <v>42887</v>
      </c>
      <c r="J41" s="207">
        <f>$M$12*$N$7</f>
        <v>40172.39</v>
      </c>
      <c r="K41" s="88">
        <f>($F$7/360)*($O$2/100)*M40</f>
        <v>10476.285768435098</v>
      </c>
      <c r="L41" s="90">
        <f>J41-K41</f>
        <v>29696.104231564903</v>
      </c>
      <c r="M41" s="79">
        <f>M40-L41</f>
        <v>381138.63178549777</v>
      </c>
      <c r="N41" s="92">
        <f>L41/M40</f>
        <v>7.228235985949244E-2</v>
      </c>
      <c r="O41" s="52"/>
      <c r="P41" s="80">
        <f>I41</f>
        <v>42887</v>
      </c>
      <c r="Q41" s="97">
        <f ca="1">S40*N41</f>
        <v>5185.2857721630871</v>
      </c>
      <c r="R41" s="98">
        <f ca="1">S40*$C$2/2</f>
        <v>1793.4132830757783</v>
      </c>
      <c r="S41" s="99">
        <f ca="1">IF(P41&lt;$A$4,(VLOOKUP(P41,$A$11:$B$52,2,0)*$S$12),(S40-(Q41+R41)))</f>
        <v>64757.832267792262</v>
      </c>
      <c r="U41" s="80">
        <f>P41</f>
        <v>42887</v>
      </c>
      <c r="V41" s="97">
        <f ca="1">IF(U41&lt;$A$4,0,(YEARFRAC($A$4,U41,1)))</f>
        <v>1.146374829001368</v>
      </c>
      <c r="W41" s="141">
        <f ca="1">V41*(S40-S41)</f>
        <v>8000.2049361014642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43070</v>
      </c>
      <c r="F42" s="74">
        <f ca="1">MAX(IF(ISERROR(VLOOKUP(E42,$A$12:$B$52,2,0)),VLOOKUP(E42,$P$11:$S$52,4,0)/1000000,(VLOOKUP(E42,$A$12:$B$52,2,0))),0)</f>
        <v>5.7964671402693936E-2</v>
      </c>
      <c r="G42" s="128">
        <f ca="1">F42*1000000</f>
        <v>57964.671402693937</v>
      </c>
      <c r="I42" s="80">
        <f>E42</f>
        <v>43070</v>
      </c>
      <c r="J42" s="207">
        <f>$M$12*$N$7</f>
        <v>40172.39</v>
      </c>
      <c r="K42" s="88">
        <f>($F$7/360)*($O$2/100)*M41</f>
        <v>9719.0351105301925</v>
      </c>
      <c r="L42" s="90">
        <f>J42-K42</f>
        <v>30453.354889469807</v>
      </c>
      <c r="M42" s="79">
        <f>M41-L42</f>
        <v>350685.27689602796</v>
      </c>
      <c r="N42" s="92">
        <f>L42/M41</f>
        <v>7.9900992315595942E-2</v>
      </c>
      <c r="O42" s="52"/>
      <c r="P42" s="80">
        <f>I42</f>
        <v>43070</v>
      </c>
      <c r="Q42" s="97">
        <f ca="1">S41*N42</f>
        <v>5174.2150584035207</v>
      </c>
      <c r="R42" s="98">
        <f ca="1">S41*$C$2/2</f>
        <v>1618.9458066948066</v>
      </c>
      <c r="S42" s="99">
        <f ca="1">IF(P42&lt;$A$4,(VLOOKUP(P42,$A$11:$B$52,2,0)*$S$12),(S41-(Q42+R42)))</f>
        <v>57964.671402693937</v>
      </c>
      <c r="U42" s="80">
        <f>P42</f>
        <v>43070</v>
      </c>
      <c r="V42" s="97">
        <f ca="1">IF(U42&lt;$A$4,0,(YEARFRAC($A$4,U42,1)))</f>
        <v>1.6470588235294117</v>
      </c>
      <c r="W42" s="141">
        <f ca="1">V42*(S41-S42)</f>
        <v>11188.735542514889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43252</v>
      </c>
      <c r="F43" s="74">
        <f ca="1">MAX(IF(ISERROR(VLOOKUP(E43,$A$12:$B$52,2,0)),VLOOKUP(E43,$P$11:$S$52,4,0)/1000000,(VLOOKUP(E43,$A$12:$B$52,2,0))),0)</f>
        <v>5.1353570623354071E-2</v>
      </c>
      <c r="G43" s="128">
        <f ca="1">F43*1000000</f>
        <v>51353.57062335407</v>
      </c>
      <c r="I43" s="80">
        <f>E43</f>
        <v>43252</v>
      </c>
      <c r="J43" s="207">
        <f>$M$12*$N$7</f>
        <v>40172.39</v>
      </c>
      <c r="K43" s="88">
        <f>($F$7/360)*($O$2/100)*M42</f>
        <v>8942.4745608487119</v>
      </c>
      <c r="L43" s="90">
        <f>J43-K43</f>
        <v>31229.915439151286</v>
      </c>
      <c r="M43" s="79">
        <f>M42-L43</f>
        <v>319455.36145687668</v>
      </c>
      <c r="N43" s="92">
        <f>L43/M42</f>
        <v>8.9053968035305936E-2</v>
      </c>
      <c r="O43" s="52"/>
      <c r="P43" s="80">
        <f>I43</f>
        <v>43252</v>
      </c>
      <c r="Q43" s="97">
        <f ca="1">S42*N43</f>
        <v>5161.9839942725175</v>
      </c>
      <c r="R43" s="98">
        <f ca="1">S42*$C$2/2</f>
        <v>1449.1167850673485</v>
      </c>
      <c r="S43" s="99">
        <f ca="1">IF(P43&lt;$A$4,(VLOOKUP(P43,$A$11:$B$52,2,0)*$S$12),(S42-(Q43+R43)))</f>
        <v>51353.57062335407</v>
      </c>
      <c r="U43" s="80">
        <f>P43</f>
        <v>43252</v>
      </c>
      <c r="V43" s="97">
        <f ca="1">IF(U43&lt;$A$4,0,(YEARFRAC($A$4,U43,1)))</f>
        <v>2.1459854014598543</v>
      </c>
      <c r="W43" s="141">
        <f ca="1">V43*(S42-S43)</f>
        <v>14187.325760043221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43435</v>
      </c>
      <c r="F44" s="74">
        <f ca="1">MAX(IF(ISERROR(VLOOKUP(E44,$A$12:$B$52,2,0)),VLOOKUP(E44,$P$11:$S$52,4,0)/1000000,(VLOOKUP(E44,$A$12:$B$52,2,0))),0)</f>
        <v>4.4921394713485961E-2</v>
      </c>
      <c r="G44" s="128">
        <f ca="1">F44*1000000</f>
        <v>44921.394713485963</v>
      </c>
      <c r="I44" s="80">
        <f>E44</f>
        <v>43435</v>
      </c>
      <c r="J44" s="207">
        <f>$M$12*$N$7</f>
        <v>40172.39</v>
      </c>
      <c r="K44" s="88">
        <f>($F$7/360)*($O$2/100)*M43</f>
        <v>8146.1117171503547</v>
      </c>
      <c r="L44" s="90">
        <f>J44-K44</f>
        <v>32026.278282849646</v>
      </c>
      <c r="M44" s="79">
        <f>M43-L44</f>
        <v>287429.08317402704</v>
      </c>
      <c r="N44" s="92">
        <f>L44/M43</f>
        <v>0.1002527493568859</v>
      </c>
      <c r="O44" s="52"/>
      <c r="P44" s="80">
        <f>I44</f>
        <v>43435</v>
      </c>
      <c r="Q44" s="97">
        <f ca="1">S43*N44</f>
        <v>5148.3366442842544</v>
      </c>
      <c r="R44" s="98">
        <f ca="1">S43*$C$2/2</f>
        <v>1283.8392655838518</v>
      </c>
      <c r="S44" s="99">
        <f ca="1">IF(P44&lt;$A$4,(VLOOKUP(P44,$A$11:$B$52,2,0)*$S$12),(S43-(Q44+R44)))</f>
        <v>44921.394713485963</v>
      </c>
      <c r="U44" s="80">
        <f>P44</f>
        <v>43435</v>
      </c>
      <c r="V44" s="97">
        <f ca="1">IF(U44&lt;$A$4,0,(YEARFRAC($A$4,U44,1)))</f>
        <v>2.6468978102189782</v>
      </c>
      <c r="W44" s="141">
        <f ca="1">V44*(S43-S44)</f>
        <v>17025.312330773155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43617</v>
      </c>
      <c r="F45" s="74">
        <f ca="1">MAX(IF(ISERROR(VLOOKUP(E45,$A$12:$B$52,2,0)),VLOOKUP(E45,$P$11:$S$52,4,0)/1000000,(VLOOKUP(E45,$A$12:$B$52,2,0))),0)</f>
        <v>3.866543790400509E-2</v>
      </c>
      <c r="G45" s="128">
        <f ca="1">F45*1000000</f>
        <v>38665.437904005092</v>
      </c>
      <c r="I45" s="80">
        <f>E45</f>
        <v>43617</v>
      </c>
      <c r="J45" s="207">
        <f>$M$12*$N$7</f>
        <v>40172.39</v>
      </c>
      <c r="K45" s="88">
        <f>($F$7/360)*($O$2/100)*M44</f>
        <v>7329.4416209376886</v>
      </c>
      <c r="L45" s="90">
        <f>J45-K45</f>
        <v>32842.948379062313</v>
      </c>
      <c r="M45" s="79">
        <f>M44-L45</f>
        <v>254586.13479496472</v>
      </c>
      <c r="N45" s="92">
        <f>L45/M44</f>
        <v>0.11426452750147484</v>
      </c>
      <c r="O45" s="52"/>
      <c r="P45" s="80">
        <f>I45</f>
        <v>43617</v>
      </c>
      <c r="Q45" s="97">
        <f ca="1">S44*N45</f>
        <v>5132.9219416437236</v>
      </c>
      <c r="R45" s="98">
        <f ca="1">S44*$C$2/2</f>
        <v>1123.034867837149</v>
      </c>
      <c r="S45" s="99">
        <f ca="1">IF(P45&lt;$A$4,(VLOOKUP(P45,$A$11:$B$52,2,0)*$S$12),(S44-(Q45+R45)))</f>
        <v>38665.437904005092</v>
      </c>
      <c r="U45" s="80">
        <f>P45</f>
        <v>43617</v>
      </c>
      <c r="V45" s="97">
        <f ca="1">IF(U45&lt;$A$4,0,(YEARFRAC($A$4,U45,1)))</f>
        <v>3.1457905544147846</v>
      </c>
      <c r="W45" s="141">
        <f ca="1">V45*(S44-S45)</f>
        <v>19679.929840091776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43800</v>
      </c>
      <c r="F46" s="74">
        <f ca="1">MAX(IF(ISERROR(VLOOKUP(E46,$A$12:$B$52,2,0)),VLOOKUP(E46,$P$11:$S$52,4,0)/1000000,(VLOOKUP(E46,$A$12:$B$52,2,0))),0)</f>
        <v>3.2583562274547083E-2</v>
      </c>
      <c r="G46" s="128">
        <f ca="1">F46*1000000</f>
        <v>32583.562274547083</v>
      </c>
      <c r="I46" s="80">
        <f>E46</f>
        <v>43800</v>
      </c>
      <c r="J46" s="207">
        <f>$M$12*$N$7</f>
        <v>40172.39</v>
      </c>
      <c r="K46" s="88">
        <f>($F$7/360)*($O$2/100)*M45</f>
        <v>6491.9464372716002</v>
      </c>
      <c r="L46" s="90">
        <f>J46-K46</f>
        <v>33680.443562728397</v>
      </c>
      <c r="M46" s="79">
        <f>M45-L46</f>
        <v>220905.69123223634</v>
      </c>
      <c r="N46" s="92">
        <f>L46/M45</f>
        <v>0.13229488553983318</v>
      </c>
      <c r="O46" s="52"/>
      <c r="P46" s="80">
        <f>I46</f>
        <v>43800</v>
      </c>
      <c r="Q46" s="97">
        <f ca="1">S45*N46</f>
        <v>5115.2396818578809</v>
      </c>
      <c r="R46" s="98">
        <f ca="1">S45*$C$2/2</f>
        <v>966.63594760012734</v>
      </c>
      <c r="S46" s="99">
        <f ca="1">IF(P46&lt;$A$4,(VLOOKUP(P46,$A$11:$B$52,2,0)*$S$12),(S45-(Q46+R46)))</f>
        <v>32583.562274547083</v>
      </c>
      <c r="U46" s="80">
        <f>P46</f>
        <v>43800</v>
      </c>
      <c r="V46" s="97">
        <f ca="1">IF(U46&lt;$A$4,0,(YEARFRAC($A$4,U46,1)))</f>
        <v>3.6468172484599588</v>
      </c>
      <c r="W46" s="141">
        <f ca="1">V46*(S45-S46)</f>
        <v>22179.488948495735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43983</v>
      </c>
      <c r="F47" s="74">
        <f ca="1">MAX(IF(ISERROR(VLOOKUP(E47,$A$12:$B$52,2,0)),VLOOKUP(E47,$P$11:$S$52,4,0)/1000000,(VLOOKUP(E47,$A$12:$B$52,2,0))),0)</f>
        <v>2.667443147385375E-2</v>
      </c>
      <c r="G47" s="128">
        <f ca="1">F47*1000000</f>
        <v>26674.431473853751</v>
      </c>
      <c r="I47" s="80">
        <f>E47</f>
        <v>43983</v>
      </c>
      <c r="J47" s="207">
        <f>$M$12*$N$7</f>
        <v>40172.39</v>
      </c>
      <c r="K47" s="88">
        <f>($F$7/360)*($O$2/100)*M46</f>
        <v>5633.0951264220266</v>
      </c>
      <c r="L47" s="90">
        <f>J47-K47</f>
        <v>34539.294873577972</v>
      </c>
      <c r="M47" s="79">
        <f>M46-L47</f>
        <v>186366.39635865836</v>
      </c>
      <c r="N47" s="92">
        <f>L47/M46</f>
        <v>0.15635312372856477</v>
      </c>
      <c r="O47" s="52"/>
      <c r="P47" s="80">
        <f>I47</f>
        <v>43983</v>
      </c>
      <c r="Q47" s="97">
        <f ca="1">S46*N47</f>
        <v>5094.5417438296554</v>
      </c>
      <c r="R47" s="98">
        <f ca="1">S46*$C$2/2</f>
        <v>814.58905686367711</v>
      </c>
      <c r="S47" s="99">
        <f ca="1">IF(P47&lt;$A$4,(VLOOKUP(P47,$A$11:$B$52,2,0)*$S$12),(S46-(Q47+R47)))</f>
        <v>26674.431473853751</v>
      </c>
      <c r="U47" s="80">
        <f>P47</f>
        <v>43983</v>
      </c>
      <c r="V47" s="97">
        <f ca="1">IF(U47&lt;$A$4,0,(YEARFRAC($A$4,U47,1)))</f>
        <v>4.1461412151067325</v>
      </c>
      <c r="W47" s="141">
        <f ca="1">V47*(S46-S47)</f>
        <v>24500.09075821127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44166</v>
      </c>
      <c r="F48" s="74">
        <f ca="1">MAX(IF(ISERROR(VLOOKUP(E48,$A$12:$B$52,2,0)),VLOOKUP(E48,$P$11:$S$52,4,0)/1000000,(VLOOKUP(E48,$A$12:$B$52,2,0))),0)</f>
        <v>2.0937935644937594E-2</v>
      </c>
      <c r="G48" s="128">
        <f ca="1">F48*1000000</f>
        <v>20937.935644937595</v>
      </c>
      <c r="I48" s="80">
        <f>E48</f>
        <v>44166</v>
      </c>
      <c r="J48" s="207">
        <f>$M$12*$N$7</f>
        <v>40172.39</v>
      </c>
      <c r="K48" s="88">
        <f>($F$7/360)*($O$2/100)*M47</f>
        <v>4752.3431071457881</v>
      </c>
      <c r="L48" s="90">
        <f>J48-K48</f>
        <v>35420.04689285421</v>
      </c>
      <c r="M48" s="79">
        <f>M47-L48</f>
        <v>150946.34946580415</v>
      </c>
      <c r="N48" s="92">
        <f>L48/M47</f>
        <v>0.19005597352802298</v>
      </c>
      <c r="O48" s="52"/>
      <c r="P48" s="80">
        <f>I48</f>
        <v>44166</v>
      </c>
      <c r="Q48" s="97">
        <f ca="1">S47*N48</f>
        <v>5069.6350420698109</v>
      </c>
      <c r="R48" s="98">
        <f ca="1">S47*$C$2/2</f>
        <v>666.86078684634379</v>
      </c>
      <c r="S48" s="99">
        <f ca="1">IF(P48&lt;$A$4,(VLOOKUP(P48,$A$11:$B$52,2,0)*$S$12),(S47-(Q48+R48)))</f>
        <v>20937.935644937595</v>
      </c>
      <c r="U48" s="80">
        <f>P48</f>
        <v>44166</v>
      </c>
      <c r="V48" s="97">
        <f ca="1">IF(U48&lt;$A$4,0,(YEARFRAC($A$4,U48,1)))</f>
        <v>4.6469622331691296</v>
      </c>
      <c r="W48" s="141">
        <f ca="1">V48*(S47-S48)</f>
        <v>26657.279467705612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44348</v>
      </c>
      <c r="F49" s="74">
        <f ca="1">MAX(IF(ISERROR(VLOOKUP(E49,$A$12:$B$52,2,0)),VLOOKUP(E49,$P$11:$S$52,4,0)/1000000,(VLOOKUP(E49,$A$12:$B$52,2,0))),0)</f>
        <v>1.537604781512922E-2</v>
      </c>
      <c r="G49" s="128">
        <f ca="1">F49*1000000</f>
        <v>15376.047815129219</v>
      </c>
      <c r="I49" s="80">
        <f>E49</f>
        <v>44348</v>
      </c>
      <c r="J49" s="207">
        <f>$M$12*$N$7</f>
        <v>40172.39</v>
      </c>
      <c r="K49" s="88">
        <f>($F$7/360)*($O$2/100)*M48</f>
        <v>3849.1319113780055</v>
      </c>
      <c r="L49" s="90">
        <f>J49-K49</f>
        <v>36323.258088621995</v>
      </c>
      <c r="M49" s="79">
        <f>M48-L49</f>
        <v>114623.09137718215</v>
      </c>
      <c r="N49" s="92">
        <f>L49/M48</f>
        <v>0.24063687672586465</v>
      </c>
      <c r="O49" s="52"/>
      <c r="P49" s="80">
        <f>I49</f>
        <v>44348</v>
      </c>
      <c r="Q49" s="97">
        <f ca="1">S48*N49</f>
        <v>5038.4394386849353</v>
      </c>
      <c r="R49" s="98">
        <f ca="1">S48*$C$2/2</f>
        <v>523.44839112343993</v>
      </c>
      <c r="S49" s="99">
        <f ca="1">IF(P49&lt;$A$4,(VLOOKUP(P49,$A$11:$B$52,2,0)*$S$12),(S48-(Q49+R49)))</f>
        <v>15376.047815129219</v>
      </c>
      <c r="U49" s="80">
        <f>P49</f>
        <v>44348</v>
      </c>
      <c r="V49" s="97">
        <f ca="1">IF(U49&lt;$A$4,0,(YEARFRAC($A$4,U49,1)))</f>
        <v>5.1459854014598543</v>
      </c>
      <c r="W49" s="141">
        <f ca="1">V49*(S48-S49)</f>
        <v>28621.393576751136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44531</v>
      </c>
      <c r="F50" s="74">
        <f ca="1">MAX(IF(ISERROR(VLOOKUP(E50,$A$12:$B$52,2,0)),VLOOKUP(E50,$P$11:$S$52,4,0)/1000000,(VLOOKUP(E50,$A$12:$B$52,2,0))),0)</f>
        <v>9.9948339863078148E-3</v>
      </c>
      <c r="G50" s="128">
        <f ca="1">F50*1000000</f>
        <v>9994.8339863078145</v>
      </c>
      <c r="I50" s="80">
        <f>E50</f>
        <v>44531</v>
      </c>
      <c r="J50" s="207">
        <f>$M$12*$N$7</f>
        <v>40172.39</v>
      </c>
      <c r="K50" s="88">
        <f>($F$7/360)*($O$2/100)*M49</f>
        <v>2922.8888301181446</v>
      </c>
      <c r="L50" s="90">
        <f>J50-K50</f>
        <v>37249.501169881856</v>
      </c>
      <c r="M50" s="79">
        <f>M49-L50</f>
        <v>77373.590207300294</v>
      </c>
      <c r="N50" s="92">
        <f>L50/M49</f>
        <v>0.32497379648667424</v>
      </c>
      <c r="O50" s="52"/>
      <c r="P50" s="80">
        <f>I50</f>
        <v>44531</v>
      </c>
      <c r="Q50" s="97">
        <f ca="1">S49*N50</f>
        <v>4996.8126334431745</v>
      </c>
      <c r="R50" s="98">
        <f ca="1">S49*$C$2/2</f>
        <v>384.40119537823051</v>
      </c>
      <c r="S50" s="99">
        <f ca="1">IF(P50&lt;$A$4,(VLOOKUP(P50,$A$11:$B$52,2,0)*$S$12),(S49-(Q50+R50)))</f>
        <v>9994.8339863078145</v>
      </c>
      <c r="U50" s="80">
        <f>P50</f>
        <v>44531</v>
      </c>
      <c r="V50" s="97">
        <f ca="1">IF(U50&lt;$A$4,0,(YEARFRAC($A$4,U50,1)))</f>
        <v>5.6468978102189782</v>
      </c>
      <c r="W50" s="141">
        <f ca="1">V50*(S49-S50)</f>
        <v>30387.164586291674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44713</v>
      </c>
      <c r="F51" s="74">
        <f ca="1">MAX(IF(ISERROR(VLOOKUP(E51,$A$12:$B$52,2,0)),VLOOKUP(E51,$P$11:$S$52,4,0)/1000000,(VLOOKUP(E51,$A$12:$B$52,2,0))),0)</f>
        <v>4.8105107603339759E-3</v>
      </c>
      <c r="G51" s="128">
        <f ca="1">F51*1000000</f>
        <v>4810.5107603339757</v>
      </c>
      <c r="I51" s="80">
        <f>E51</f>
        <v>44713</v>
      </c>
      <c r="J51" s="207">
        <f>$M$12*$N$7</f>
        <v>40172.39</v>
      </c>
      <c r="K51" s="88">
        <f>($F$7/360)*($O$2/100)*M50</f>
        <v>1973.0265502861573</v>
      </c>
      <c r="L51" s="90">
        <f>J51-K51</f>
        <v>38199.363449713841</v>
      </c>
      <c r="M51" s="79">
        <f>M50-L51</f>
        <v>39174.226757586453</v>
      </c>
      <c r="N51" s="92">
        <f>L51/M50</f>
        <v>0.49370028387424736</v>
      </c>
      <c r="O51" s="52"/>
      <c r="P51" s="80">
        <f>I51</f>
        <v>44713</v>
      </c>
      <c r="Q51" s="97">
        <f ca="1">S50*N51</f>
        <v>4934.4523763161433</v>
      </c>
      <c r="R51" s="98">
        <f ca="1">S50*$C$2/2</f>
        <v>249.87084965769537</v>
      </c>
      <c r="S51" s="99">
        <f ca="1">IF(P51&lt;$A$4,(VLOOKUP(P51,$A$11:$B$52,2,0)*$S$12),(S50-(Q51+R51)))</f>
        <v>4810.5107603339757</v>
      </c>
      <c r="U51" s="80">
        <f>P51</f>
        <v>44713</v>
      </c>
      <c r="V51" s="97">
        <f ca="1">IF(U51&lt;$A$4,0,(YEARFRAC($A$4,U51,1)))</f>
        <v>6.1458740711771611</v>
      </c>
      <c r="W51" s="141">
        <f ca="1">V51*(S50-S51)</f>
        <v>31862.19769111415</v>
      </c>
    </row>
    <row r="52" spans="1:23" s="82" customFormat="1" ht="13.5" thickBot="1">
      <c r="A52" s="49"/>
      <c r="B52" s="50"/>
      <c r="D52" s="66" t="str">
        <f ca="1">IF(E52&lt;$A$4,"Actual","Model Num")</f>
        <v>Model Num</v>
      </c>
      <c r="E52" s="71">
        <f>DATE(YEAR(E51),MONTH(E51)+6,DAY(E51))</f>
        <v>44896</v>
      </c>
      <c r="F52" s="74">
        <f ca="1">MAX(IF(ISERROR(VLOOKUP(E52,$A$12:$B$52,2,0)),VLOOKUP(E52,$P$11:$S$52,4,0)/1000000,(VLOOKUP(E52,$A$12:$B$52,2,0))),0)</f>
        <v>0</v>
      </c>
      <c r="G52" s="103">
        <f ca="1">F52*1000000</f>
        <v>0</v>
      </c>
      <c r="H52" s="83"/>
      <c r="I52" s="84">
        <f>E52</f>
        <v>44896</v>
      </c>
      <c r="J52" s="209">
        <f>$M$12*$N$7</f>
        <v>40172.39</v>
      </c>
      <c r="K52" s="89">
        <f>($F$7/360)*($O$2/100)*M51</f>
        <v>998.94278231845453</v>
      </c>
      <c r="L52" s="91">
        <f>J52-K52</f>
        <v>39173.447217681547</v>
      </c>
      <c r="M52" s="85">
        <f>M51-L52</f>
        <v>0.77953990490641445</v>
      </c>
      <c r="N52" s="93">
        <f>L52/M51</f>
        <v>0.99998010069452725</v>
      </c>
      <c r="O52" s="86"/>
      <c r="P52" s="84">
        <f>I52</f>
        <v>44896</v>
      </c>
      <c r="Q52" s="100">
        <f ca="1">S51*N52</f>
        <v>4810.4150345108756</v>
      </c>
      <c r="R52" s="101">
        <v>0.23673602391681925</v>
      </c>
      <c r="S52" s="102">
        <f ca="1">IF(P52&lt;$A$4,(VLOOKUP(P52,$A$11:$B$52,2,0)*$S$12),(S51-(Q52+R52)))</f>
        <v>-0.14101020081670868</v>
      </c>
      <c r="U52" s="142">
        <f>P52</f>
        <v>44896</v>
      </c>
      <c r="V52" s="143">
        <f ca="1">IF(U52&lt;$A$4,0,(YEARFRAC($A$4,U52,1)))</f>
        <v>6.6468517794290189</v>
      </c>
      <c r="W52" s="141">
        <f ca="1">V52*(S51-S52)</f>
        <v>31975.689281192546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A10:B10"/>
    <mergeCell ref="U10:W10"/>
    <mergeCell ref="I10:N10"/>
    <mergeCell ref="P10:S10"/>
    <mergeCell ref="D10:G10"/>
  </mergeCells>
  <phoneticPr fontId="2" type="noConversion"/>
  <conditionalFormatting sqref="A1:XFD2 D12:G52">
    <cfRule type="expression" dxfId="59" priority="1" stopIfTrue="1">
      <formula>$D1="Actual"</formula>
    </cfRule>
  </conditionalFormatting>
  <conditionalFormatting sqref="A4">
    <cfRule type="expression" dxfId="58" priority="2" stopIfTrue="1">
      <formula>#REF!="Actual"</formula>
    </cfRule>
  </conditionalFormatting>
  <conditionalFormatting sqref="C6:C9">
    <cfRule type="cellIs" dxfId="57" priority="3" stopIfTrue="1" operator="equal">
      <formula>"PROB!!"</formula>
    </cfRule>
  </conditionalFormatting>
  <conditionalFormatting sqref="A7">
    <cfRule type="expression" dxfId="56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</sheetPr>
  <dimension ref="A1:W200"/>
  <sheetViews>
    <sheetView workbookViewId="0">
      <selection activeCell="E30" sqref="E30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7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20" customFormat="1" ht="11.25">
      <c r="A1" s="203" t="s">
        <v>17</v>
      </c>
      <c r="B1" s="120" t="s">
        <v>44</v>
      </c>
      <c r="C1" s="120" t="s">
        <v>68</v>
      </c>
      <c r="D1" s="120" t="s">
        <v>69</v>
      </c>
      <c r="E1" s="120" t="s">
        <v>34</v>
      </c>
      <c r="F1" s="120" t="s">
        <v>54</v>
      </c>
      <c r="G1" s="120" t="s">
        <v>65</v>
      </c>
      <c r="H1" s="120" t="s">
        <v>64</v>
      </c>
      <c r="I1" s="120" t="s">
        <v>74</v>
      </c>
      <c r="J1" s="120" t="s">
        <v>75</v>
      </c>
      <c r="K1" s="120" t="s">
        <v>77</v>
      </c>
      <c r="L1" s="120" t="s">
        <v>76</v>
      </c>
      <c r="M1" s="120" t="s">
        <v>48</v>
      </c>
      <c r="N1" s="120" t="s">
        <v>62</v>
      </c>
      <c r="O1" s="120" t="s">
        <v>94</v>
      </c>
      <c r="U1" s="130"/>
      <c r="V1" s="130"/>
      <c r="W1" s="130"/>
    </row>
    <row r="2" spans="1:23" s="52" customFormat="1" ht="12" thickBot="1">
      <c r="A2" s="52" t="s">
        <v>13</v>
      </c>
      <c r="B2" s="52" t="str">
        <f>MID(A2,3,9)</f>
        <v>83162CQY2</v>
      </c>
      <c r="C2" s="52">
        <v>0.05</v>
      </c>
      <c r="D2" s="52">
        <f>IF(ISERROR(VLOOKUP(A2,'Bond Position per Summit'!$C$42:$E$56,3,0)),0,VLOOKUP(A2,'Bond Position per Summit'!$C$42:$E$56,3,0))</f>
        <v>17386942.800000001</v>
      </c>
      <c r="E2" s="52">
        <f>IF(ISERROR(VLOOKUP(A2,'Bond Position per Summit'!$C$65:$E$73,3,0)),0,VLOOKUP(A2,'Bond Position per Summit'!$C$65:$E$73,3,0))</f>
        <v>0</v>
      </c>
      <c r="F2" s="52" t="str">
        <f>_xll.BDP($B2&amp;" Mtge Cusip",F$1)</f>
        <v>SBAP 2007-20D 1</v>
      </c>
      <c r="G2" s="52">
        <f>VLOOKUP(A2,'Bond Position per Summit'!$C$10:$D$32,2,0)</f>
        <v>24000000</v>
      </c>
      <c r="H2" s="52">
        <f>VLOOKUP(A2,'Bond Position per Summit'!$C$10:$E$32,3,0)</f>
        <v>17386942.800000001</v>
      </c>
      <c r="I2" s="52" t="str">
        <f>_xll.BDP($B2&amp;" Mtge Cusip",I$1)</f>
        <v>11/04/2007</v>
      </c>
      <c r="J2" s="52" t="str">
        <f>_xll.BDP($B2&amp;" Mtge Cusip",J$1)</f>
        <v>11/04/2007</v>
      </c>
      <c r="K2" s="52" t="str">
        <f>_xll.BDP($B2&amp;" Mtge Cusip",K$1)</f>
        <v>01/10/2007</v>
      </c>
      <c r="L2" s="52" t="str">
        <f>_xll.BDP($B2&amp;" Mtge Cusip",L$1)</f>
        <v>01/04/2027</v>
      </c>
      <c r="M2" s="52">
        <f>_xll.BDP($B2&amp;" Mtge Cusip",M$1)</f>
        <v>2</v>
      </c>
      <c r="N2" s="52" t="str">
        <f>_xll.BDP($B2&amp;" Mtge Cusip",N$1)</f>
        <v>30/360(104)</v>
      </c>
      <c r="O2" s="52">
        <f>_xll.BDP($B2&amp;" Mtge Cusip",O$1)</f>
        <v>5.3199999999999994</v>
      </c>
      <c r="U2" s="67"/>
      <c r="V2" s="67"/>
      <c r="W2" s="67"/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24000000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0.26334023429900005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170</v>
      </c>
      <c r="I6" s="108" t="s">
        <v>81</v>
      </c>
      <c r="J6" s="118">
        <v>39439</v>
      </c>
      <c r="K6" s="113">
        <f>ROUND(J6/J5,8)</f>
        <v>3.9439000000000002E-2</v>
      </c>
      <c r="L6" s="108" t="s">
        <v>81</v>
      </c>
      <c r="M6" s="112">
        <v>946543</v>
      </c>
      <c r="N6" s="113">
        <f>ROUND(M6/M5,8)</f>
        <v>3.9439290000000002E-2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40917</v>
      </c>
      <c r="K7" s="115">
        <f>ROUND(J7/J5,8)</f>
        <v>4.0917000000000002E-2</v>
      </c>
      <c r="L7" s="109" t="s">
        <v>82</v>
      </c>
      <c r="M7" s="114">
        <v>982010</v>
      </c>
      <c r="N7" s="115">
        <f>ROUND(M7/M5,8)</f>
        <v>4.0917080000000002E-2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5.1861180828658178</v>
      </c>
    </row>
    <row r="12" spans="1:23">
      <c r="A12" s="49">
        <f>_xll.BDS($B2&amp;" Mtge Cusip",A11,"cols=2;rows=19")</f>
        <v>42461</v>
      </c>
      <c r="B12" s="50">
        <v>0.26334023400000001</v>
      </c>
      <c r="C12" s="52"/>
      <c r="D12" s="70" t="str">
        <f ca="1">IF(E12&lt;$A$4,"Actual","Model Num")</f>
        <v>Actual</v>
      </c>
      <c r="E12" s="71">
        <v>39183</v>
      </c>
      <c r="F12" s="74">
        <f>MAX(IF(ISERROR(VLOOKUP(E12,$A$12:$B$52,2,0)),VLOOKUP(E12,$P$11:$S$52,4,0)/1000000,(VLOOKUP(E12,$A$12:$B$52,2,0))),0)</f>
        <v>1</v>
      </c>
      <c r="G12" s="128">
        <f>F12*1000000</f>
        <v>1000000</v>
      </c>
      <c r="H12" s="64"/>
      <c r="I12" s="80">
        <f>E12</f>
        <v>39183</v>
      </c>
      <c r="J12" s="61">
        <v>0</v>
      </c>
      <c r="K12" s="87">
        <v>0</v>
      </c>
      <c r="L12" s="63">
        <v>0</v>
      </c>
      <c r="M12" s="65">
        <f>J5</f>
        <v>1000000</v>
      </c>
      <c r="N12" s="92"/>
      <c r="O12" s="52"/>
      <c r="P12" s="80">
        <f>I12</f>
        <v>39183</v>
      </c>
      <c r="Q12" s="94"/>
      <c r="R12" s="95"/>
      <c r="S12" s="96">
        <f>M12</f>
        <v>1000000</v>
      </c>
      <c r="U12" s="139">
        <f>P12</f>
        <v>39183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42278</v>
      </c>
      <c r="B13" s="50">
        <v>0.30562592300000002</v>
      </c>
      <c r="C13" s="52"/>
      <c r="D13" s="70" t="str">
        <f ca="1">IF(E13&lt;$A$4,"Actual","Model Num")</f>
        <v>Actual</v>
      </c>
      <c r="E13" s="71">
        <v>39356</v>
      </c>
      <c r="F13" s="74">
        <f>MAX(IF(ISERROR(VLOOKUP(E13,$A$12:$B$52,2,0)),VLOOKUP(E13,$P$11:$S$52,4,0)/1000000,(VLOOKUP(E13,$A$12:$B$52,2,0))),0)</f>
        <v>0.97772752299999999</v>
      </c>
      <c r="G13" s="128">
        <f>F13*1000000</f>
        <v>977727.52300000004</v>
      </c>
      <c r="H13" s="64"/>
      <c r="I13" s="80">
        <f>E13</f>
        <v>39356</v>
      </c>
      <c r="J13" s="207">
        <f>$M$12*$N$6</f>
        <v>39439.29</v>
      </c>
      <c r="K13" s="88">
        <f>($F$6/360)*($O$2/100)*M12</f>
        <v>25122.222222222219</v>
      </c>
      <c r="L13" s="90">
        <f>J13-K13</f>
        <v>14317.067777777782</v>
      </c>
      <c r="M13" s="79">
        <f>M12-L13</f>
        <v>985682.93222222221</v>
      </c>
      <c r="N13" s="208">
        <f>L13/M12</f>
        <v>1.4317067777777782E-2</v>
      </c>
      <c r="O13" s="52"/>
      <c r="P13" s="80">
        <f>I13</f>
        <v>39356</v>
      </c>
      <c r="Q13" s="97">
        <f>S12*N13</f>
        <v>14317.067777777782</v>
      </c>
      <c r="R13" s="98">
        <f>S12*$C$2/2</f>
        <v>25000</v>
      </c>
      <c r="S13" s="99">
        <f ca="1">IF(P13&lt;$A$4,(VLOOKUP(P13,$A$11:$B$52,2,0)*$S$12),(S12-(Q13+R13)))</f>
        <v>977727.52300000004</v>
      </c>
      <c r="U13" s="80">
        <f>P13</f>
        <v>39356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42095</v>
      </c>
      <c r="B14" s="50">
        <v>0.347485135</v>
      </c>
      <c r="C14" s="52"/>
      <c r="D14" s="70" t="str">
        <f ca="1">IF(E14&lt;$A$4,"Actual","Model Num")</f>
        <v>Actual</v>
      </c>
      <c r="E14" s="71">
        <f>DATE(YEAR(E13),MONTH(E13)+6,DAY(E13))</f>
        <v>39539</v>
      </c>
      <c r="F14" s="74">
        <f>MAX(IF(ISERROR(VLOOKUP(E14,$A$12:$B$52,2,0)),VLOOKUP(E14,$P$11:$S$52,4,0)/1000000,(VLOOKUP(E14,$A$12:$B$52,2,0))),0)</f>
        <v>0.95046229500000001</v>
      </c>
      <c r="G14" s="128">
        <f>F14*1000000</f>
        <v>950462.29500000004</v>
      </c>
      <c r="H14" s="64"/>
      <c r="I14" s="80">
        <f>E14</f>
        <v>39539</v>
      </c>
      <c r="J14" s="207">
        <f>$M$12*$N$7</f>
        <v>40917.08</v>
      </c>
      <c r="K14" s="88">
        <f>($F$7/360)*($O$2/100)*M13</f>
        <v>26219.165997111111</v>
      </c>
      <c r="L14" s="90">
        <f>J14-K14</f>
        <v>14697.914002888891</v>
      </c>
      <c r="M14" s="79">
        <f>M13-L14</f>
        <v>970985.01821933337</v>
      </c>
      <c r="N14" s="92">
        <f>L14/M13</f>
        <v>1.4911401549535247E-2</v>
      </c>
      <c r="O14" s="52"/>
      <c r="P14" s="80">
        <f>I14</f>
        <v>39539</v>
      </c>
      <c r="Q14" s="97">
        <f ca="1">S13*N14</f>
        <v>14579.287701485458</v>
      </c>
      <c r="R14" s="98">
        <f ca="1">S13*$C$2/2</f>
        <v>24443.188075000002</v>
      </c>
      <c r="S14" s="99">
        <f ca="1">IF(P14&lt;$A$4,(VLOOKUP(P14,$A$11:$B$52,2,0)*$S$12),(S13-(Q14+R14)))</f>
        <v>950462.29500000004</v>
      </c>
      <c r="U14" s="80">
        <f>P14</f>
        <v>39539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41913</v>
      </c>
      <c r="B15" s="50">
        <v>0.38712870399999999</v>
      </c>
      <c r="C15" s="52"/>
      <c r="D15" s="70" t="str">
        <f ca="1">IF(E15&lt;$A$4,"Actual","Model Num")</f>
        <v>Actual</v>
      </c>
      <c r="E15" s="71">
        <f>DATE(YEAR(E14),MONTH(E14)+6,DAY(E14))</f>
        <v>39722</v>
      </c>
      <c r="F15" s="74">
        <f>MAX(IF(ISERROR(VLOOKUP(E15,$A$12:$B$52,2,0)),VLOOKUP(E15,$P$11:$S$52,4,0)/1000000,(VLOOKUP(E15,$A$12:$B$52,2,0))),0)</f>
        <v>0.91370133899999995</v>
      </c>
      <c r="G15" s="128">
        <f>F15*1000000</f>
        <v>913701.33899999992</v>
      </c>
      <c r="H15" s="64"/>
      <c r="I15" s="80">
        <f>E15</f>
        <v>39722</v>
      </c>
      <c r="J15" s="207">
        <f>$M$12*$N$7</f>
        <v>40917.08</v>
      </c>
      <c r="K15" s="88">
        <f>($F$7/360)*($O$2/100)*M14</f>
        <v>25828.201484634268</v>
      </c>
      <c r="L15" s="90">
        <f>J15-K15</f>
        <v>15088.878515365734</v>
      </c>
      <c r="M15" s="79">
        <f>M14-L15</f>
        <v>955896.13970396761</v>
      </c>
      <c r="N15" s="92">
        <f>L15/M14</f>
        <v>1.5539764499185449E-2</v>
      </c>
      <c r="O15" s="52"/>
      <c r="P15" s="80">
        <f>I15</f>
        <v>39722</v>
      </c>
      <c r="Q15" s="97">
        <f ca="1">S14*N15</f>
        <v>14769.960229655328</v>
      </c>
      <c r="R15" s="98">
        <f ca="1">S14*$C$2/2</f>
        <v>23761.557375000004</v>
      </c>
      <c r="S15" s="99">
        <f ca="1">IF(P15&lt;$A$4,(VLOOKUP(P15,$A$11:$B$52,2,0)*$S$12),(S14-(Q15+R15)))</f>
        <v>913701.33899999992</v>
      </c>
      <c r="U15" s="80">
        <f>P15</f>
        <v>39722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41730</v>
      </c>
      <c r="B16" s="50">
        <v>0.420397146</v>
      </c>
      <c r="C16" s="52"/>
      <c r="D16" s="70" t="str">
        <f ca="1">IF(E16&lt;$A$4,"Actual","Model Num")</f>
        <v>Actual</v>
      </c>
      <c r="E16" s="71">
        <f>DATE(YEAR(E15),MONTH(E15)+6,DAY(E15))</f>
        <v>39904</v>
      </c>
      <c r="F16" s="74">
        <f>MAX(IF(ISERROR(VLOOKUP(E16,$A$12:$B$52,2,0)),VLOOKUP(E16,$P$11:$S$52,4,0)/1000000,(VLOOKUP(E16,$A$12:$B$52,2,0))),0)</f>
        <v>0.86969877200000001</v>
      </c>
      <c r="G16" s="128">
        <f>F16*1000000</f>
        <v>869698.772</v>
      </c>
      <c r="H16" s="64"/>
      <c r="I16" s="80">
        <f>E16</f>
        <v>39904</v>
      </c>
      <c r="J16" s="207">
        <f>$M$12*$N$7</f>
        <v>40917.08</v>
      </c>
      <c r="K16" s="88">
        <f>($F$7/360)*($O$2/100)*M15</f>
        <v>25426.837316125537</v>
      </c>
      <c r="L16" s="90">
        <f>J16-K16</f>
        <v>15490.242683874465</v>
      </c>
      <c r="M16" s="79">
        <f>M15-L16</f>
        <v>940405.89702009317</v>
      </c>
      <c r="N16" s="92">
        <f>L16/M15</f>
        <v>1.6204943236481376E-2</v>
      </c>
      <c r="O16" s="52"/>
      <c r="P16" s="80">
        <f>I16</f>
        <v>39904</v>
      </c>
      <c r="Q16" s="97">
        <f ca="1">S15*N16</f>
        <v>14806.478333592026</v>
      </c>
      <c r="R16" s="98">
        <f ca="1">S15*$C$2/2</f>
        <v>22842.533475</v>
      </c>
      <c r="S16" s="99">
        <f ca="1">IF(P16&lt;$A$4,(VLOOKUP(P16,$A$11:$B$52,2,0)*$S$12),(S15-(Q16+R16)))</f>
        <v>869698.772</v>
      </c>
      <c r="U16" s="80">
        <f>P16</f>
        <v>39904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41548</v>
      </c>
      <c r="B17" s="50">
        <v>0.45857687899999999</v>
      </c>
      <c r="C17" s="52"/>
      <c r="D17" s="70" t="str">
        <f ca="1">IF(E17&lt;$A$4,"Actual","Model Num")</f>
        <v>Actual</v>
      </c>
      <c r="E17" s="71">
        <f>DATE(YEAR(E16),MONTH(E16)+6,DAY(E16))</f>
        <v>40087</v>
      </c>
      <c r="F17" s="74">
        <f>MAX(IF(ISERROR(VLOOKUP(E17,$A$12:$B$52,2,0)),VLOOKUP(E17,$P$11:$S$52,4,0)/1000000,(VLOOKUP(E17,$A$12:$B$52,2,0))),0)</f>
        <v>0.81404276200000003</v>
      </c>
      <c r="G17" s="128">
        <f>F17*1000000</f>
        <v>814042.76199999999</v>
      </c>
      <c r="H17" s="64"/>
      <c r="I17" s="80">
        <f>E17</f>
        <v>40087</v>
      </c>
      <c r="J17" s="207">
        <f>$M$12*$N$7</f>
        <v>40917.08</v>
      </c>
      <c r="K17" s="88">
        <f>($F$7/360)*($O$2/100)*M16</f>
        <v>25014.796860734477</v>
      </c>
      <c r="L17" s="90">
        <f>J17-K17</f>
        <v>15902.283139265524</v>
      </c>
      <c r="M17" s="79">
        <f>M16-L17</f>
        <v>924503.61388082767</v>
      </c>
      <c r="N17" s="92">
        <f>L17/M16</f>
        <v>1.6910020651354708E-2</v>
      </c>
      <c r="O17" s="52"/>
      <c r="P17" s="80">
        <f>I17</f>
        <v>40087</v>
      </c>
      <c r="Q17" s="97">
        <f ca="1">S16*N17</f>
        <v>14706.624194977829</v>
      </c>
      <c r="R17" s="98">
        <f ca="1">S16*$C$2/2</f>
        <v>21742.469300000001</v>
      </c>
      <c r="S17" s="99">
        <f ca="1">IF(P17&lt;$A$4,(VLOOKUP(P17,$A$11:$B$52,2,0)*$S$12),(S16-(Q17+R17)))</f>
        <v>814042.76199999999</v>
      </c>
      <c r="U17" s="80">
        <f>P17</f>
        <v>40087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41365</v>
      </c>
      <c r="B18" s="50">
        <v>0.50348568900000001</v>
      </c>
      <c r="C18" s="52"/>
      <c r="D18" s="70" t="str">
        <f ca="1">IF(E18&lt;$A$4,"Actual","Model Num")</f>
        <v>Actual</v>
      </c>
      <c r="E18" s="71">
        <f>DATE(YEAR(E17),MONTH(E17)+6,DAY(E17))</f>
        <v>40269</v>
      </c>
      <c r="F18" s="74">
        <f>MAX(IF(ISERROR(VLOOKUP(E18,$A$12:$B$52,2,0)),VLOOKUP(E18,$P$11:$S$52,4,0)/1000000,(VLOOKUP(E18,$A$12:$B$52,2,0))),0)</f>
        <v>0.77071518800000005</v>
      </c>
      <c r="G18" s="128">
        <f>F18*1000000</f>
        <v>770715.18800000008</v>
      </c>
      <c r="H18" s="64"/>
      <c r="I18" s="80">
        <f>E18</f>
        <v>40269</v>
      </c>
      <c r="J18" s="207">
        <f>$M$12*$N$7</f>
        <v>40917.08</v>
      </c>
      <c r="K18" s="88">
        <f>($F$7/360)*($O$2/100)*M17</f>
        <v>24591.796129230013</v>
      </c>
      <c r="L18" s="90">
        <f>J18-K18</f>
        <v>16325.283870769988</v>
      </c>
      <c r="M18" s="79">
        <f>M17-L18</f>
        <v>908178.33001005766</v>
      </c>
      <c r="N18" s="92">
        <f>L18/M17</f>
        <v>1.7658431644459082E-2</v>
      </c>
      <c r="O18" s="52"/>
      <c r="P18" s="80">
        <f>I18</f>
        <v>40269</v>
      </c>
      <c r="Q18" s="97">
        <f ca="1">S17*N18</f>
        <v>14374.718468443672</v>
      </c>
      <c r="R18" s="98">
        <f ca="1">S17*$C$2/2</f>
        <v>20351.069050000002</v>
      </c>
      <c r="S18" s="99">
        <f ca="1">IF(P18&lt;$A$4,(VLOOKUP(P18,$A$11:$B$52,2,0)*$S$12),(S17-(Q18+R18)))</f>
        <v>770715.18800000008</v>
      </c>
      <c r="U18" s="80">
        <f>P18</f>
        <v>40269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41183</v>
      </c>
      <c r="B19" s="50">
        <v>0.55457909900000002</v>
      </c>
      <c r="C19" s="52"/>
      <c r="D19" s="70" t="str">
        <f ca="1">IF(E19&lt;$A$4,"Actual","Model Num")</f>
        <v>Actual</v>
      </c>
      <c r="E19" s="71">
        <f>DATE(YEAR(E18),MONTH(E18)+6,DAY(E18))</f>
        <v>40452</v>
      </c>
      <c r="F19" s="74">
        <f>MAX(IF(ISERROR(VLOOKUP(E19,$A$12:$B$52,2,0)),VLOOKUP(E19,$P$11:$S$52,4,0)/1000000,(VLOOKUP(E19,$A$12:$B$52,2,0))),0)</f>
        <v>0.72445594599999996</v>
      </c>
      <c r="G19" s="128">
        <f>F19*1000000</f>
        <v>724455.946</v>
      </c>
      <c r="H19" s="64"/>
      <c r="I19" s="80">
        <f>E19</f>
        <v>40452</v>
      </c>
      <c r="J19" s="207">
        <f>$M$12*$N$7</f>
        <v>40917.08</v>
      </c>
      <c r="K19" s="88">
        <f>($F$7/360)*($O$2/100)*M18</f>
        <v>24157.543578267534</v>
      </c>
      <c r="L19" s="90">
        <f>J19-K19</f>
        <v>16759.536421732468</v>
      </c>
      <c r="M19" s="79">
        <f>M18-L19</f>
        <v>891418.79358832515</v>
      </c>
      <c r="N19" s="92">
        <f>L19/M18</f>
        <v>1.8454014886643312E-2</v>
      </c>
      <c r="O19" s="52"/>
      <c r="P19" s="80">
        <f>I19</f>
        <v>40452</v>
      </c>
      <c r="Q19" s="97">
        <f ca="1">S18*N19</f>
        <v>14222.789552714101</v>
      </c>
      <c r="R19" s="98">
        <f ca="1">S18*$C$2/2</f>
        <v>19267.879700000001</v>
      </c>
      <c r="S19" s="99">
        <f ca="1">IF(P19&lt;$A$4,(VLOOKUP(P19,$A$11:$B$52,2,0)*$S$12),(S18-(Q19+R19)))</f>
        <v>724455.946</v>
      </c>
      <c r="U19" s="80">
        <f>P19</f>
        <v>40452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41000</v>
      </c>
      <c r="B20" s="50">
        <v>0.59027671500000001</v>
      </c>
      <c r="C20" s="52"/>
      <c r="D20" s="70" t="str">
        <f ca="1">IF(E20&lt;$A$4,"Actual","Model Num")</f>
        <v>Actual</v>
      </c>
      <c r="E20" s="71">
        <f>DATE(YEAR(E19),MONTH(E19)+6,DAY(E19))</f>
        <v>40634</v>
      </c>
      <c r="F20" s="74">
        <f>MAX(IF(ISERROR(VLOOKUP(E20,$A$12:$B$52,2,0)),VLOOKUP(E20,$P$11:$S$52,4,0)/1000000,(VLOOKUP(E20,$A$12:$B$52,2,0))),0)</f>
        <v>0.67507559399999995</v>
      </c>
      <c r="G20" s="128">
        <f>F20*1000000</f>
        <v>675075.59399999992</v>
      </c>
      <c r="H20" s="64"/>
      <c r="I20" s="80">
        <f>E20</f>
        <v>40634</v>
      </c>
      <c r="J20" s="207">
        <f>$M$12*$N$7</f>
        <v>40917.08</v>
      </c>
      <c r="K20" s="88">
        <f>($F$7/360)*($O$2/100)*M19</f>
        <v>23711.739909449447</v>
      </c>
      <c r="L20" s="90">
        <f>J20-K20</f>
        <v>17205.340090550555</v>
      </c>
      <c r="M20" s="79">
        <f>M19-L20</f>
        <v>874213.45349777455</v>
      </c>
      <c r="N20" s="92">
        <f>L20/M19</f>
        <v>1.9301073989355808E-2</v>
      </c>
      <c r="O20" s="52"/>
      <c r="P20" s="80">
        <f>I20</f>
        <v>40634</v>
      </c>
      <c r="Q20" s="97">
        <f ca="1">S19*N20</f>
        <v>13982.777815774756</v>
      </c>
      <c r="R20" s="98">
        <f ca="1">S19*$C$2/2</f>
        <v>18111.398649999999</v>
      </c>
      <c r="S20" s="99">
        <f ca="1">IF(P20&lt;$A$4,(VLOOKUP(P20,$A$11:$B$52,2,0)*$S$12),(S19-(Q20+R20)))</f>
        <v>675075.59399999992</v>
      </c>
      <c r="U20" s="80">
        <f>P20</f>
        <v>40634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40817</v>
      </c>
      <c r="B21" s="50">
        <v>0.64600032699999999</v>
      </c>
      <c r="C21" s="52"/>
      <c r="D21" s="70" t="str">
        <f ca="1">IF(E21&lt;$A$4,"Actual","Model Num")</f>
        <v>Actual</v>
      </c>
      <c r="E21" s="71">
        <f>DATE(YEAR(E20),MONTH(E20)+6,DAY(E20))</f>
        <v>40817</v>
      </c>
      <c r="F21" s="74">
        <f>MAX(IF(ISERROR(VLOOKUP(E21,$A$12:$B$52,2,0)),VLOOKUP(E21,$P$11:$S$52,4,0)/1000000,(VLOOKUP(E21,$A$12:$B$52,2,0))),0)</f>
        <v>0.64600032699999999</v>
      </c>
      <c r="G21" s="128">
        <f>F21*1000000</f>
        <v>646000.32699999993</v>
      </c>
      <c r="H21" s="64"/>
      <c r="I21" s="80">
        <f>E21</f>
        <v>40817</v>
      </c>
      <c r="J21" s="207">
        <f>$M$12*$N$7</f>
        <v>40917.08</v>
      </c>
      <c r="K21" s="88">
        <f>($F$7/360)*($O$2/100)*M20</f>
        <v>23254.077863040802</v>
      </c>
      <c r="L21" s="90">
        <f>J21-K21</f>
        <v>17663.0021369592</v>
      </c>
      <c r="M21" s="79">
        <f>M20-L21</f>
        <v>856550.45136081532</v>
      </c>
      <c r="N21" s="92">
        <f>L21/M20</f>
        <v>2.0204450144628395E-2</v>
      </c>
      <c r="O21" s="52"/>
      <c r="P21" s="80">
        <f>I21</f>
        <v>40817</v>
      </c>
      <c r="Q21" s="97">
        <f ca="1">S20*N21</f>
        <v>13639.531182828398</v>
      </c>
      <c r="R21" s="98">
        <f ca="1">S20*$C$2/2</f>
        <v>16876.88985</v>
      </c>
      <c r="S21" s="99">
        <f ca="1">IF(P21&lt;$A$4,(VLOOKUP(P21,$A$11:$B$52,2,0)*$S$12),(S20-(Q21+R21)))</f>
        <v>646000.32699999993</v>
      </c>
      <c r="U21" s="80">
        <f>P21</f>
        <v>40817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40634</v>
      </c>
      <c r="B22" s="50">
        <v>0.67507559399999995</v>
      </c>
      <c r="C22" s="52"/>
      <c r="D22" s="70" t="str">
        <f ca="1">IF(E22&lt;$A$4,"Actual","Model Num")</f>
        <v>Actual</v>
      </c>
      <c r="E22" s="71">
        <f>DATE(YEAR(E21),MONTH(E21)+6,DAY(E21))</f>
        <v>41000</v>
      </c>
      <c r="F22" s="74">
        <f>MAX(IF(ISERROR(VLOOKUP(E22,$A$12:$B$52,2,0)),VLOOKUP(E22,$P$11:$S$52,4,0)/1000000,(VLOOKUP(E22,$A$12:$B$52,2,0))),0)</f>
        <v>0.59027671500000001</v>
      </c>
      <c r="G22" s="128">
        <f>F22*1000000</f>
        <v>590276.71499999997</v>
      </c>
      <c r="H22" s="64"/>
      <c r="I22" s="80">
        <f>E22</f>
        <v>41000</v>
      </c>
      <c r="J22" s="207">
        <f>$M$12*$N$7</f>
        <v>40917.08</v>
      </c>
      <c r="K22" s="88">
        <f>($F$7/360)*($O$2/100)*M21</f>
        <v>22784.242006197688</v>
      </c>
      <c r="L22" s="90">
        <f>J22-K22</f>
        <v>18132.837993802314</v>
      </c>
      <c r="M22" s="79">
        <f>M21-L22</f>
        <v>838417.61336701305</v>
      </c>
      <c r="N22" s="92">
        <f>L22/M21</f>
        <v>2.1169608824552464E-2</v>
      </c>
      <c r="O22" s="52"/>
      <c r="P22" s="80">
        <f>I22</f>
        <v>41000</v>
      </c>
      <c r="Q22" s="97">
        <f ca="1">S21*N22</f>
        <v>13675.574223122976</v>
      </c>
      <c r="R22" s="98">
        <f ca="1">S21*$C$2/2</f>
        <v>16150.008174999999</v>
      </c>
      <c r="S22" s="99">
        <f ca="1">IF(P22&lt;$A$4,(VLOOKUP(P22,$A$11:$B$52,2,0)*$S$12),(S21-(Q22+R22)))</f>
        <v>590276.71499999997</v>
      </c>
      <c r="U22" s="80">
        <f>P22</f>
        <v>41000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40452</v>
      </c>
      <c r="B23" s="50">
        <v>0.72445594599999996</v>
      </c>
      <c r="C23" s="52"/>
      <c r="D23" s="70" t="str">
        <f ca="1">IF(E23&lt;$A$4,"Actual","Model Num")</f>
        <v>Actual</v>
      </c>
      <c r="E23" s="71">
        <f>DATE(YEAR(E22),MONTH(E22)+6,DAY(E22))</f>
        <v>41183</v>
      </c>
      <c r="F23" s="74">
        <f>MAX(IF(ISERROR(VLOOKUP(E23,$A$12:$B$52,2,0)),VLOOKUP(E23,$P$11:$S$52,4,0)/1000000,(VLOOKUP(E23,$A$12:$B$52,2,0))),0)</f>
        <v>0.55457909900000002</v>
      </c>
      <c r="G23" s="128">
        <f>F23*1000000</f>
        <v>554579.09900000005</v>
      </c>
      <c r="H23" s="64"/>
      <c r="I23" s="80">
        <f>E23</f>
        <v>41183</v>
      </c>
      <c r="J23" s="207">
        <f>$M$12*$N$7</f>
        <v>40917.08</v>
      </c>
      <c r="K23" s="88">
        <f>($F$7/360)*($O$2/100)*M22</f>
        <v>22301.908515562547</v>
      </c>
      <c r="L23" s="90">
        <f>J23-K23</f>
        <v>18615.171484437455</v>
      </c>
      <c r="M23" s="79">
        <f>M22-L23</f>
        <v>819802.44188257563</v>
      </c>
      <c r="N23" s="92">
        <f>L23/M22</f>
        <v>2.2202743820803724E-2</v>
      </c>
      <c r="O23" s="52"/>
      <c r="P23" s="80">
        <f>I23</f>
        <v>41183</v>
      </c>
      <c r="Q23" s="97">
        <f ca="1">S22*N23</f>
        <v>13105.76268653057</v>
      </c>
      <c r="R23" s="98">
        <f ca="1">S22*$C$2/2</f>
        <v>14756.917874999999</v>
      </c>
      <c r="S23" s="99">
        <f ca="1">IF(P23&lt;$A$4,(VLOOKUP(P23,$A$11:$B$52,2,0)*$S$12),(S22-(Q23+R23)))</f>
        <v>554579.09900000005</v>
      </c>
      <c r="U23" s="80">
        <f>P23</f>
        <v>41183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40269</v>
      </c>
      <c r="B24" s="50">
        <v>0.77071518800000005</v>
      </c>
      <c r="C24" s="52"/>
      <c r="D24" s="70" t="str">
        <f ca="1">IF(E24&lt;$A$4,"Actual","Model Num")</f>
        <v>Actual</v>
      </c>
      <c r="E24" s="71">
        <f>DATE(YEAR(E23),MONTH(E23)+6,DAY(E23))</f>
        <v>41365</v>
      </c>
      <c r="F24" s="74">
        <f>MAX(IF(ISERROR(VLOOKUP(E24,$A$12:$B$52,2,0)),VLOOKUP(E24,$P$11:$S$52,4,0)/1000000,(VLOOKUP(E24,$A$12:$B$52,2,0))),0)</f>
        <v>0.50348568900000001</v>
      </c>
      <c r="G24" s="128">
        <f>F24*1000000</f>
        <v>503485.68900000001</v>
      </c>
      <c r="H24" s="64"/>
      <c r="I24" s="80">
        <f>E24</f>
        <v>41365</v>
      </c>
      <c r="J24" s="207">
        <f>$M$12*$N$7</f>
        <v>40917.08</v>
      </c>
      <c r="K24" s="88">
        <f>($F$7/360)*($O$2/100)*M23</f>
        <v>21806.744954076512</v>
      </c>
      <c r="L24" s="90">
        <f>J24-K24</f>
        <v>19110.33504592349</v>
      </c>
      <c r="M24" s="79">
        <f>M23-L24</f>
        <v>800692.10683665215</v>
      </c>
      <c r="N24" s="92">
        <f>L24/M23</f>
        <v>2.3310902809753717E-2</v>
      </c>
      <c r="O24" s="52"/>
      <c r="P24" s="80">
        <f>I24</f>
        <v>41365</v>
      </c>
      <c r="Q24" s="97">
        <f ca="1">S23*N24</f>
        <v>12927.739477109786</v>
      </c>
      <c r="R24" s="98">
        <f ca="1">S23*$C$2/2</f>
        <v>13864.477475000002</v>
      </c>
      <c r="S24" s="99">
        <f ca="1">IF(P24&lt;$A$4,(VLOOKUP(P24,$A$11:$B$52,2,0)*$S$12),(S23-(Q24+R24)))</f>
        <v>503485.68900000001</v>
      </c>
      <c r="U24" s="80">
        <f>P24</f>
        <v>41365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40087</v>
      </c>
      <c r="B25" s="50">
        <v>0.81404276200000003</v>
      </c>
      <c r="C25" s="52"/>
      <c r="D25" s="70" t="str">
        <f ca="1">IF(E25&lt;$A$4,"Actual","Model Num")</f>
        <v>Actual</v>
      </c>
      <c r="E25" s="71">
        <f>DATE(YEAR(E24),MONTH(E24)+6,DAY(E24))</f>
        <v>41548</v>
      </c>
      <c r="F25" s="74">
        <f>MAX(IF(ISERROR(VLOOKUP(E25,$A$12:$B$52,2,0)),VLOOKUP(E25,$P$11:$S$52,4,0)/1000000,(VLOOKUP(E25,$A$12:$B$52,2,0))),0)</f>
        <v>0.45857687899999999</v>
      </c>
      <c r="G25" s="128">
        <f>F25*1000000</f>
        <v>458576.87900000002</v>
      </c>
      <c r="H25" s="64"/>
      <c r="I25" s="80">
        <f>E25</f>
        <v>41548</v>
      </c>
      <c r="J25" s="207">
        <f>$M$12*$N$7</f>
        <v>40917.08</v>
      </c>
      <c r="K25" s="88">
        <f>($F$7/360)*($O$2/100)*M24</f>
        <v>21298.410041854946</v>
      </c>
      <c r="L25" s="90">
        <f>J25-K25</f>
        <v>19618.669958145056</v>
      </c>
      <c r="M25" s="79">
        <f>M24-L25</f>
        <v>781073.43687850714</v>
      </c>
      <c r="N25" s="92">
        <f>L25/M24</f>
        <v>2.4502139824574824E-2</v>
      </c>
      <c r="O25" s="52"/>
      <c r="P25" s="80">
        <f>I25</f>
        <v>41548</v>
      </c>
      <c r="Q25" s="97">
        <f ca="1">S24*N25</f>
        <v>12336.476751550395</v>
      </c>
      <c r="R25" s="98">
        <f ca="1">S24*$C$2/2</f>
        <v>12587.142225000001</v>
      </c>
      <c r="S25" s="99">
        <f ca="1">IF(P25&lt;$A$4,(VLOOKUP(P25,$A$11:$B$52,2,0)*$S$12),(S24-(Q25+R25)))</f>
        <v>458576.87900000002</v>
      </c>
      <c r="U25" s="80">
        <f>P25</f>
        <v>41548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39904</v>
      </c>
      <c r="B26" s="50">
        <v>0.86969877200000001</v>
      </c>
      <c r="C26" s="52"/>
      <c r="D26" s="70" t="str">
        <f ca="1">IF(E26&lt;$A$4,"Actual","Model Num")</f>
        <v>Actual</v>
      </c>
      <c r="E26" s="71">
        <f>DATE(YEAR(E25),MONTH(E25)+6,DAY(E25))</f>
        <v>41730</v>
      </c>
      <c r="F26" s="74">
        <f>MAX(IF(ISERROR(VLOOKUP(E26,$A$12:$B$52,2,0)),VLOOKUP(E26,$P$11:$S$52,4,0)/1000000,(VLOOKUP(E26,$A$12:$B$52,2,0))),0)</f>
        <v>0.420397146</v>
      </c>
      <c r="G26" s="128">
        <f>F26*1000000</f>
        <v>420397.14600000001</v>
      </c>
      <c r="H26" s="64"/>
      <c r="I26" s="80">
        <f>E26</f>
        <v>41730</v>
      </c>
      <c r="J26" s="207">
        <f>$M$12*$N$7</f>
        <v>40917.08</v>
      </c>
      <c r="K26" s="88">
        <f>($F$7/360)*($O$2/100)*M25</f>
        <v>20776.553420968288</v>
      </c>
      <c r="L26" s="90">
        <f>J26-K26</f>
        <v>20140.526579031713</v>
      </c>
      <c r="M26" s="79">
        <f>M25-L26</f>
        <v>760932.91029947542</v>
      </c>
      <c r="N26" s="92">
        <f>L26/M25</f>
        <v>2.5785701610237313E-2</v>
      </c>
      <c r="O26" s="52"/>
      <c r="P26" s="80">
        <f>I26</f>
        <v>41730</v>
      </c>
      <c r="Q26" s="97">
        <f ca="1">S25*N26</f>
        <v>11824.726567247902</v>
      </c>
      <c r="R26" s="98">
        <f ca="1">S25*$C$2/2</f>
        <v>11464.421975000001</v>
      </c>
      <c r="S26" s="99">
        <f ca="1">IF(P26&lt;$A$4,(VLOOKUP(P26,$A$11:$B$52,2,0)*$S$12),(S25-(Q26+R26)))</f>
        <v>420397.14600000001</v>
      </c>
      <c r="U26" s="80">
        <f>P26</f>
        <v>41730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39722</v>
      </c>
      <c r="B27" s="50">
        <v>0.91370133899999995</v>
      </c>
      <c r="C27" s="52"/>
      <c r="D27" s="70" t="str">
        <f ca="1">IF(E27&lt;$A$4,"Actual","Model Num")</f>
        <v>Actual</v>
      </c>
      <c r="E27" s="71">
        <f>DATE(YEAR(E26),MONTH(E26)+6,DAY(E26))</f>
        <v>41913</v>
      </c>
      <c r="F27" s="74">
        <f>MAX(IF(ISERROR(VLOOKUP(E27,$A$12:$B$52,2,0)),VLOOKUP(E27,$P$11:$S$52,4,0)/1000000,(VLOOKUP(E27,$A$12:$B$52,2,0))),0)</f>
        <v>0.38712870399999999</v>
      </c>
      <c r="G27" s="128">
        <f>F27*1000000</f>
        <v>387128.70399999997</v>
      </c>
      <c r="H27" s="64"/>
      <c r="I27" s="80">
        <f>E27</f>
        <v>41913</v>
      </c>
      <c r="J27" s="207">
        <f>$M$12*$N$7</f>
        <v>40917.08</v>
      </c>
      <c r="K27" s="88">
        <f>($F$7/360)*($O$2/100)*M26</f>
        <v>20240.815413966044</v>
      </c>
      <c r="L27" s="90">
        <f>J27-K27</f>
        <v>20676.264586033958</v>
      </c>
      <c r="M27" s="79">
        <f>M26-L27</f>
        <v>740256.64571344142</v>
      </c>
      <c r="N27" s="92">
        <f>L27/M26</f>
        <v>2.7172256983728743E-2</v>
      </c>
      <c r="O27" s="52"/>
      <c r="P27" s="80">
        <f>I27</f>
        <v>41913</v>
      </c>
      <c r="Q27" s="97">
        <f ca="1">S26*N27</f>
        <v>11423.139286338132</v>
      </c>
      <c r="R27" s="98">
        <f ca="1">S26*$C$2/2</f>
        <v>10509.928650000002</v>
      </c>
      <c r="S27" s="99">
        <f ca="1">IF(P27&lt;$A$4,(VLOOKUP(P27,$A$11:$B$52,2,0)*$S$12),(S26-(Q27+R27)))</f>
        <v>387128.70399999997</v>
      </c>
      <c r="U27" s="80">
        <f>P27</f>
        <v>41913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39539</v>
      </c>
      <c r="B28" s="50">
        <v>0.95046229500000001</v>
      </c>
      <c r="C28" s="52"/>
      <c r="D28" s="70" t="str">
        <f ca="1">IF(E28&lt;$A$4,"Actual","Model Num")</f>
        <v>Actual</v>
      </c>
      <c r="E28" s="71">
        <f>DATE(YEAR(E27),MONTH(E27)+6,DAY(E27))</f>
        <v>42095</v>
      </c>
      <c r="F28" s="74">
        <f>MAX(IF(ISERROR(VLOOKUP(E28,$A$12:$B$52,2,0)),VLOOKUP(E28,$P$11:$S$52,4,0)/1000000,(VLOOKUP(E28,$A$12:$B$52,2,0))),0)</f>
        <v>0.347485135</v>
      </c>
      <c r="G28" s="128">
        <f>F28*1000000</f>
        <v>347485.13500000001</v>
      </c>
      <c r="H28" s="64"/>
      <c r="I28" s="80">
        <f>E28</f>
        <v>42095</v>
      </c>
      <c r="J28" s="207">
        <f>$M$12*$N$7</f>
        <v>40917.08</v>
      </c>
      <c r="K28" s="88">
        <f>($F$7/360)*($O$2/100)*M27</f>
        <v>19690.826775977541</v>
      </c>
      <c r="L28" s="90">
        <f>J28-K28</f>
        <v>21226.253224022461</v>
      </c>
      <c r="M28" s="79">
        <f>M27-L28</f>
        <v>719030.39248941897</v>
      </c>
      <c r="N28" s="92">
        <f>L28/M27</f>
        <v>2.8674181240973678E-2</v>
      </c>
      <c r="O28" s="52"/>
      <c r="P28" s="80">
        <f>I28</f>
        <v>42095</v>
      </c>
      <c r="Q28" s="97">
        <f ca="1">S27*N28</f>
        <v>11100.598622079251</v>
      </c>
      <c r="R28" s="98">
        <f ca="1">S27*$C$2/2</f>
        <v>9678.2175999999999</v>
      </c>
      <c r="S28" s="99">
        <f ca="1">IF(P28&lt;$A$4,(VLOOKUP(P28,$A$11:$B$52,2,0)*$S$12),(S27-(Q28+R28)))</f>
        <v>347485.13500000001</v>
      </c>
      <c r="U28" s="80">
        <f>P28</f>
        <v>42095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39356</v>
      </c>
      <c r="B29" s="50">
        <v>0.97772752299999999</v>
      </c>
      <c r="C29" s="52"/>
      <c r="D29" s="70" t="str">
        <f ca="1">IF(E29&lt;$A$4,"Actual","Model Num")</f>
        <v>Actual</v>
      </c>
      <c r="E29" s="71">
        <f>DATE(YEAR(E28),MONTH(E28)+6,DAY(E28))</f>
        <v>42278</v>
      </c>
      <c r="F29" s="74">
        <f>MAX(IF(ISERROR(VLOOKUP(E29,$A$12:$B$52,2,0)),VLOOKUP(E29,$P$11:$S$52,4,0)/1000000,(VLOOKUP(E29,$A$12:$B$52,2,0))),0)</f>
        <v>0.30562592300000002</v>
      </c>
      <c r="G29" s="128">
        <f>F29*1000000</f>
        <v>305625.92300000001</v>
      </c>
      <c r="H29" s="64"/>
      <c r="I29" s="80">
        <f>E29</f>
        <v>42278</v>
      </c>
      <c r="J29" s="207">
        <f>$M$12*$N$7</f>
        <v>40917.08</v>
      </c>
      <c r="K29" s="88">
        <f>($F$7/360)*($O$2/100)*M28</f>
        <v>19126.208440218543</v>
      </c>
      <c r="L29" s="90">
        <f>J29-K29</f>
        <v>21790.871559781459</v>
      </c>
      <c r="M29" s="79">
        <f>M28-L29</f>
        <v>697239.52092963748</v>
      </c>
      <c r="N29" s="92">
        <f>L29/M28</f>
        <v>3.0305911665760535E-2</v>
      </c>
      <c r="O29" s="52"/>
      <c r="P29" s="80">
        <f>I29</f>
        <v>42278</v>
      </c>
      <c r="Q29" s="97">
        <f ca="1">S28*N29</f>
        <v>10530.853806474875</v>
      </c>
      <c r="R29" s="98">
        <f ca="1">S28*$C$2/2</f>
        <v>8687.1283750000002</v>
      </c>
      <c r="S29" s="99">
        <f ca="1">IF(P29&lt;$A$4,(VLOOKUP(P29,$A$11:$B$52,2,0)*$S$12),(S28-(Q29+R29)))</f>
        <v>305625.92300000001</v>
      </c>
      <c r="U29" s="80">
        <f>P29</f>
        <v>42278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39183</v>
      </c>
      <c r="B30" s="50">
        <v>1</v>
      </c>
      <c r="C30" s="52"/>
      <c r="D30" s="70" t="str">
        <f ca="1">IF(E30&lt;$A$4,"Actual","Model Num")</f>
        <v>Actual</v>
      </c>
      <c r="E30" s="71">
        <f>DATE(YEAR(E29),MONTH(E29)+6,DAY(E29))</f>
        <v>42461</v>
      </c>
      <c r="F30" s="74">
        <f>MAX(IF(ISERROR(VLOOKUP(E30,$A$12:$B$52,2,0)),VLOOKUP(E30,$P$11:$S$52,4,0)/1000000,(VLOOKUP(E30,$A$12:$B$52,2,0))),0)</f>
        <v>0.26334023400000001</v>
      </c>
      <c r="G30" s="128">
        <f>F30*1000000</f>
        <v>263340.234</v>
      </c>
      <c r="H30" s="64"/>
      <c r="I30" s="80">
        <f>E30</f>
        <v>42461</v>
      </c>
      <c r="J30" s="207">
        <f>$M$12*$N$7</f>
        <v>40917.08</v>
      </c>
      <c r="K30" s="88">
        <f>($F$7/360)*($O$2/100)*M29</f>
        <v>18546.571256728355</v>
      </c>
      <c r="L30" s="90">
        <f>J30-K30</f>
        <v>22370.508743271646</v>
      </c>
      <c r="M30" s="79">
        <f>M29-L30</f>
        <v>674869.01218636578</v>
      </c>
      <c r="N30" s="92">
        <f>L30/M29</f>
        <v>3.2084395780441116E-2</v>
      </c>
      <c r="O30" s="52"/>
      <c r="P30" s="80">
        <f>I30</f>
        <v>42461</v>
      </c>
      <c r="Q30" s="97">
        <f ca="1">S29*N30</f>
        <v>9805.8230742946216</v>
      </c>
      <c r="R30" s="98">
        <f ca="1">S29*$C$2/2</f>
        <v>7640.648075000001</v>
      </c>
      <c r="S30" s="99">
        <f ca="1">IF(P30&lt;$A$4,(VLOOKUP(P30,$A$11:$B$52,2,0)*$S$12),(S29-(Q30+R30)))</f>
        <v>263340.234</v>
      </c>
      <c r="U30" s="80">
        <f>P30</f>
        <v>42461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/>
      <c r="B31" s="50"/>
      <c r="C31" s="52"/>
      <c r="D31" s="70" t="str">
        <f ca="1">IF(E31&lt;$A$4,"Actual","Model Num")</f>
        <v>Model Num</v>
      </c>
      <c r="E31" s="71">
        <f>DATE(YEAR(E30),MONTH(E30)+6,DAY(E30))</f>
        <v>42644</v>
      </c>
      <c r="F31" s="74">
        <f ca="1">MAX(IF(ISERROR(VLOOKUP(E31,$A$12:$B$52,2,0)),VLOOKUP(E31,$P$11:$S$52,4,0)/1000000,(VLOOKUP(E31,$A$12:$B$52,2,0))),0)</f>
        <v>0.24779534903622263</v>
      </c>
      <c r="G31" s="128">
        <f ca="1">F31*1000000</f>
        <v>247795.34903622264</v>
      </c>
      <c r="H31" s="64"/>
      <c r="I31" s="80">
        <f>E31</f>
        <v>42644</v>
      </c>
      <c r="J31" s="207">
        <f>$M$12*$N$7</f>
        <v>40917.08</v>
      </c>
      <c r="K31" s="88">
        <f>($F$7/360)*($O$2/100)*M30</f>
        <v>17951.515724157329</v>
      </c>
      <c r="L31" s="90">
        <f>J31-K31</f>
        <v>22965.564275842673</v>
      </c>
      <c r="M31" s="79">
        <f>M30-L31</f>
        <v>651903.44791052316</v>
      </c>
      <c r="N31" s="92">
        <f>L31/M30</f>
        <v>3.4029661847180363E-2</v>
      </c>
      <c r="O31" s="52"/>
      <c r="P31" s="80">
        <f>I31</f>
        <v>42644</v>
      </c>
      <c r="Q31" s="97">
        <f ca="1">S30*N31</f>
        <v>8961.3791137773496</v>
      </c>
      <c r="R31" s="98">
        <f ca="1">S30*$C$2/2</f>
        <v>6583.5058500000005</v>
      </c>
      <c r="S31" s="99">
        <f ca="1">IF(P31&lt;$A$4,(VLOOKUP(P31,$A$11:$B$52,2,0)*$S$12),(S30-(Q31+R31)))</f>
        <v>247795.34903622264</v>
      </c>
      <c r="U31" s="80">
        <f>P31</f>
        <v>42644</v>
      </c>
      <c r="V31" s="97">
        <f ca="1">IF(U31&lt;$A$4,0,(YEARFRAC($A$4,U31,1)))</f>
        <v>0.48087431693989069</v>
      </c>
      <c r="W31" s="141">
        <f ca="1">V31*(S30-S31)</f>
        <v>7475.1359388656119</v>
      </c>
    </row>
    <row r="32" spans="1:23">
      <c r="A32" s="49"/>
      <c r="B32" s="50"/>
      <c r="C32" s="52"/>
      <c r="D32" s="70" t="str">
        <f ca="1">IF(E32&lt;$A$4,"Actual","Model Num")</f>
        <v>Model Num</v>
      </c>
      <c r="E32" s="71">
        <f>DATE(YEAR(E31),MONTH(E31)+6,DAY(E31))</f>
        <v>42826</v>
      </c>
      <c r="F32" s="74">
        <f ca="1">MAX(IF(ISERROR(VLOOKUP(E32,$A$12:$B$52,2,0)),VLOOKUP(E32,$P$11:$S$52,4,0)/1000000,(VLOOKUP(E32,$A$12:$B$52,2,0))),0)</f>
        <v>0.23263880963770953</v>
      </c>
      <c r="G32" s="128">
        <f ca="1">F32*1000000</f>
        <v>232638.80963770952</v>
      </c>
      <c r="H32" s="64"/>
      <c r="I32" s="80">
        <f>E32</f>
        <v>42826</v>
      </c>
      <c r="J32" s="207">
        <f>$M$12*$N$7</f>
        <v>40917.08</v>
      </c>
      <c r="K32" s="88">
        <f>($F$7/360)*($O$2/100)*M31</f>
        <v>17340.631714419917</v>
      </c>
      <c r="L32" s="90">
        <f>J32-K32</f>
        <v>23576.448285580085</v>
      </c>
      <c r="M32" s="79">
        <f>M31-L32</f>
        <v>628326.99962494313</v>
      </c>
      <c r="N32" s="92">
        <f>L32/M31</f>
        <v>3.6165552369982347E-2</v>
      </c>
      <c r="O32" s="52"/>
      <c r="P32" s="80">
        <f>I32</f>
        <v>42826</v>
      </c>
      <c r="Q32" s="97">
        <f ca="1">S31*N32</f>
        <v>8961.6556726075651</v>
      </c>
      <c r="R32" s="98">
        <f ca="1">S31*$C$2/2</f>
        <v>6194.8837259055663</v>
      </c>
      <c r="S32" s="99">
        <f ca="1">IF(P32&lt;$A$4,(VLOOKUP(P32,$A$11:$B$52,2,0)*$S$12),(S31-(Q32+R32)))</f>
        <v>232638.80963770952</v>
      </c>
      <c r="U32" s="80">
        <f>P32</f>
        <v>42826</v>
      </c>
      <c r="V32" s="97">
        <f ca="1">IF(U32&lt;$A$4,0,(YEARFRAC($A$4,U32,1)))</f>
        <v>0.98082191780821915</v>
      </c>
      <c r="W32" s="141">
        <f ca="1">V32*(S31-S32)</f>
        <v>14865.866040185474</v>
      </c>
    </row>
    <row r="33" spans="1:23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43009</v>
      </c>
      <c r="F33" s="74">
        <f ca="1">MAX(IF(ISERROR(VLOOKUP(E33,$A$12:$B$52,2,0)),VLOOKUP(E33,$P$11:$S$52,4,0)/1000000,(VLOOKUP(E33,$A$12:$B$52,2,0))),0)</f>
        <v>0.21786143480233922</v>
      </c>
      <c r="G33" s="128">
        <f ca="1">F33*1000000</f>
        <v>217861.43480233921</v>
      </c>
      <c r="H33" s="64"/>
      <c r="I33" s="80">
        <f>E33</f>
        <v>43009</v>
      </c>
      <c r="J33" s="207">
        <f>$M$12*$N$7</f>
        <v>40917.08</v>
      </c>
      <c r="K33" s="88">
        <f>($F$7/360)*($O$2/100)*M32</f>
        <v>16713.498190023485</v>
      </c>
      <c r="L33" s="90">
        <f>J33-K33</f>
        <v>24203.581809976517</v>
      </c>
      <c r="M33" s="79">
        <f>M32-L33</f>
        <v>604123.41781496664</v>
      </c>
      <c r="N33" s="92">
        <f>L33/M32</f>
        <v>3.8520677647823444E-2</v>
      </c>
      <c r="O33" s="52"/>
      <c r="P33" s="80">
        <f>I33</f>
        <v>43009</v>
      </c>
      <c r="Q33" s="97">
        <f ca="1">S32*N33</f>
        <v>8961.4045944275695</v>
      </c>
      <c r="R33" s="98">
        <f ca="1">S32*$C$2/2</f>
        <v>5815.9702409427382</v>
      </c>
      <c r="S33" s="99">
        <f ca="1">IF(P33&lt;$A$4,(VLOOKUP(P33,$A$11:$B$52,2,0)*$S$12),(S32-(Q33+R33)))</f>
        <v>217861.43480233921</v>
      </c>
      <c r="U33" s="80">
        <f>P33</f>
        <v>43009</v>
      </c>
      <c r="V33" s="97">
        <f ca="1">IF(U33&lt;$A$4,0,(YEARFRAC($A$4,U33,1)))</f>
        <v>1.4801641586867305</v>
      </c>
      <c r="W33" s="141">
        <f ca="1">V33*(S32-S33)</f>
        <v>21872.940590794362</v>
      </c>
    </row>
    <row r="34" spans="1:23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43191</v>
      </c>
      <c r="F34" s="74">
        <f ca="1">MAX(IF(ISERROR(VLOOKUP(E34,$A$12:$B$52,2,0)),VLOOKUP(E34,$P$11:$S$52,4,0)/1000000,(VLOOKUP(E34,$A$12:$B$52,2,0))),0)</f>
        <v>0.2034543299150009</v>
      </c>
      <c r="G34" s="128">
        <f ca="1">F34*1000000</f>
        <v>203454.32991500091</v>
      </c>
      <c r="H34" s="64"/>
      <c r="I34" s="80">
        <f>E34</f>
        <v>43191</v>
      </c>
      <c r="J34" s="207">
        <f>$M$12*$N$7</f>
        <v>40917.08</v>
      </c>
      <c r="K34" s="88">
        <f>($F$7/360)*($O$2/100)*M33</f>
        <v>16069.682913878112</v>
      </c>
      <c r="L34" s="90">
        <f>J34-K34</f>
        <v>24847.397086121891</v>
      </c>
      <c r="M34" s="79">
        <f>M33-L34</f>
        <v>579276.0207288448</v>
      </c>
      <c r="N34" s="92">
        <f>L34/M33</f>
        <v>4.1129670450438083E-2</v>
      </c>
      <c r="O34" s="52"/>
      <c r="P34" s="80">
        <f>I34</f>
        <v>43191</v>
      </c>
      <c r="Q34" s="97">
        <f ca="1">S33*N34</f>
        <v>8960.5690172798131</v>
      </c>
      <c r="R34" s="98">
        <f ca="1">S33*$C$2/2</f>
        <v>5446.5358700584802</v>
      </c>
      <c r="S34" s="99">
        <f ca="1">IF(P34&lt;$A$4,(VLOOKUP(P34,$A$11:$B$52,2,0)*$S$12),(S33-(Q34+R34)))</f>
        <v>203454.32991500091</v>
      </c>
      <c r="U34" s="80">
        <f>P34</f>
        <v>43191</v>
      </c>
      <c r="V34" s="97">
        <f ca="1">IF(U34&lt;$A$4,0,(YEARFRAC($A$4,U34,1)))</f>
        <v>1.9790145985401462</v>
      </c>
      <c r="W34" s="141">
        <f ca="1">V34*(S33-S34)</f>
        <v>28511.870894741576</v>
      </c>
    </row>
    <row r="35" spans="1:23">
      <c r="A35" s="49"/>
      <c r="B35" s="50"/>
      <c r="D35" s="70" t="str">
        <f ca="1">IF(E35&lt;$A$4,"Actual","Model Num")</f>
        <v>Model Num</v>
      </c>
      <c r="E35" s="71">
        <f>DATE(YEAR(E34),MONTH(E34)+6,DAY(E34))</f>
        <v>43374</v>
      </c>
      <c r="F35" s="74">
        <f ca="1">MAX(IF(ISERROR(VLOOKUP(E35,$A$12:$B$52,2,0)),VLOOKUP(E35,$P$11:$S$52,4,0)/1000000,(VLOOKUP(E35,$A$12:$B$52,2,0))),0)</f>
        <v>0.18940888895262792</v>
      </c>
      <c r="G35" s="128">
        <f ca="1">F35*1000000</f>
        <v>189408.88895262792</v>
      </c>
      <c r="I35" s="80">
        <f>E35</f>
        <v>43374</v>
      </c>
      <c r="J35" s="207">
        <f>$M$12*$N$7</f>
        <v>40917.08</v>
      </c>
      <c r="K35" s="88">
        <f>($F$7/360)*($O$2/100)*M34</f>
        <v>15408.74215138727</v>
      </c>
      <c r="L35" s="90">
        <f>J35-K35</f>
        <v>25508.337848612733</v>
      </c>
      <c r="M35" s="79">
        <f>M34-L35</f>
        <v>553767.68288023211</v>
      </c>
      <c r="N35" s="92">
        <f>L35/M34</f>
        <v>4.4034858920136477E-2</v>
      </c>
      <c r="O35" s="52"/>
      <c r="P35" s="80">
        <f>I35</f>
        <v>43374</v>
      </c>
      <c r="Q35" s="97">
        <f ca="1">S34*N35</f>
        <v>8959.0827144979685</v>
      </c>
      <c r="R35" s="98">
        <f ca="1">S34*$C$2/2</f>
        <v>5086.3582478750232</v>
      </c>
      <c r="S35" s="99">
        <f ca="1">IF(P35&lt;$A$4,(VLOOKUP(P35,$A$11:$B$52,2,0)*$S$12),(S34-(Q35+R35)))</f>
        <v>189408.88895262792</v>
      </c>
      <c r="U35" s="80">
        <f>P35</f>
        <v>43374</v>
      </c>
      <c r="V35" s="97">
        <f ca="1">IF(U35&lt;$A$4,0,(YEARFRAC($A$4,U35,1)))</f>
        <v>2.4799270072992701</v>
      </c>
      <c r="W35" s="141">
        <f ca="1">V35*(S34-S35)</f>
        <v>34831.668372016225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43556</v>
      </c>
      <c r="F36" s="74">
        <f ca="1">MAX(IF(ISERROR(VLOOKUP(E36,$A$12:$B$52,2,0)),VLOOKUP(E36,$P$11:$S$52,4,0)/1000000,(VLOOKUP(E36,$A$12:$B$52,2,0))),0)</f>
        <v>0.17571679881824911</v>
      </c>
      <c r="G36" s="128">
        <f ca="1">F36*1000000</f>
        <v>175716.79881824911</v>
      </c>
      <c r="I36" s="80">
        <f>E36</f>
        <v>43556</v>
      </c>
      <c r="J36" s="207">
        <f>$M$12*$N$7</f>
        <v>40917.08</v>
      </c>
      <c r="K36" s="88">
        <f>($F$7/360)*($O$2/100)*M35</f>
        <v>14730.220364614173</v>
      </c>
      <c r="L36" s="90">
        <f>J36-K36</f>
        <v>26186.85963538583</v>
      </c>
      <c r="M36" s="79">
        <f>M35-L36</f>
        <v>527580.82324484631</v>
      </c>
      <c r="N36" s="92">
        <f>L36/M35</f>
        <v>4.728852991056446E-2</v>
      </c>
      <c r="O36" s="52"/>
      <c r="P36" s="80">
        <f>I36</f>
        <v>43556</v>
      </c>
      <c r="Q36" s="97">
        <f ca="1">S35*N36</f>
        <v>8956.8679105631272</v>
      </c>
      <c r="R36" s="98">
        <f ca="1">S35*$C$2/2</f>
        <v>4735.2222238156983</v>
      </c>
      <c r="S36" s="99">
        <f ca="1">IF(P36&lt;$A$4,(VLOOKUP(P36,$A$11:$B$52,2,0)*$S$12),(S35-(Q36+R36)))</f>
        <v>175716.79881824911</v>
      </c>
      <c r="U36" s="80">
        <f>P36</f>
        <v>43556</v>
      </c>
      <c r="V36" s="97">
        <f ca="1">IF(U36&lt;$A$4,0,(YEARFRAC($A$4,U36,1)))</f>
        <v>2.9787816563997263</v>
      </c>
      <c r="W36" s="141">
        <f ca="1">V36*(S35-S36)</f>
        <v>40785.746930059271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43739</v>
      </c>
      <c r="F37" s="74">
        <f ca="1">MAX(IF(ISERROR(VLOOKUP(E37,$A$12:$B$52,2,0)),VLOOKUP(E37,$P$11:$S$52,4,0)/1000000,(VLOOKUP(E37,$A$12:$B$52,2,0))),0)</f>
        <v>0.16237004642896311</v>
      </c>
      <c r="G37" s="128">
        <f ca="1">F37*1000000</f>
        <v>162370.04642896311</v>
      </c>
      <c r="I37" s="80">
        <f>E37</f>
        <v>43739</v>
      </c>
      <c r="J37" s="207">
        <f>$M$12*$N$7</f>
        <v>40917.08</v>
      </c>
      <c r="K37" s="88">
        <f>($F$7/360)*($O$2/100)*M36</f>
        <v>14033.649898312911</v>
      </c>
      <c r="L37" s="90">
        <f>J37-K37</f>
        <v>26883.430101687089</v>
      </c>
      <c r="M37" s="79">
        <f>M36-L37</f>
        <v>500697.39314315922</v>
      </c>
      <c r="N37" s="92">
        <f>L37/M36</f>
        <v>5.0956041078867434E-2</v>
      </c>
      <c r="O37" s="52"/>
      <c r="P37" s="80">
        <f>I37</f>
        <v>43739</v>
      </c>
      <c r="Q37" s="97">
        <f ca="1">S36*N37</f>
        <v>8953.8324188297865</v>
      </c>
      <c r="R37" s="98">
        <f ca="1">S36*$C$2/2</f>
        <v>4392.9199704562279</v>
      </c>
      <c r="S37" s="99">
        <f ca="1">IF(P37&lt;$A$4,(VLOOKUP(P37,$A$11:$B$52,2,0)*$S$12),(S36-(Q37+R37)))</f>
        <v>162370.04642896311</v>
      </c>
      <c r="U37" s="80">
        <f>P37</f>
        <v>43739</v>
      </c>
      <c r="V37" s="97">
        <f ca="1">IF(U37&lt;$A$4,0,(YEARFRAC($A$4,U37,1)))</f>
        <v>3.4798083504449009</v>
      </c>
      <c r="W37" s="141">
        <f ca="1">V37*(S36-S37)</f>
        <v>46444.140415557871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43922</v>
      </c>
      <c r="F38" s="74">
        <f ca="1">MAX(IF(ISERROR(VLOOKUP(E38,$A$12:$B$52,2,0)),VLOOKUP(E38,$P$11:$S$52,4,0)/1000000,(VLOOKUP(E38,$A$12:$B$52,2,0))),0)</f>
        <v>0.14936092943697429</v>
      </c>
      <c r="G38" s="128">
        <f ca="1">F38*1000000</f>
        <v>149360.92943697429</v>
      </c>
      <c r="I38" s="80">
        <f>E38</f>
        <v>43922</v>
      </c>
      <c r="J38" s="207">
        <f>$M$12*$N$7</f>
        <v>40917.08</v>
      </c>
      <c r="K38" s="88">
        <f>($F$7/360)*($O$2/100)*M37</f>
        <v>13318.550657608035</v>
      </c>
      <c r="L38" s="90">
        <f>J38-K38</f>
        <v>27598.529342391965</v>
      </c>
      <c r="M38" s="79">
        <f>M37-L38</f>
        <v>473098.86380076723</v>
      </c>
      <c r="N38" s="92">
        <f>L38/M37</f>
        <v>5.5120177816665811E-2</v>
      </c>
      <c r="O38" s="52"/>
      <c r="P38" s="80">
        <f>I38</f>
        <v>43922</v>
      </c>
      <c r="Q38" s="97">
        <f ca="1">S37*N38</f>
        <v>8949.8658312647294</v>
      </c>
      <c r="R38" s="98">
        <f ca="1">S37*$C$2/2</f>
        <v>4059.2511607240776</v>
      </c>
      <c r="S38" s="99">
        <f ca="1">IF(P38&lt;$A$4,(VLOOKUP(P38,$A$11:$B$52,2,0)*$S$12),(S37-(Q38+R38)))</f>
        <v>149360.92943697429</v>
      </c>
      <c r="U38" s="80">
        <f>P38</f>
        <v>43922</v>
      </c>
      <c r="V38" s="97">
        <f ca="1">IF(U38&lt;$A$4,0,(YEARFRAC($A$4,U38,1)))</f>
        <v>3.9792008757526003</v>
      </c>
      <c r="W38" s="141">
        <f ca="1">V38*(S37-S38)</f>
        <v>51765.889727289948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44105</v>
      </c>
      <c r="F39" s="74">
        <f ca="1">MAX(IF(ISERROR(VLOOKUP(E39,$A$12:$B$52,2,0)),VLOOKUP(E39,$P$11:$S$52,4,0)/1000000,(VLOOKUP(E39,$A$12:$B$52,2,0))),0)</f>
        <v>0.13668207184505984</v>
      </c>
      <c r="G39" s="128">
        <f ca="1">F39*1000000</f>
        <v>136682.07184505984</v>
      </c>
      <c r="I39" s="80">
        <f>E39</f>
        <v>44105</v>
      </c>
      <c r="J39" s="207">
        <f>$M$12*$N$7</f>
        <v>40917.08</v>
      </c>
      <c r="K39" s="88">
        <f>($F$7/360)*($O$2/100)*M38</f>
        <v>12584.429777100408</v>
      </c>
      <c r="L39" s="90">
        <f>J39-K39</f>
        <v>28332.650222899596</v>
      </c>
      <c r="M39" s="79">
        <f>M38-L39</f>
        <v>444766.2135778676</v>
      </c>
      <c r="N39" s="92">
        <f>L39/M38</f>
        <v>5.9887377440058967E-2</v>
      </c>
      <c r="O39" s="52"/>
      <c r="P39" s="80">
        <f>I39</f>
        <v>44105</v>
      </c>
      <c r="Q39" s="97">
        <f ca="1">S38*N39</f>
        <v>8944.8343559900932</v>
      </c>
      <c r="R39" s="98">
        <f ca="1">S38*$C$2/2</f>
        <v>3734.0232359243573</v>
      </c>
      <c r="S39" s="99">
        <f ca="1">IF(P39&lt;$A$4,(VLOOKUP(P39,$A$11:$B$52,2,0)*$S$12),(S38-(Q39+R39)))</f>
        <v>136682.07184505984</v>
      </c>
      <c r="U39" s="80">
        <f>P39</f>
        <v>44105</v>
      </c>
      <c r="V39" s="97">
        <f ca="1">IF(U39&lt;$A$4,0,(YEARFRAC($A$4,U39,1)))</f>
        <v>4.4800218938149978</v>
      </c>
      <c r="W39" s="141">
        <f ca="1">V39*(S38-S39)</f>
        <v>56801.559600339235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44287</v>
      </c>
      <c r="F40" s="74">
        <f ca="1">MAX(IF(ISERROR(VLOOKUP(E40,$A$12:$B$52,2,0)),VLOOKUP(E40,$P$11:$S$52,4,0)/1000000,(VLOOKUP(E40,$A$12:$B$52,2,0))),0)</f>
        <v>0.12432644636723934</v>
      </c>
      <c r="G40" s="128">
        <f ca="1">F40*1000000</f>
        <v>124326.44636723935</v>
      </c>
      <c r="I40" s="80">
        <f>E40</f>
        <v>44287</v>
      </c>
      <c r="J40" s="207">
        <f>$M$12*$N$7</f>
        <v>40917.08</v>
      </c>
      <c r="K40" s="88">
        <f>($F$7/360)*($O$2/100)*M39</f>
        <v>11830.781281171277</v>
      </c>
      <c r="L40" s="90">
        <f>J40-K40</f>
        <v>29086.298718828722</v>
      </c>
      <c r="M40" s="79">
        <f>M39-L40</f>
        <v>415679.91485903889</v>
      </c>
      <c r="N40" s="92">
        <f>L40/M39</f>
        <v>6.5396826087232518E-2</v>
      </c>
      <c r="O40" s="52"/>
      <c r="P40" s="80">
        <f>I40</f>
        <v>44287</v>
      </c>
      <c r="Q40" s="97">
        <f ca="1">S39*N40</f>
        <v>8938.5736816939989</v>
      </c>
      <c r="R40" s="98">
        <f ca="1">S39*$C$2/2</f>
        <v>3417.0517961264959</v>
      </c>
      <c r="S40" s="99">
        <f ca="1">IF(P40&lt;$A$4,(VLOOKUP(P40,$A$11:$B$52,2,0)*$S$12),(S39-(Q40+R40)))</f>
        <v>124326.44636723935</v>
      </c>
      <c r="U40" s="80">
        <f>P40</f>
        <v>44287</v>
      </c>
      <c r="V40" s="97">
        <f ca="1">IF(U40&lt;$A$4,0,(YEARFRAC($A$4,U40,1)))</f>
        <v>4.9790145985401466</v>
      </c>
      <c r="W40" s="141">
        <f ca="1">V40*(S39-S40)</f>
        <v>61518.839628162794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44470</v>
      </c>
      <c r="F41" s="74">
        <f ca="1">MAX(IF(ISERROR(VLOOKUP(E41,$A$12:$B$52,2,0)),VLOOKUP(E41,$P$11:$S$52,4,0)/1000000,(VLOOKUP(E41,$A$12:$B$52,2,0))),0)</f>
        <v>0.11228740632077469</v>
      </c>
      <c r="G41" s="128">
        <f ca="1">F41*1000000</f>
        <v>112287.40632077469</v>
      </c>
      <c r="I41" s="80">
        <f>E41</f>
        <v>44470</v>
      </c>
      <c r="J41" s="207">
        <f>$M$12*$N$7</f>
        <v>40917.08</v>
      </c>
      <c r="K41" s="88">
        <f>($F$7/360)*($O$2/100)*M40</f>
        <v>11057.085735250434</v>
      </c>
      <c r="L41" s="90">
        <f>J41-K41</f>
        <v>29859.99426474957</v>
      </c>
      <c r="M41" s="79">
        <f>M40-L41</f>
        <v>385819.92059428932</v>
      </c>
      <c r="N41" s="92">
        <f>L41/M40</f>
        <v>7.1834104072301369E-2</v>
      </c>
      <c r="O41" s="52"/>
      <c r="P41" s="80">
        <f>I41</f>
        <v>44470</v>
      </c>
      <c r="Q41" s="97">
        <f ca="1">S40*N41</f>
        <v>8930.8788872836649</v>
      </c>
      <c r="R41" s="98">
        <f ca="1">S40*$C$2/2</f>
        <v>3108.1611591809838</v>
      </c>
      <c r="S41" s="99">
        <f ca="1">IF(P41&lt;$A$4,(VLOOKUP(P41,$A$11:$B$52,2,0)*$S$12),(S40-(Q41+R41)))</f>
        <v>112287.40632077469</v>
      </c>
      <c r="U41" s="80">
        <f>P41</f>
        <v>44470</v>
      </c>
      <c r="V41" s="97">
        <f ca="1">IF(U41&lt;$A$4,0,(YEARFRAC($A$4,U41,1)))</f>
        <v>5.4799270072992705</v>
      </c>
      <c r="W41" s="141">
        <f ca="1">V41*(S40-S41)</f>
        <v>65973.060692579107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44652</v>
      </c>
      <c r="F42" s="74">
        <f ca="1">MAX(IF(ISERROR(VLOOKUP(E42,$A$12:$B$52,2,0)),VLOOKUP(E42,$P$11:$S$52,4,0)/1000000,(VLOOKUP(E42,$A$12:$B$52,2,0))),0)</f>
        <v>0.10055873136966084</v>
      </c>
      <c r="G42" s="128">
        <f ca="1">F42*1000000</f>
        <v>100558.73136966085</v>
      </c>
      <c r="I42" s="80">
        <f>E42</f>
        <v>44652</v>
      </c>
      <c r="J42" s="207">
        <f>$M$12*$N$7</f>
        <v>40917.08</v>
      </c>
      <c r="K42" s="88">
        <f>($F$7/360)*($O$2/100)*M41</f>
        <v>10262.809887808095</v>
      </c>
      <c r="L42" s="90">
        <f>J42-K42</f>
        <v>30654.270112191909</v>
      </c>
      <c r="M42" s="79">
        <f>M41-L42</f>
        <v>355165.65048209741</v>
      </c>
      <c r="N42" s="92">
        <f>L42/M41</f>
        <v>7.9452274172298498E-2</v>
      </c>
      <c r="O42" s="52"/>
      <c r="P42" s="80">
        <f>I42</f>
        <v>44652</v>
      </c>
      <c r="Q42" s="97">
        <f ca="1">S41*N42</f>
        <v>8921.4897930944753</v>
      </c>
      <c r="R42" s="98">
        <f ca="1">S41*$C$2/2</f>
        <v>2807.1851580193675</v>
      </c>
      <c r="S42" s="99">
        <f ca="1">IF(P42&lt;$A$4,(VLOOKUP(P42,$A$11:$B$52,2,0)*$S$12),(S41-(Q42+R42)))</f>
        <v>100558.73136966085</v>
      </c>
      <c r="U42" s="80">
        <f>P42</f>
        <v>44652</v>
      </c>
      <c r="V42" s="97">
        <f ca="1">IF(U42&lt;$A$4,0,(YEARFRAC($A$4,U42,1)))</f>
        <v>5.9788815017598749</v>
      </c>
      <c r="W42" s="141">
        <f ca="1">V42*(S41-S42)</f>
        <v>70124.357705368995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44835</v>
      </c>
      <c r="F43" s="74">
        <f ca="1">MAX(IF(ISERROR(VLOOKUP(E43,$A$12:$B$52,2,0)),VLOOKUP(E43,$P$11:$S$52,4,0)/1000000,(VLOOKUP(E43,$A$12:$B$52,2,0))),0)</f>
        <v>8.9134694053378344E-2</v>
      </c>
      <c r="G43" s="128">
        <f ca="1">F43*1000000</f>
        <v>89134.694053378349</v>
      </c>
      <c r="I43" s="80">
        <f>E43</f>
        <v>44835</v>
      </c>
      <c r="J43" s="207">
        <f>$M$12*$N$7</f>
        <v>40917.08</v>
      </c>
      <c r="K43" s="88">
        <f>($F$7/360)*($O$2/100)*M42</f>
        <v>9447.4063028237906</v>
      </c>
      <c r="L43" s="90">
        <f>J43-K43</f>
        <v>31469.673697176211</v>
      </c>
      <c r="M43" s="79">
        <f>M42-L43</f>
        <v>323695.97678492119</v>
      </c>
      <c r="N43" s="92">
        <f>L43/M42</f>
        <v>8.8605622909928558E-2</v>
      </c>
      <c r="O43" s="52"/>
      <c r="P43" s="80">
        <f>I43</f>
        <v>44835</v>
      </c>
      <c r="Q43" s="97">
        <f ca="1">S42*N43</f>
        <v>8910.0690320409722</v>
      </c>
      <c r="R43" s="98">
        <f ca="1">S42*$C$2/2</f>
        <v>2513.9682842415214</v>
      </c>
      <c r="S43" s="99">
        <f ca="1">IF(P43&lt;$A$4,(VLOOKUP(P43,$A$11:$B$52,2,0)*$S$12),(S42-(Q43+R43)))</f>
        <v>89134.694053378349</v>
      </c>
      <c r="U43" s="80">
        <f>P43</f>
        <v>44835</v>
      </c>
      <c r="V43" s="97">
        <f ca="1">IF(U43&lt;$A$4,0,(YEARFRAC($A$4,U43,1)))</f>
        <v>6.4798592100117327</v>
      </c>
      <c r="W43" s="141">
        <f ca="1">V43*(S42-S43)</f>
        <v>74026.153419430862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45017</v>
      </c>
      <c r="F44" s="74">
        <f ca="1">MAX(IF(ISERROR(VLOOKUP(E44,$A$12:$B$52,2,0)),VLOOKUP(E44,$P$11:$S$52,4,0)/1000000,(VLOOKUP(E44,$A$12:$B$52,2,0))),0)</f>
        <v>7.8010158691052836E-2</v>
      </c>
      <c r="G44" s="128">
        <f ca="1">F44*1000000</f>
        <v>78010.158691052842</v>
      </c>
      <c r="I44" s="80">
        <f>E44</f>
        <v>45017</v>
      </c>
      <c r="J44" s="207">
        <f>$M$12*$N$7</f>
        <v>40917.08</v>
      </c>
      <c r="K44" s="88">
        <f>($F$7/360)*($O$2/100)*M43</f>
        <v>8610.312982478903</v>
      </c>
      <c r="L44" s="90">
        <f>J44-K44</f>
        <v>32306.767017521099</v>
      </c>
      <c r="M44" s="79">
        <f>M43-L44</f>
        <v>291389.20976740011</v>
      </c>
      <c r="N44" s="92">
        <f>L44/M43</f>
        <v>9.9805896070766523E-2</v>
      </c>
      <c r="O44" s="52"/>
      <c r="P44" s="80">
        <f>I44</f>
        <v>45017</v>
      </c>
      <c r="Q44" s="97">
        <f ca="1">S43*N44</f>
        <v>8896.1680109910503</v>
      </c>
      <c r="R44" s="98">
        <f ca="1">S43*$C$2/2</f>
        <v>2228.3673513344588</v>
      </c>
      <c r="S44" s="99">
        <f ca="1">IF(P44&lt;$A$4,(VLOOKUP(P44,$A$11:$B$52,2,0)*$S$12),(S43-(Q44+R44)))</f>
        <v>78010.158691052842</v>
      </c>
      <c r="U44" s="80">
        <f>P44</f>
        <v>45017</v>
      </c>
      <c r="V44" s="97">
        <f ca="1">IF(U44&lt;$A$4,0,(YEARFRAC($A$4,U44,1)))</f>
        <v>6.9787816563997263</v>
      </c>
      <c r="W44" s="141">
        <f ca="1">V44*(S43-S44)</f>
        <v>77635.703322567337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45200</v>
      </c>
      <c r="F45" s="74">
        <f ca="1">MAX(IF(ISERROR(VLOOKUP(E45,$A$12:$B$52,2,0)),VLOOKUP(E45,$P$11:$S$52,4,0)/1000000,(VLOOKUP(E45,$A$12:$B$52,2,0))),0)</f>
        <v>6.7180732999889733E-2</v>
      </c>
      <c r="G45" s="128">
        <f ca="1">F45*1000000</f>
        <v>67180.732999889733</v>
      </c>
      <c r="I45" s="80">
        <f>E45</f>
        <v>45200</v>
      </c>
      <c r="J45" s="207">
        <f>$M$12*$N$7</f>
        <v>40917.08</v>
      </c>
      <c r="K45" s="88">
        <f>($F$7/360)*($O$2/100)*M44</f>
        <v>7750.9529798128424</v>
      </c>
      <c r="L45" s="90">
        <f>J45-K45</f>
        <v>33166.127020187159</v>
      </c>
      <c r="M45" s="79">
        <f>M44-L45</f>
        <v>258223.08274721296</v>
      </c>
      <c r="N45" s="92">
        <f>L45/M44</f>
        <v>0.11382071095447166</v>
      </c>
      <c r="O45" s="52"/>
      <c r="P45" s="80">
        <f>I45</f>
        <v>45200</v>
      </c>
      <c r="Q45" s="97">
        <f ca="1">S44*N45</f>
        <v>8879.1717238867914</v>
      </c>
      <c r="R45" s="98">
        <f ca="1">S44*$C$2/2</f>
        <v>1950.2539672763212</v>
      </c>
      <c r="S45" s="99">
        <f ca="1">IF(P45&lt;$A$4,(VLOOKUP(P45,$A$11:$B$52,2,0)*$S$12),(S44-(Q45+R45)))</f>
        <v>67180.732999889733</v>
      </c>
      <c r="U45" s="80">
        <f>P45</f>
        <v>45200</v>
      </c>
      <c r="V45" s="97">
        <f ca="1">IF(U45&lt;$A$4,0,(YEARFRAC($A$4,U45,1)))</f>
        <v>7.4798083504449009</v>
      </c>
      <c r="W45" s="141">
        <f ca="1">V45*(S44-S45)</f>
        <v>81002.028715284367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45383</v>
      </c>
      <c r="F46" s="74">
        <f ca="1">MAX(IF(ISERROR(VLOOKUP(E46,$A$12:$B$52,2,0)),VLOOKUP(E46,$P$11:$S$52,4,0)/1000000,(VLOOKUP(E46,$A$12:$B$52,2,0))),0)</f>
        <v>5.6643010298636845E-2</v>
      </c>
      <c r="G46" s="128">
        <f ca="1">F46*1000000</f>
        <v>56643.010298636844</v>
      </c>
      <c r="I46" s="80">
        <f>E46</f>
        <v>45383</v>
      </c>
      <c r="J46" s="207">
        <f>$M$12*$N$7</f>
        <v>40917.08</v>
      </c>
      <c r="K46" s="88">
        <f>($F$7/360)*($O$2/100)*M45</f>
        <v>6868.7340010758644</v>
      </c>
      <c r="L46" s="90">
        <f>J46-K46</f>
        <v>34048.345998924138</v>
      </c>
      <c r="M46" s="79">
        <f>M45-L46</f>
        <v>224174.73674828882</v>
      </c>
      <c r="N46" s="92">
        <f>L46/M45</f>
        <v>0.13185632220282842</v>
      </c>
      <c r="O46" s="52"/>
      <c r="P46" s="80">
        <f>I46</f>
        <v>45383</v>
      </c>
      <c r="Q46" s="97">
        <f ca="1">S45*N46</f>
        <v>8858.2043762556477</v>
      </c>
      <c r="R46" s="98">
        <f ca="1">S45*$C$2/2</f>
        <v>1679.5183249972433</v>
      </c>
      <c r="S46" s="99">
        <f ca="1">IF(P46&lt;$A$4,(VLOOKUP(P46,$A$11:$B$52,2,0)*$S$12),(S45-(Q46+R46)))</f>
        <v>56643.010298636844</v>
      </c>
      <c r="U46" s="80">
        <f>P46</f>
        <v>45383</v>
      </c>
      <c r="V46" s="97">
        <f ca="1">IF(U46&lt;$A$4,0,(YEARFRAC($A$4,U46,1)))</f>
        <v>7.9790145985401466</v>
      </c>
      <c r="W46" s="141">
        <f ca="1">V46*(S45-S46)</f>
        <v>84080.643268664717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45566</v>
      </c>
      <c r="F47" s="74">
        <f ca="1">MAX(IF(ISERROR(VLOOKUP(E47,$A$12:$B$52,2,0)),VLOOKUP(E47,$P$11:$S$52,4,0)/1000000,(VLOOKUP(E47,$A$12:$B$52,2,0))),0)</f>
        <v>4.6394978222953097E-2</v>
      </c>
      <c r="G47" s="128">
        <f ca="1">F47*1000000</f>
        <v>46394.978222953097</v>
      </c>
      <c r="I47" s="80">
        <f>E47</f>
        <v>45566</v>
      </c>
      <c r="J47" s="207">
        <f>$M$12*$N$7</f>
        <v>40917.08</v>
      </c>
      <c r="K47" s="88">
        <f>($F$7/360)*($O$2/100)*M46</f>
        <v>5963.0479975044827</v>
      </c>
      <c r="L47" s="90">
        <f>J47-K47</f>
        <v>34954.032002495522</v>
      </c>
      <c r="M47" s="79">
        <f>M46-L47</f>
        <v>189220.70474579331</v>
      </c>
      <c r="N47" s="92">
        <f>L47/M46</f>
        <v>0.15592315400705978</v>
      </c>
      <c r="O47" s="52"/>
      <c r="P47" s="80">
        <f>I47</f>
        <v>45566</v>
      </c>
      <c r="Q47" s="97">
        <f ca="1">S46*N47</f>
        <v>8831.9568182178264</v>
      </c>
      <c r="R47" s="98">
        <f ca="1">S46*$C$2/2</f>
        <v>1416.0752574659211</v>
      </c>
      <c r="S47" s="99">
        <f ca="1">IF(P47&lt;$A$4,(VLOOKUP(P47,$A$11:$B$52,2,0)*$S$12),(S46-(Q47+R47)))</f>
        <v>46394.978222953097</v>
      </c>
      <c r="U47" s="80">
        <f>P47</f>
        <v>45566</v>
      </c>
      <c r="V47" s="97">
        <f ca="1">IF(U47&lt;$A$4,0,(YEARFRAC($A$4,U47,1)))</f>
        <v>8.4799270072992705</v>
      </c>
      <c r="W47" s="141">
        <f ca="1">V47*(S46-S47)</f>
        <v>86902.563970259798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45748</v>
      </c>
      <c r="F48" s="74">
        <f ca="1">MAX(IF(ISERROR(VLOOKUP(E48,$A$12:$B$52,2,0)),VLOOKUP(E48,$P$11:$S$52,4,0)/1000000,(VLOOKUP(E48,$A$12:$B$52,2,0))),0)</f>
        <v>3.6436761370750505E-2</v>
      </c>
      <c r="G48" s="128">
        <f ca="1">F48*1000000</f>
        <v>36436.761370750508</v>
      </c>
      <c r="I48" s="80">
        <f>E48</f>
        <v>45748</v>
      </c>
      <c r="J48" s="207">
        <f>$M$12*$N$7</f>
        <v>40917.08</v>
      </c>
      <c r="K48" s="88">
        <f>($F$7/360)*($O$2/100)*M47</f>
        <v>5033.2707462381013</v>
      </c>
      <c r="L48" s="90">
        <f>J48-K48</f>
        <v>35883.809253761901</v>
      </c>
      <c r="M48" s="79">
        <f>M47-L48</f>
        <v>153336.89549203141</v>
      </c>
      <c r="N48" s="92">
        <f>L48/M47</f>
        <v>0.18963997254935527</v>
      </c>
      <c r="O48" s="52"/>
      <c r="P48" s="80">
        <f>I48</f>
        <v>45748</v>
      </c>
      <c r="Q48" s="97">
        <f ca="1">S47*N48</f>
        <v>8798.342396628761</v>
      </c>
      <c r="R48" s="98">
        <f ca="1">S47*$C$2/2</f>
        <v>1159.8744555738274</v>
      </c>
      <c r="S48" s="99">
        <f ca="1">IF(P48&lt;$A$4,(VLOOKUP(P48,$A$11:$B$52,2,0)*$S$12),(S47-(Q48+R48)))</f>
        <v>36436.761370750508</v>
      </c>
      <c r="U48" s="80">
        <f>P48</f>
        <v>45748</v>
      </c>
      <c r="V48" s="97">
        <f ca="1">IF(U48&lt;$A$4,0,(YEARFRAC($A$4,U48,1)))</f>
        <v>8.9789214344374493</v>
      </c>
      <c r="W48" s="141">
        <f ca="1">V48*(S47-S48)</f>
        <v>89414.046743018058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45931</v>
      </c>
      <c r="F49" s="74">
        <f ca="1">MAX(IF(ISERROR(VLOOKUP(E49,$A$12:$B$52,2,0)),VLOOKUP(E49,$P$11:$S$52,4,0)/1000000,(VLOOKUP(E49,$A$12:$B$52,2,0))),0)</f>
        <v>2.6772117284928891E-2</v>
      </c>
      <c r="G49" s="128">
        <f ca="1">F49*1000000</f>
        <v>26772.117284928892</v>
      </c>
      <c r="I49" s="80">
        <f>E49</f>
        <v>45931</v>
      </c>
      <c r="J49" s="207">
        <f>$M$12*$N$7</f>
        <v>40917.08</v>
      </c>
      <c r="K49" s="88">
        <f>($F$7/360)*($O$2/100)*M48</f>
        <v>4078.7614200880353</v>
      </c>
      <c r="L49" s="90">
        <f>J49-K49</f>
        <v>36838.318579911967</v>
      </c>
      <c r="M49" s="79">
        <f>M48-L49</f>
        <v>116498.57691211945</v>
      </c>
      <c r="N49" s="92">
        <f>L49/M48</f>
        <v>0.24024432255331774</v>
      </c>
      <c r="O49" s="52"/>
      <c r="P49" s="80">
        <f>I49</f>
        <v>45931</v>
      </c>
      <c r="Q49" s="97">
        <f ca="1">S48*N49</f>
        <v>8753.7250515528522</v>
      </c>
      <c r="R49" s="98">
        <f ca="1">S48*$C$2/2</f>
        <v>910.91903426876274</v>
      </c>
      <c r="S49" s="99">
        <f ca="1">IF(P49&lt;$A$4,(VLOOKUP(P49,$A$11:$B$52,2,0)*$S$12),(S48-(Q49+R49)))</f>
        <v>26772.117284928892</v>
      </c>
      <c r="U49" s="80">
        <f>P49</f>
        <v>45931</v>
      </c>
      <c r="V49" s="97">
        <f ca="1">IF(U49&lt;$A$4,0,(YEARFRAC($A$4,U49,1)))</f>
        <v>9.4798795510539282</v>
      </c>
      <c r="W49" s="141">
        <f ca="1">V49*(S48-S49)</f>
        <v>91619.661837394626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46113</v>
      </c>
      <c r="F50" s="74">
        <f ca="1">MAX(IF(ISERROR(VLOOKUP(E50,$A$12:$B$52,2,0)),VLOOKUP(E50,$P$11:$S$52,4,0)/1000000,(VLOOKUP(E50,$A$12:$B$52,2,0))),0)</f>
        <v>1.7411946268968706E-2</v>
      </c>
      <c r="G50" s="128">
        <f ca="1">F50*1000000</f>
        <v>17411.946268968706</v>
      </c>
      <c r="I50" s="80">
        <f>E50</f>
        <v>46113</v>
      </c>
      <c r="J50" s="207">
        <f>$M$12*$N$7</f>
        <v>40917.08</v>
      </c>
      <c r="K50" s="88">
        <f>($F$7/360)*($O$2/100)*M49</f>
        <v>3098.862145862377</v>
      </c>
      <c r="L50" s="90">
        <f>J50-K50</f>
        <v>37818.217854137627</v>
      </c>
      <c r="M50" s="79">
        <f>M49-L50</f>
        <v>78680.359057981812</v>
      </c>
      <c r="N50" s="92">
        <f>L50/M49</f>
        <v>0.32462386113665365</v>
      </c>
      <c r="O50" s="52"/>
      <c r="P50" s="80">
        <f>I50</f>
        <v>46113</v>
      </c>
      <c r="Q50" s="97">
        <f ca="1">S49*N50</f>
        <v>8690.8680838369619</v>
      </c>
      <c r="R50" s="98">
        <f ca="1">S49*$C$2/2</f>
        <v>669.30293212322238</v>
      </c>
      <c r="S50" s="99">
        <f ca="1">IF(P50&lt;$A$4,(VLOOKUP(P50,$A$11:$B$52,2,0)*$S$12),(S49-(Q50+R50)))</f>
        <v>17411.946268968706</v>
      </c>
      <c r="U50" s="80">
        <f>P50</f>
        <v>46113</v>
      </c>
      <c r="V50" s="97">
        <f ca="1">IF(U50&lt;$A$4,0,(YEARFRAC($A$4,U50,1)))</f>
        <v>9.9788451966152323</v>
      </c>
      <c r="W50" s="141">
        <f ca="1">V50*(S49-S50)</f>
        <v>93403.697582111417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46296</v>
      </c>
      <c r="F51" s="74">
        <f ca="1">MAX(IF(ISERROR(VLOOKUP(E51,$A$12:$B$52,2,0)),VLOOKUP(E51,$P$11:$S$52,4,0)/1000000,(VLOOKUP(E51,$A$12:$B$52,2,0))),0)</f>
        <v>8.3848645188111821E-3</v>
      </c>
      <c r="G51" s="128">
        <f ca="1">F51*1000000</f>
        <v>8384.8645188111823</v>
      </c>
      <c r="I51" s="80">
        <f>E51</f>
        <v>46296</v>
      </c>
      <c r="J51" s="207">
        <f>$M$12*$N$7</f>
        <v>40917.08</v>
      </c>
      <c r="K51" s="88">
        <f>($F$7/360)*($O$2/100)*M50</f>
        <v>2092.8975509423162</v>
      </c>
      <c r="L51" s="90">
        <f>J51-K51</f>
        <v>38824.182449057684</v>
      </c>
      <c r="M51" s="79">
        <f>M50-L51</f>
        <v>39856.176608924128</v>
      </c>
      <c r="N51" s="92">
        <f>L51/M50</f>
        <v>0.49344185656863909</v>
      </c>
      <c r="O51" s="52"/>
      <c r="P51" s="80">
        <f>I51</f>
        <v>46296</v>
      </c>
      <c r="Q51" s="97">
        <f ca="1">S50*N51</f>
        <v>8591.7830934333069</v>
      </c>
      <c r="R51" s="98">
        <f ca="1">S50*$C$2/2</f>
        <v>435.29865672421766</v>
      </c>
      <c r="S51" s="99">
        <f ca="1">IF(P51&lt;$A$4,(VLOOKUP(P51,$A$11:$B$52,2,0)*$S$12),(S50-(Q51+R51)))</f>
        <v>8384.8645188111823</v>
      </c>
      <c r="U51" s="80">
        <f>P51</f>
        <v>46296</v>
      </c>
      <c r="V51" s="97">
        <f ca="1">IF(U51&lt;$A$4,0,(YEARFRAC($A$4,U51,1)))</f>
        <v>10.479840716774515</v>
      </c>
      <c r="W51" s="141">
        <f ca="1">V51*(S50-S51)</f>
        <v>94602.378878952964</v>
      </c>
    </row>
    <row r="52" spans="1:23" s="82" customFormat="1" ht="13.5" thickBot="1">
      <c r="A52" s="49"/>
      <c r="B52" s="50"/>
      <c r="D52" s="66" t="str">
        <f ca="1">IF(E52&lt;$A$4,"Actual","Model Num")</f>
        <v>Model Num</v>
      </c>
      <c r="E52" s="71">
        <f>DATE(YEAR(E51),MONTH(E51)+6,DAY(E51))</f>
        <v>46478</v>
      </c>
      <c r="F52" s="74">
        <f>MAX(IF(ISERROR(VLOOKUP(E52,$A$12:$B$52,2,0)),VLOOKUP(E52,$P$11:$S$52,4,0)/1000000,(VLOOKUP(E52,$A$12:$B$52,2,0))),0)</f>
        <v>0</v>
      </c>
      <c r="G52" s="103">
        <f>F52*1000000</f>
        <v>0</v>
      </c>
      <c r="H52" s="83"/>
      <c r="I52" s="84">
        <f>E52</f>
        <v>46478</v>
      </c>
      <c r="J52" s="209">
        <f>$M$12*$N$7</f>
        <v>40917.08</v>
      </c>
      <c r="K52" s="89">
        <f>($F$7/360)*($O$2/100)*M51</f>
        <v>1060.1742977973818</v>
      </c>
      <c r="L52" s="91">
        <f>J52-K52</f>
        <v>39856.905702202617</v>
      </c>
      <c r="M52" s="85">
        <f>M51-L52</f>
        <v>-0.72909327848901739</v>
      </c>
      <c r="N52" s="93">
        <f>L52/M51</f>
        <v>1.000018293106377</v>
      </c>
      <c r="O52" s="86"/>
      <c r="P52" s="84">
        <f>I52</f>
        <v>46478</v>
      </c>
      <c r="Q52" s="100"/>
      <c r="R52" s="101"/>
      <c r="S52" s="102">
        <v>0</v>
      </c>
      <c r="U52" s="142">
        <f>P52</f>
        <v>46478</v>
      </c>
      <c r="V52" s="143">
        <f ca="1">IF(U52&lt;$A$4,0,(YEARFRAC($A$4,U52,1)))</f>
        <v>10.978781656399725</v>
      </c>
      <c r="W52" s="141">
        <f ca="1">V52*(S51-S52)</f>
        <v>92055.596770521122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A10:B10"/>
    <mergeCell ref="U10:W10"/>
    <mergeCell ref="I10:N10"/>
    <mergeCell ref="P10:S10"/>
    <mergeCell ref="D10:G10"/>
  </mergeCells>
  <phoneticPr fontId="2" type="noConversion"/>
  <conditionalFormatting sqref="A1:XFD2 D12:G52">
    <cfRule type="expression" dxfId="55" priority="1" stopIfTrue="1">
      <formula>$D1="Actual"</formula>
    </cfRule>
  </conditionalFormatting>
  <conditionalFormatting sqref="A4">
    <cfRule type="expression" dxfId="54" priority="2" stopIfTrue="1">
      <formula>#REF!="Actual"</formula>
    </cfRule>
  </conditionalFormatting>
  <conditionalFormatting sqref="C6:C9">
    <cfRule type="cellIs" dxfId="53" priority="3" stopIfTrue="1" operator="equal">
      <formula>"PROB!!"</formula>
    </cfRule>
  </conditionalFormatting>
  <conditionalFormatting sqref="A7">
    <cfRule type="expression" dxfId="52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4"/>
  </sheetPr>
  <dimension ref="A1:W200"/>
  <sheetViews>
    <sheetView workbookViewId="0">
      <selection activeCell="E29" sqref="E29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7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20" customFormat="1" ht="11.25">
      <c r="A1" s="203" t="s">
        <v>17</v>
      </c>
      <c r="B1" s="120" t="s">
        <v>44</v>
      </c>
      <c r="C1" s="120" t="s">
        <v>68</v>
      </c>
      <c r="D1" s="120" t="s">
        <v>69</v>
      </c>
      <c r="E1" s="120" t="s">
        <v>34</v>
      </c>
      <c r="F1" s="120" t="s">
        <v>54</v>
      </c>
      <c r="G1" s="120" t="s">
        <v>65</v>
      </c>
      <c r="H1" s="120" t="s">
        <v>64</v>
      </c>
      <c r="I1" s="120" t="s">
        <v>74</v>
      </c>
      <c r="J1" s="120" t="s">
        <v>75</v>
      </c>
      <c r="K1" s="120" t="s">
        <v>77</v>
      </c>
      <c r="L1" s="120" t="s">
        <v>76</v>
      </c>
      <c r="M1" s="120" t="s">
        <v>48</v>
      </c>
      <c r="N1" s="120" t="s">
        <v>62</v>
      </c>
      <c r="O1" s="120" t="s">
        <v>94</v>
      </c>
      <c r="U1" s="130"/>
      <c r="V1" s="130"/>
      <c r="W1" s="130"/>
    </row>
    <row r="2" spans="1:23" s="52" customFormat="1" ht="12" thickBot="1">
      <c r="A2" s="52" t="s">
        <v>15</v>
      </c>
      <c r="B2" s="52" t="str">
        <f>A2</f>
        <v>83162CRD7</v>
      </c>
      <c r="C2" s="52">
        <v>0.05</v>
      </c>
      <c r="D2" s="52">
        <f>IF(ISERROR(VLOOKUP(A2,'Bond Position per Summit'!$C$42:$E$56,3,0)),0,VLOOKUP(A2,'Bond Position per Summit'!$C$42:$E$56,3,0))</f>
        <v>14689918.4</v>
      </c>
      <c r="E2" s="52">
        <f>IF(ISERROR(VLOOKUP(A2,'Bond Position per Summit'!$C$65:$E$73,3,0)),0,VLOOKUP(A2,'Bond Position per Summit'!$C$65:$E$73,3,0))</f>
        <v>0</v>
      </c>
      <c r="F2" s="52" t="str">
        <f>_xll.BDP($B2&amp;" Mtge Cusip",F$1)</f>
        <v>SBAP 2007-20G 1</v>
      </c>
      <c r="G2" s="52">
        <f>VLOOKUP(A2,'Bond Position per Summit'!$C$10:$D$32,2,0)</f>
        <v>20000000</v>
      </c>
      <c r="H2" s="52">
        <f>VLOOKUP(A2,'Bond Position per Summit'!$C$10:$E$32,3,0)</f>
        <v>14689918.4</v>
      </c>
      <c r="I2" s="52" t="str">
        <f>_xll.BDP($B2&amp;" Mtge Cusip",I$1)</f>
        <v>11/07/2007</v>
      </c>
      <c r="J2" s="52" t="str">
        <f>_xll.BDP($B2&amp;" Mtge Cusip",J$1)</f>
        <v>11/07/2007</v>
      </c>
      <c r="K2" s="52" t="str">
        <f>_xll.BDP($B2&amp;" Mtge Cusip",K$1)</f>
        <v>01/01/2008</v>
      </c>
      <c r="L2" s="52" t="str">
        <f>_xll.BDP($B2&amp;" Mtge Cusip",L$1)</f>
        <v>01/07/2027</v>
      </c>
      <c r="M2" s="52">
        <f>_xll.BDP($B2&amp;" Mtge Cusip",M$1)</f>
        <v>2</v>
      </c>
      <c r="N2" s="52" t="str">
        <f>_xll.BDP($B2&amp;" Mtge Cusip",N$1)</f>
        <v>30/360(104)</v>
      </c>
      <c r="O2" s="52">
        <f>_xll.BDP($B2&amp;" Mtge Cusip",O$1)</f>
        <v>5.8199999999999994</v>
      </c>
      <c r="U2" s="67"/>
      <c r="V2" s="67"/>
      <c r="W2" s="67"/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20000000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0.28581009650000005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170</v>
      </c>
      <c r="I6" s="108" t="s">
        <v>81</v>
      </c>
      <c r="J6" s="118">
        <v>41019</v>
      </c>
      <c r="K6" s="113">
        <f>ROUND(J6/J5,8)</f>
        <v>4.1019E-2</v>
      </c>
      <c r="L6" s="108" t="s">
        <v>81</v>
      </c>
      <c r="M6" s="112">
        <v>820371</v>
      </c>
      <c r="N6" s="113">
        <f>ROUND(M6/M5,8)</f>
        <v>4.1018550000000001E-2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42635</v>
      </c>
      <c r="K7" s="115">
        <f>ROUND(J7/J5,8)</f>
        <v>4.2634999999999999E-2</v>
      </c>
      <c r="L7" s="109" t="s">
        <v>82</v>
      </c>
      <c r="M7" s="114">
        <v>852704</v>
      </c>
      <c r="N7" s="115">
        <f>ROUND(M7/M5,8)</f>
        <v>4.2635199999999998E-2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5.1788873771230417</v>
      </c>
    </row>
    <row r="12" spans="1:23">
      <c r="A12" s="49">
        <f>_xll.BDS($B2&amp;" Mtge Cusip",A11,"cols=2;rows=18")</f>
        <v>42370</v>
      </c>
      <c r="B12" s="50">
        <v>0.28581009699999999</v>
      </c>
      <c r="C12" s="52"/>
      <c r="D12" s="70" t="str">
        <f ca="1">IF(E12&lt;$A$4,"Actual","Model Num")</f>
        <v>Actual</v>
      </c>
      <c r="E12" s="71">
        <v>39274</v>
      </c>
      <c r="F12" s="74">
        <f>MAX(IF(ISERROR(VLOOKUP(E12,$A$12:$B$52,2,0)),VLOOKUP(E12,$P$11:$S$52,4,0)/1000000,(VLOOKUP(E12,$A$12:$B$52,2,0))),0)</f>
        <v>1</v>
      </c>
      <c r="G12" s="128">
        <f>F12*1000000</f>
        <v>1000000</v>
      </c>
      <c r="H12" s="64"/>
      <c r="I12" s="80">
        <f>E12</f>
        <v>39274</v>
      </c>
      <c r="J12" s="61">
        <v>0</v>
      </c>
      <c r="K12" s="87">
        <v>0</v>
      </c>
      <c r="L12" s="63">
        <v>0</v>
      </c>
      <c r="M12" s="65">
        <f>J5</f>
        <v>1000000</v>
      </c>
      <c r="N12" s="92"/>
      <c r="O12" s="52"/>
      <c r="P12" s="80">
        <f>I12</f>
        <v>39274</v>
      </c>
      <c r="Q12" s="94"/>
      <c r="R12" s="95"/>
      <c r="S12" s="96">
        <f>M12</f>
        <v>1000000</v>
      </c>
      <c r="U12" s="139">
        <f>P12</f>
        <v>39274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42186</v>
      </c>
      <c r="B13" s="50">
        <v>0.31438967699999998</v>
      </c>
      <c r="C13" s="52"/>
      <c r="D13" s="70" t="str">
        <f ca="1">IF(E13&lt;$A$4,"Actual","Model Num")</f>
        <v>Actual</v>
      </c>
      <c r="E13" s="71">
        <v>39448</v>
      </c>
      <c r="F13" s="74">
        <f>MAX(IF(ISERROR(VLOOKUP(E13,$A$12:$B$52,2,0)),VLOOKUP(E13,$P$11:$S$52,4,0)/1000000,(VLOOKUP(E13,$A$12:$B$52,2,0))),0)</f>
        <v>0.97935851900000004</v>
      </c>
      <c r="G13" s="128">
        <f>F13*1000000</f>
        <v>979358.51900000009</v>
      </c>
      <c r="H13" s="64"/>
      <c r="I13" s="80">
        <f>E13</f>
        <v>39448</v>
      </c>
      <c r="J13" s="207">
        <f>$M$12*$N$6</f>
        <v>41018.550000000003</v>
      </c>
      <c r="K13" s="88">
        <f>($F$6/360)*($O$2/100)*M12</f>
        <v>27483.333333333332</v>
      </c>
      <c r="L13" s="90">
        <f>J13-K13</f>
        <v>13535.216666666671</v>
      </c>
      <c r="M13" s="79">
        <f>M12-L13</f>
        <v>986464.78333333333</v>
      </c>
      <c r="N13" s="208">
        <f>L13/M12</f>
        <v>1.3535216666666671E-2</v>
      </c>
      <c r="O13" s="52"/>
      <c r="P13" s="80">
        <f>I13</f>
        <v>39448</v>
      </c>
      <c r="Q13" s="97">
        <f>S12*N13</f>
        <v>13535.216666666671</v>
      </c>
      <c r="R13" s="98">
        <f>S12*$C$2/2</f>
        <v>25000</v>
      </c>
      <c r="S13" s="99">
        <f ca="1">IF(P13&lt;$A$4,(VLOOKUP(P13,$A$11:$B$52,2,0)*$S$12),(S12-(Q13+R13)))</f>
        <v>979358.51900000009</v>
      </c>
      <c r="U13" s="80">
        <f>P13</f>
        <v>39448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42005</v>
      </c>
      <c r="B14" s="50">
        <v>0.34806013899999999</v>
      </c>
      <c r="C14" s="52"/>
      <c r="D14" s="70" t="str">
        <f ca="1">IF(E14&lt;$A$4,"Actual","Model Num")</f>
        <v>Actual</v>
      </c>
      <c r="E14" s="71">
        <f>DATE(YEAR(E13),MONTH(E13)+6,DAY(E13))</f>
        <v>39630</v>
      </c>
      <c r="F14" s="74">
        <f>MAX(IF(ISERROR(VLOOKUP(E14,$A$12:$B$52,2,0)),VLOOKUP(E14,$P$11:$S$52,4,0)/1000000,(VLOOKUP(E14,$A$12:$B$52,2,0))),0)</f>
        <v>0.94783469799999998</v>
      </c>
      <c r="G14" s="128">
        <f>F14*1000000</f>
        <v>947834.69799999997</v>
      </c>
      <c r="H14" s="64"/>
      <c r="I14" s="80">
        <f>E14</f>
        <v>39630</v>
      </c>
      <c r="J14" s="207">
        <f>$M$12*$N$7</f>
        <v>42635.199999999997</v>
      </c>
      <c r="K14" s="88">
        <f>($F$7/360)*($O$2/100)*M13</f>
        <v>28706.125194999997</v>
      </c>
      <c r="L14" s="90">
        <f>J14-K14</f>
        <v>13929.074805</v>
      </c>
      <c r="M14" s="79">
        <f>M13-L14</f>
        <v>972535.70852833334</v>
      </c>
      <c r="N14" s="92">
        <f>L14/M13</f>
        <v>1.412019469963508E-2</v>
      </c>
      <c r="O14" s="52"/>
      <c r="P14" s="80">
        <f>I14</f>
        <v>39630</v>
      </c>
      <c r="Q14" s="97">
        <f ca="1">S13*N14</f>
        <v>13828.732969026263</v>
      </c>
      <c r="R14" s="98">
        <f ca="1">S13*$C$2/2</f>
        <v>24483.962975000002</v>
      </c>
      <c r="S14" s="99">
        <f ca="1">IF(P14&lt;$A$4,(VLOOKUP(P14,$A$11:$B$52,2,0)*$S$12),(S13-(Q14+R14)))</f>
        <v>947834.69799999997</v>
      </c>
      <c r="U14" s="80">
        <f>P14</f>
        <v>39630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41821</v>
      </c>
      <c r="B15" s="50">
        <v>0.37126302799999999</v>
      </c>
      <c r="C15" s="52"/>
      <c r="D15" s="70" t="str">
        <f ca="1">IF(E15&lt;$A$4,"Actual","Model Num")</f>
        <v>Actual</v>
      </c>
      <c r="E15" s="71">
        <f>DATE(YEAR(E14),MONTH(E14)+6,DAY(E14))</f>
        <v>39814</v>
      </c>
      <c r="F15" s="74">
        <f>MAX(IF(ISERROR(VLOOKUP(E15,$A$12:$B$52,2,0)),VLOOKUP(E15,$P$11:$S$52,4,0)/1000000,(VLOOKUP(E15,$A$12:$B$52,2,0))),0)</f>
        <v>0.91024273</v>
      </c>
      <c r="G15" s="128">
        <f>F15*1000000</f>
        <v>910242.73</v>
      </c>
      <c r="H15" s="64"/>
      <c r="I15" s="80">
        <f>E15</f>
        <v>39814</v>
      </c>
      <c r="J15" s="207">
        <f>$M$12*$N$7</f>
        <v>42635.199999999997</v>
      </c>
      <c r="K15" s="88">
        <f>($F$7/360)*($O$2/100)*M14</f>
        <v>28300.789118174496</v>
      </c>
      <c r="L15" s="90">
        <f>J15-K15</f>
        <v>14334.410881825501</v>
      </c>
      <c r="M15" s="79">
        <f>M14-L15</f>
        <v>958201.29764650785</v>
      </c>
      <c r="N15" s="92">
        <f>L15/M14</f>
        <v>1.4739212921566354E-2</v>
      </c>
      <c r="O15" s="52"/>
      <c r="P15" s="80">
        <f>I15</f>
        <v>39814</v>
      </c>
      <c r="Q15" s="97">
        <f ca="1">S14*N15</f>
        <v>13970.337428270543</v>
      </c>
      <c r="R15" s="98">
        <f ca="1">S14*$C$2/2</f>
        <v>23695.867450000002</v>
      </c>
      <c r="S15" s="99">
        <f ca="1">IF(P15&lt;$A$4,(VLOOKUP(P15,$A$11:$B$52,2,0)*$S$12),(S14-(Q15+R15)))</f>
        <v>910242.73</v>
      </c>
      <c r="U15" s="80">
        <f>P15</f>
        <v>39814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41640</v>
      </c>
      <c r="B16" s="50">
        <v>0.41038945399999999</v>
      </c>
      <c r="C16" s="52"/>
      <c r="D16" s="70" t="str">
        <f ca="1">IF(E16&lt;$A$4,"Actual","Model Num")</f>
        <v>Actual</v>
      </c>
      <c r="E16" s="71">
        <f>DATE(YEAR(E15),MONTH(E15)+6,DAY(E15))</f>
        <v>39995</v>
      </c>
      <c r="F16" s="74">
        <f>MAX(IF(ISERROR(VLOOKUP(E16,$A$12:$B$52,2,0)),VLOOKUP(E16,$P$11:$S$52,4,0)/1000000,(VLOOKUP(E16,$A$12:$B$52,2,0))),0)</f>
        <v>0.86779542700000001</v>
      </c>
      <c r="G16" s="128">
        <f>F16*1000000</f>
        <v>867795.42700000003</v>
      </c>
      <c r="H16" s="64"/>
      <c r="I16" s="80">
        <f>E16</f>
        <v>39995</v>
      </c>
      <c r="J16" s="207">
        <f>$M$12*$N$7</f>
        <v>42635.199999999997</v>
      </c>
      <c r="K16" s="88">
        <f>($F$7/360)*($O$2/100)*M15</f>
        <v>27883.657761513376</v>
      </c>
      <c r="L16" s="90">
        <f>J16-K16</f>
        <v>14751.542238486621</v>
      </c>
      <c r="M16" s="79">
        <f>M15-L16</f>
        <v>943449.75540802127</v>
      </c>
      <c r="N16" s="92">
        <f>L16/M15</f>
        <v>1.5395034712141086E-2</v>
      </c>
      <c r="O16" s="52"/>
      <c r="P16" s="80">
        <f>I16</f>
        <v>39995</v>
      </c>
      <c r="Q16" s="97">
        <f ca="1">S15*N16</f>
        <v>14013.218424824066</v>
      </c>
      <c r="R16" s="98">
        <f ca="1">S15*$C$2/2</f>
        <v>22756.06825</v>
      </c>
      <c r="S16" s="99">
        <f ca="1">IF(P16&lt;$A$4,(VLOOKUP(P16,$A$11:$B$52,2,0)*$S$12),(S15-(Q16+R16)))</f>
        <v>867795.42700000003</v>
      </c>
      <c r="U16" s="80">
        <f>P16</f>
        <v>39995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41456</v>
      </c>
      <c r="B17" s="50">
        <v>0.46013020100000002</v>
      </c>
      <c r="C17" s="52"/>
      <c r="D17" s="70" t="str">
        <f ca="1">IF(E17&lt;$A$4,"Actual","Model Num")</f>
        <v>Actual</v>
      </c>
      <c r="E17" s="71">
        <f>DATE(YEAR(E16),MONTH(E16)+6,DAY(E16))</f>
        <v>40179</v>
      </c>
      <c r="F17" s="74">
        <f>MAX(IF(ISERROR(VLOOKUP(E17,$A$12:$B$52,2,0)),VLOOKUP(E17,$P$11:$S$52,4,0)/1000000,(VLOOKUP(E17,$A$12:$B$52,2,0))),0)</f>
        <v>0.79151974800000002</v>
      </c>
      <c r="G17" s="128">
        <f>F17*1000000</f>
        <v>791519.74800000002</v>
      </c>
      <c r="H17" s="64"/>
      <c r="I17" s="80">
        <f>E17</f>
        <v>40179</v>
      </c>
      <c r="J17" s="207">
        <f>$M$12*$N$7</f>
        <v>42635.199999999997</v>
      </c>
      <c r="K17" s="88">
        <f>($F$7/360)*($O$2/100)*M16</f>
        <v>27454.387882373416</v>
      </c>
      <c r="L17" s="90">
        <f>J17-K17</f>
        <v>15180.812117626581</v>
      </c>
      <c r="M17" s="79">
        <f>M16-L17</f>
        <v>928268.94329039473</v>
      </c>
      <c r="N17" s="92">
        <f>L17/M16</f>
        <v>1.6090747843865001E-2</v>
      </c>
      <c r="O17" s="52"/>
      <c r="P17" s="80">
        <f>I17</f>
        <v>40179</v>
      </c>
      <c r="Q17" s="97">
        <f ca="1">S16*N17</f>
        <v>13963.477395916158</v>
      </c>
      <c r="R17" s="98">
        <f ca="1">S16*$C$2/2</f>
        <v>21694.885675000001</v>
      </c>
      <c r="S17" s="99">
        <f ca="1">IF(P17&lt;$A$4,(VLOOKUP(P17,$A$11:$B$52,2,0)*$S$12),(S16-(Q17+R17)))</f>
        <v>791519.74800000002</v>
      </c>
      <c r="U17" s="80">
        <f>P17</f>
        <v>40179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41275</v>
      </c>
      <c r="B18" s="50">
        <v>0.50596878199999995</v>
      </c>
      <c r="C18" s="52"/>
      <c r="D18" s="70" t="str">
        <f ca="1">IF(E18&lt;$A$4,"Actual","Model Num")</f>
        <v>Actual</v>
      </c>
      <c r="E18" s="71">
        <f>DATE(YEAR(E17),MONTH(E17)+6,DAY(E17))</f>
        <v>40360</v>
      </c>
      <c r="F18" s="74">
        <f>MAX(IF(ISERROR(VLOOKUP(E18,$A$12:$B$52,2,0)),VLOOKUP(E18,$P$11:$S$52,4,0)/1000000,(VLOOKUP(E18,$A$12:$B$52,2,0))),0)</f>
        <v>0.73449591599999997</v>
      </c>
      <c r="G18" s="128">
        <f>F18*1000000</f>
        <v>734495.91599999997</v>
      </c>
      <c r="H18" s="64"/>
      <c r="I18" s="80">
        <f>E18</f>
        <v>40360</v>
      </c>
      <c r="J18" s="207">
        <f>$M$12*$N$7</f>
        <v>42635.199999999997</v>
      </c>
      <c r="K18" s="88">
        <f>($F$7/360)*($O$2/100)*M17</f>
        <v>27012.626249750483</v>
      </c>
      <c r="L18" s="90">
        <f>J18-K18</f>
        <v>15622.573750249514</v>
      </c>
      <c r="M18" s="79">
        <f>M17-L18</f>
        <v>912646.36954014527</v>
      </c>
      <c r="N18" s="92">
        <f>L18/M17</f>
        <v>1.6829792554378532E-2</v>
      </c>
      <c r="O18" s="52"/>
      <c r="P18" s="80">
        <f>I18</f>
        <v>40360</v>
      </c>
      <c r="Q18" s="97">
        <f ca="1">S17*N18</f>
        <v>13321.113161533973</v>
      </c>
      <c r="R18" s="98">
        <f ca="1">S17*$C$2/2</f>
        <v>19787.993700000003</v>
      </c>
      <c r="S18" s="99">
        <f ca="1">IF(P18&lt;$A$4,(VLOOKUP(P18,$A$11:$B$52,2,0)*$S$12),(S17-(Q18+R18)))</f>
        <v>734495.91599999997</v>
      </c>
      <c r="U18" s="80">
        <f>P18</f>
        <v>40360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41091</v>
      </c>
      <c r="B19" s="50">
        <v>0.54256111100000004</v>
      </c>
      <c r="C19" s="52"/>
      <c r="D19" s="70" t="str">
        <f ca="1">IF(E19&lt;$A$4,"Actual","Model Num")</f>
        <v>Actual</v>
      </c>
      <c r="E19" s="71">
        <f>DATE(YEAR(E18),MONTH(E18)+6,DAY(E18))</f>
        <v>40544</v>
      </c>
      <c r="F19" s="74">
        <f>MAX(IF(ISERROR(VLOOKUP(E19,$A$12:$B$52,2,0)),VLOOKUP(E19,$P$11:$S$52,4,0)/1000000,(VLOOKUP(E19,$A$12:$B$52,2,0))),0)</f>
        <v>0.66790616300000005</v>
      </c>
      <c r="G19" s="128">
        <f>F19*1000000</f>
        <v>667906.16300000006</v>
      </c>
      <c r="H19" s="64"/>
      <c r="I19" s="80">
        <f>E19</f>
        <v>40544</v>
      </c>
      <c r="J19" s="207">
        <f>$M$12*$N$7</f>
        <v>42635.199999999997</v>
      </c>
      <c r="K19" s="88">
        <f>($F$7/360)*($O$2/100)*M18</f>
        <v>26558.009353618225</v>
      </c>
      <c r="L19" s="90">
        <f>J19-K19</f>
        <v>16077.190646381772</v>
      </c>
      <c r="M19" s="79">
        <f>M18-L19</f>
        <v>896569.17889376346</v>
      </c>
      <c r="N19" s="92">
        <f>L19/M18</f>
        <v>1.7616013368335185E-2</v>
      </c>
      <c r="O19" s="52"/>
      <c r="P19" s="80">
        <f>I19</f>
        <v>40544</v>
      </c>
      <c r="Q19" s="97">
        <f ca="1">S18*N19</f>
        <v>12938.889875243596</v>
      </c>
      <c r="R19" s="98">
        <f ca="1">S18*$C$2/2</f>
        <v>18362.3979</v>
      </c>
      <c r="S19" s="99">
        <f ca="1">IF(P19&lt;$A$4,(VLOOKUP(P19,$A$11:$B$52,2,0)*$S$12),(S18-(Q19+R19)))</f>
        <v>667906.16300000006</v>
      </c>
      <c r="U19" s="80">
        <f>P19</f>
        <v>40544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40909</v>
      </c>
      <c r="B20" s="50">
        <v>0.57897452199999999</v>
      </c>
      <c r="C20" s="52"/>
      <c r="D20" s="70" t="str">
        <f ca="1">IF(E20&lt;$A$4,"Actual","Model Num")</f>
        <v>Actual</v>
      </c>
      <c r="E20" s="71">
        <f>DATE(YEAR(E19),MONTH(E19)+6,DAY(E19))</f>
        <v>40725</v>
      </c>
      <c r="F20" s="74">
        <f>MAX(IF(ISERROR(VLOOKUP(E20,$A$12:$B$52,2,0)),VLOOKUP(E20,$P$11:$S$52,4,0)/1000000,(VLOOKUP(E20,$A$12:$B$52,2,0))),0)</f>
        <v>0.63111315599999995</v>
      </c>
      <c r="G20" s="128">
        <f>F20*1000000</f>
        <v>631113.15599999996</v>
      </c>
      <c r="H20" s="64"/>
      <c r="I20" s="80">
        <f>E20</f>
        <v>40725</v>
      </c>
      <c r="J20" s="207">
        <f>$M$12*$N$7</f>
        <v>42635.199999999997</v>
      </c>
      <c r="K20" s="88">
        <f>($F$7/360)*($O$2/100)*M19</f>
        <v>26090.163105808515</v>
      </c>
      <c r="L20" s="90">
        <f>J20-K20</f>
        <v>16545.036894191482</v>
      </c>
      <c r="M20" s="79">
        <f>M19-L20</f>
        <v>880024.14199957193</v>
      </c>
      <c r="N20" s="92">
        <f>L20/M19</f>
        <v>1.8453720341586648E-2</v>
      </c>
      <c r="O20" s="52"/>
      <c r="P20" s="80">
        <f>I20</f>
        <v>40725</v>
      </c>
      <c r="Q20" s="97">
        <f ca="1">S19*N20</f>
        <v>12325.353546424189</v>
      </c>
      <c r="R20" s="98">
        <f ca="1">S19*$C$2/2</f>
        <v>16697.654075000002</v>
      </c>
      <c r="S20" s="99">
        <f ca="1">IF(P20&lt;$A$4,(VLOOKUP(P20,$A$11:$B$52,2,0)*$S$12),(S19-(Q20+R20)))</f>
        <v>631113.15599999996</v>
      </c>
      <c r="U20" s="80">
        <f>P20</f>
        <v>40725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40725</v>
      </c>
      <c r="B21" s="50">
        <v>0.63111315599999995</v>
      </c>
      <c r="C21" s="52"/>
      <c r="D21" s="70" t="str">
        <f ca="1">IF(E21&lt;$A$4,"Actual","Model Num")</f>
        <v>Actual</v>
      </c>
      <c r="E21" s="71">
        <f>DATE(YEAR(E20),MONTH(E20)+6,DAY(E20))</f>
        <v>40909</v>
      </c>
      <c r="F21" s="74">
        <f>MAX(IF(ISERROR(VLOOKUP(E21,$A$12:$B$52,2,0)),VLOOKUP(E21,$P$11:$S$52,4,0)/1000000,(VLOOKUP(E21,$A$12:$B$52,2,0))),0)</f>
        <v>0.57897452199999999</v>
      </c>
      <c r="G21" s="128">
        <f>F21*1000000</f>
        <v>578974.522</v>
      </c>
      <c r="H21" s="64"/>
      <c r="I21" s="80">
        <f>E21</f>
        <v>40909</v>
      </c>
      <c r="J21" s="207">
        <f>$M$12*$N$7</f>
        <v>42635.199999999997</v>
      </c>
      <c r="K21" s="88">
        <f>($F$7/360)*($O$2/100)*M20</f>
        <v>25608.702532187541</v>
      </c>
      <c r="L21" s="90">
        <f>J21-K21</f>
        <v>17026.497467812456</v>
      </c>
      <c r="M21" s="79">
        <f>M20-L21</f>
        <v>862997.64453175943</v>
      </c>
      <c r="N21" s="92">
        <f>L21/M20</f>
        <v>1.9347761788813218E-2</v>
      </c>
      <c r="O21" s="52"/>
      <c r="P21" s="80">
        <f>I21</f>
        <v>40909</v>
      </c>
      <c r="Q21" s="97">
        <f ca="1">S20*N21</f>
        <v>12210.627004074115</v>
      </c>
      <c r="R21" s="98">
        <f ca="1">S20*$C$2/2</f>
        <v>15777.8289</v>
      </c>
      <c r="S21" s="99">
        <f ca="1">IF(P21&lt;$A$4,(VLOOKUP(P21,$A$11:$B$52,2,0)*$S$12),(S20-(Q21+R21)))</f>
        <v>578974.522</v>
      </c>
      <c r="U21" s="80">
        <f>P21</f>
        <v>40909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40544</v>
      </c>
      <c r="B22" s="50">
        <v>0.66790616300000005</v>
      </c>
      <c r="C22" s="52"/>
      <c r="D22" s="70" t="str">
        <f ca="1">IF(E22&lt;$A$4,"Actual","Model Num")</f>
        <v>Actual</v>
      </c>
      <c r="E22" s="71">
        <f>DATE(YEAR(E21),MONTH(E21)+6,DAY(E21))</f>
        <v>41091</v>
      </c>
      <c r="F22" s="74">
        <f>MAX(IF(ISERROR(VLOOKUP(E22,$A$12:$B$52,2,0)),VLOOKUP(E22,$P$11:$S$52,4,0)/1000000,(VLOOKUP(E22,$A$12:$B$52,2,0))),0)</f>
        <v>0.54256111100000004</v>
      </c>
      <c r="G22" s="128">
        <f>F22*1000000</f>
        <v>542561.11100000003</v>
      </c>
      <c r="H22" s="64"/>
      <c r="I22" s="80">
        <f>E22</f>
        <v>41091</v>
      </c>
      <c r="J22" s="207">
        <f>$M$12*$N$7</f>
        <v>42635.199999999997</v>
      </c>
      <c r="K22" s="88">
        <f>($F$7/360)*($O$2/100)*M21</f>
        <v>25113.231455874196</v>
      </c>
      <c r="L22" s="90">
        <f>J22-K22</f>
        <v>17521.968544125801</v>
      </c>
      <c r="M22" s="79">
        <f>M21-L22</f>
        <v>845475.67598763364</v>
      </c>
      <c r="N22" s="92">
        <f>L22/M21</f>
        <v>2.0303611087644134E-2</v>
      </c>
      <c r="O22" s="52"/>
      <c r="P22" s="80">
        <f>I22</f>
        <v>41091</v>
      </c>
      <c r="Q22" s="97">
        <f ca="1">S21*N22</f>
        <v>11755.273524342663</v>
      </c>
      <c r="R22" s="98">
        <f ca="1">S21*$C$2/2</f>
        <v>14474.36305</v>
      </c>
      <c r="S22" s="99">
        <f ca="1">IF(P22&lt;$A$4,(VLOOKUP(P22,$A$11:$B$52,2,0)*$S$12),(S21-(Q22+R22)))</f>
        <v>542561.11100000003</v>
      </c>
      <c r="U22" s="80">
        <f>P22</f>
        <v>41091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40360</v>
      </c>
      <c r="B23" s="50">
        <v>0.73449591599999997</v>
      </c>
      <c r="C23" s="52"/>
      <c r="D23" s="70" t="str">
        <f ca="1">IF(E23&lt;$A$4,"Actual","Model Num")</f>
        <v>Actual</v>
      </c>
      <c r="E23" s="71">
        <f>DATE(YEAR(E22),MONTH(E22)+6,DAY(E22))</f>
        <v>41275</v>
      </c>
      <c r="F23" s="74">
        <f>MAX(IF(ISERROR(VLOOKUP(E23,$A$12:$B$52,2,0)),VLOOKUP(E23,$P$11:$S$52,4,0)/1000000,(VLOOKUP(E23,$A$12:$B$52,2,0))),0)</f>
        <v>0.50596878199999995</v>
      </c>
      <c r="G23" s="128">
        <f>F23*1000000</f>
        <v>505968.78199999995</v>
      </c>
      <c r="H23" s="64"/>
      <c r="I23" s="80">
        <f>E23</f>
        <v>41275</v>
      </c>
      <c r="J23" s="207">
        <f>$M$12*$N$7</f>
        <v>42635.199999999997</v>
      </c>
      <c r="K23" s="88">
        <f>($F$7/360)*($O$2/100)*M22</f>
        <v>24603.342171240136</v>
      </c>
      <c r="L23" s="90">
        <f>J23-K23</f>
        <v>18031.857828759861</v>
      </c>
      <c r="M23" s="79">
        <f>M22-L23</f>
        <v>827443.81815887382</v>
      </c>
      <c r="N23" s="92">
        <f>L23/M22</f>
        <v>2.1327470843789956E-2</v>
      </c>
      <c r="O23" s="52"/>
      <c r="P23" s="80">
        <f>I23</f>
        <v>41275</v>
      </c>
      <c r="Q23" s="97">
        <f ca="1">S22*N23</f>
        <v>11571.456275826786</v>
      </c>
      <c r="R23" s="98">
        <f ca="1">S22*$C$2/2</f>
        <v>13564.027775000002</v>
      </c>
      <c r="S23" s="99">
        <f ca="1">IF(P23&lt;$A$4,(VLOOKUP(P23,$A$11:$B$52,2,0)*$S$12),(S22-(Q23+R23)))</f>
        <v>505968.78199999995</v>
      </c>
      <c r="U23" s="80">
        <f>P23</f>
        <v>41275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40179</v>
      </c>
      <c r="B24" s="50">
        <v>0.79151974800000002</v>
      </c>
      <c r="C24" s="52"/>
      <c r="D24" s="70" t="str">
        <f ca="1">IF(E24&lt;$A$4,"Actual","Model Num")</f>
        <v>Actual</v>
      </c>
      <c r="E24" s="71">
        <f>DATE(YEAR(E23),MONTH(E23)+6,DAY(E23))</f>
        <v>41456</v>
      </c>
      <c r="F24" s="74">
        <f>MAX(IF(ISERROR(VLOOKUP(E24,$A$12:$B$52,2,0)),VLOOKUP(E24,$P$11:$S$52,4,0)/1000000,(VLOOKUP(E24,$A$12:$B$52,2,0))),0)</f>
        <v>0.46013020100000002</v>
      </c>
      <c r="G24" s="128">
        <f>F24*1000000</f>
        <v>460130.201</v>
      </c>
      <c r="H24" s="64"/>
      <c r="I24" s="80">
        <f>E24</f>
        <v>41456</v>
      </c>
      <c r="J24" s="207">
        <f>$M$12*$N$7</f>
        <v>42635.199999999997</v>
      </c>
      <c r="K24" s="88">
        <f>($F$7/360)*($O$2/100)*M23</f>
        <v>24078.615108423226</v>
      </c>
      <c r="L24" s="90">
        <f>J24-K24</f>
        <v>18556.584891576771</v>
      </c>
      <c r="M24" s="79">
        <f>M23-L24</f>
        <v>808887.23326729704</v>
      </c>
      <c r="N24" s="92">
        <f>L24/M23</f>
        <v>2.2426398607782942E-2</v>
      </c>
      <c r="O24" s="52"/>
      <c r="P24" s="80">
        <f>I24</f>
        <v>41456</v>
      </c>
      <c r="Q24" s="97">
        <f ca="1">S23*N24</f>
        <v>11347.057588226429</v>
      </c>
      <c r="R24" s="98">
        <f ca="1">S23*$C$2/2</f>
        <v>12649.21955</v>
      </c>
      <c r="S24" s="99">
        <f ca="1">IF(P24&lt;$A$4,(VLOOKUP(P24,$A$11:$B$52,2,0)*$S$12),(S23-(Q24+R24)))</f>
        <v>460130.201</v>
      </c>
      <c r="U24" s="80">
        <f>P24</f>
        <v>41456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39995</v>
      </c>
      <c r="B25" s="50">
        <v>0.86779542700000001</v>
      </c>
      <c r="C25" s="52"/>
      <c r="D25" s="70" t="str">
        <f ca="1">IF(E25&lt;$A$4,"Actual","Model Num")</f>
        <v>Actual</v>
      </c>
      <c r="E25" s="71">
        <f>DATE(YEAR(E24),MONTH(E24)+6,DAY(E24))</f>
        <v>41640</v>
      </c>
      <c r="F25" s="74">
        <f>MAX(IF(ISERROR(VLOOKUP(E25,$A$12:$B$52,2,0)),VLOOKUP(E25,$P$11:$S$52,4,0)/1000000,(VLOOKUP(E25,$A$12:$B$52,2,0))),0)</f>
        <v>0.41038945399999999</v>
      </c>
      <c r="G25" s="128">
        <f>F25*1000000</f>
        <v>410389.45399999997</v>
      </c>
      <c r="H25" s="64"/>
      <c r="I25" s="80">
        <f>E25</f>
        <v>41640</v>
      </c>
      <c r="J25" s="207">
        <f>$M$12*$N$7</f>
        <v>42635.199999999997</v>
      </c>
      <c r="K25" s="88">
        <f>($F$7/360)*($O$2/100)*M24</f>
        <v>23538.61848807834</v>
      </c>
      <c r="L25" s="90">
        <f>J25-K25</f>
        <v>19096.581511921657</v>
      </c>
      <c r="M25" s="79">
        <f>M24-L25</f>
        <v>789790.65175537532</v>
      </c>
      <c r="N25" s="92">
        <f>L25/M24</f>
        <v>2.3608459531232563E-2</v>
      </c>
      <c r="O25" s="52"/>
      <c r="P25" s="80">
        <f>I25</f>
        <v>41640</v>
      </c>
      <c r="Q25" s="97">
        <f ca="1">S24*N25</f>
        <v>10862.965229406405</v>
      </c>
      <c r="R25" s="98">
        <f ca="1">S24*$C$2/2</f>
        <v>11503.255025</v>
      </c>
      <c r="S25" s="99">
        <f ca="1">IF(P25&lt;$A$4,(VLOOKUP(P25,$A$11:$B$52,2,0)*$S$12),(S24-(Q25+R25)))</f>
        <v>410389.45399999997</v>
      </c>
      <c r="U25" s="80">
        <f>P25</f>
        <v>41640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39814</v>
      </c>
      <c r="B26" s="50">
        <v>0.91024273</v>
      </c>
      <c r="C26" s="52"/>
      <c r="D26" s="70" t="str">
        <f ca="1">IF(E26&lt;$A$4,"Actual","Model Num")</f>
        <v>Actual</v>
      </c>
      <c r="E26" s="71">
        <f>DATE(YEAR(E25),MONTH(E25)+6,DAY(E25))</f>
        <v>41821</v>
      </c>
      <c r="F26" s="74">
        <f>MAX(IF(ISERROR(VLOOKUP(E26,$A$12:$B$52,2,0)),VLOOKUP(E26,$P$11:$S$52,4,0)/1000000,(VLOOKUP(E26,$A$12:$B$52,2,0))),0)</f>
        <v>0.37126302799999999</v>
      </c>
      <c r="G26" s="128">
        <f>F26*1000000</f>
        <v>371263.02799999999</v>
      </c>
      <c r="H26" s="64"/>
      <c r="I26" s="80">
        <f>E26</f>
        <v>41821</v>
      </c>
      <c r="J26" s="207">
        <f>$M$12*$N$7</f>
        <v>42635.199999999997</v>
      </c>
      <c r="K26" s="88">
        <f>($F$7/360)*($O$2/100)*M25</f>
        <v>22982.90796608142</v>
      </c>
      <c r="L26" s="90">
        <f>J26-K26</f>
        <v>19652.292033918577</v>
      </c>
      <c r="M26" s="79">
        <f>M25-L26</f>
        <v>770138.35972145677</v>
      </c>
      <c r="N26" s="92">
        <f>L26/M25</f>
        <v>2.4882912946917926E-2</v>
      </c>
      <c r="O26" s="52"/>
      <c r="P26" s="80">
        <f>I26</f>
        <v>41821</v>
      </c>
      <c r="Q26" s="97">
        <f ca="1">S25*N26</f>
        <v>10211.685058215178</v>
      </c>
      <c r="R26" s="98">
        <f ca="1">S25*$C$2/2</f>
        <v>10259.736349999999</v>
      </c>
      <c r="S26" s="99">
        <f ca="1">IF(P26&lt;$A$4,(VLOOKUP(P26,$A$11:$B$52,2,0)*$S$12),(S25-(Q26+R26)))</f>
        <v>371263.02799999999</v>
      </c>
      <c r="U26" s="80">
        <f>P26</f>
        <v>41821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39630</v>
      </c>
      <c r="B27" s="50">
        <v>0.94783469799999998</v>
      </c>
      <c r="C27" s="52"/>
      <c r="D27" s="70" t="str">
        <f ca="1">IF(E27&lt;$A$4,"Actual","Model Num")</f>
        <v>Actual</v>
      </c>
      <c r="E27" s="71">
        <f>DATE(YEAR(E26),MONTH(E26)+6,DAY(E26))</f>
        <v>42005</v>
      </c>
      <c r="F27" s="74">
        <f>MAX(IF(ISERROR(VLOOKUP(E27,$A$12:$B$52,2,0)),VLOOKUP(E27,$P$11:$S$52,4,0)/1000000,(VLOOKUP(E27,$A$12:$B$52,2,0))),0)</f>
        <v>0.34806013899999999</v>
      </c>
      <c r="G27" s="128">
        <f>F27*1000000</f>
        <v>348060.13899999997</v>
      </c>
      <c r="H27" s="64"/>
      <c r="I27" s="80">
        <f>E27</f>
        <v>42005</v>
      </c>
      <c r="J27" s="207">
        <f>$M$12*$N$7</f>
        <v>42635.199999999997</v>
      </c>
      <c r="K27" s="88">
        <f>($F$7/360)*($O$2/100)*M26</f>
        <v>22411.026267894391</v>
      </c>
      <c r="L27" s="90">
        <f>J27-K27</f>
        <v>20224.173732105606</v>
      </c>
      <c r="M27" s="79">
        <f>M26-L27</f>
        <v>749914.18598935113</v>
      </c>
      <c r="N27" s="92">
        <f>L27/M26</f>
        <v>2.6260442006057552E-2</v>
      </c>
      <c r="O27" s="52"/>
      <c r="P27" s="80">
        <f>I27</f>
        <v>42005</v>
      </c>
      <c r="Q27" s="97">
        <f ca="1">S26*N27</f>
        <v>9749.5312157873213</v>
      </c>
      <c r="R27" s="98">
        <f ca="1">S26*$C$2/2</f>
        <v>9281.5756999999994</v>
      </c>
      <c r="S27" s="99">
        <f ca="1">IF(P27&lt;$A$4,(VLOOKUP(P27,$A$11:$B$52,2,0)*$S$12),(S26-(Q27+R27)))</f>
        <v>348060.13899999997</v>
      </c>
      <c r="U27" s="80">
        <f>P27</f>
        <v>42005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39448</v>
      </c>
      <c r="B28" s="50">
        <v>0.97935851900000004</v>
      </c>
      <c r="C28" s="52"/>
      <c r="D28" s="70" t="str">
        <f ca="1">IF(E28&lt;$A$4,"Actual","Model Num")</f>
        <v>Actual</v>
      </c>
      <c r="E28" s="71">
        <f>DATE(YEAR(E27),MONTH(E27)+6,DAY(E27))</f>
        <v>42186</v>
      </c>
      <c r="F28" s="74">
        <f>MAX(IF(ISERROR(VLOOKUP(E28,$A$12:$B$52,2,0)),VLOOKUP(E28,$P$11:$S$52,4,0)/1000000,(VLOOKUP(E28,$A$12:$B$52,2,0))),0)</f>
        <v>0.31438967699999998</v>
      </c>
      <c r="G28" s="128">
        <f>F28*1000000</f>
        <v>314389.67699999997</v>
      </c>
      <c r="H28" s="64"/>
      <c r="I28" s="80">
        <f>E28</f>
        <v>42186</v>
      </c>
      <c r="J28" s="207">
        <f>$M$12*$N$7</f>
        <v>42635.199999999997</v>
      </c>
      <c r="K28" s="88">
        <f>($F$7/360)*($O$2/100)*M27</f>
        <v>21822.502812290117</v>
      </c>
      <c r="L28" s="90">
        <f>J28-K28</f>
        <v>20812.69718770988</v>
      </c>
      <c r="M28" s="79">
        <f>M27-L28</f>
        <v>729101.48880164127</v>
      </c>
      <c r="N28" s="92">
        <f>L28/M27</f>
        <v>2.7753438428760997E-2</v>
      </c>
      <c r="O28" s="52"/>
      <c r="P28" s="80">
        <f>I28</f>
        <v>42186</v>
      </c>
      <c r="Q28" s="97">
        <f ca="1">S27*N28</f>
        <v>9659.8656372424939</v>
      </c>
      <c r="R28" s="98">
        <f ca="1">S27*$C$2/2</f>
        <v>8701.5034749999995</v>
      </c>
      <c r="S28" s="99">
        <f ca="1">IF(P28&lt;$A$4,(VLOOKUP(P28,$A$11:$B$52,2,0)*$S$12),(S27-(Q28+R28)))</f>
        <v>314389.67699999997</v>
      </c>
      <c r="U28" s="80">
        <f>P28</f>
        <v>42186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39274</v>
      </c>
      <c r="B29" s="50">
        <v>1</v>
      </c>
      <c r="C29" s="52"/>
      <c r="D29" s="70" t="str">
        <f ca="1">IF(E29&lt;$A$4,"Actual","Model Num")</f>
        <v>Actual</v>
      </c>
      <c r="E29" s="71">
        <f>DATE(YEAR(E28),MONTH(E28)+6,DAY(E28))</f>
        <v>42370</v>
      </c>
      <c r="F29" s="74">
        <f>MAX(IF(ISERROR(VLOOKUP(E29,$A$12:$B$52,2,0)),VLOOKUP(E29,$P$11:$S$52,4,0)/1000000,(VLOOKUP(E29,$A$12:$B$52,2,0))),0)</f>
        <v>0.28581009699999999</v>
      </c>
      <c r="G29" s="128">
        <f>F29*1000000</f>
        <v>285810.09700000001</v>
      </c>
      <c r="H29" s="64"/>
      <c r="I29" s="80">
        <f>E29</f>
        <v>42370</v>
      </c>
      <c r="J29" s="207">
        <f>$M$12*$N$7</f>
        <v>42635.199999999997</v>
      </c>
      <c r="K29" s="88">
        <f>($F$7/360)*($O$2/100)*M28</f>
        <v>21216.853324127758</v>
      </c>
      <c r="L29" s="90">
        <f>J29-K29</f>
        <v>21418.346675872239</v>
      </c>
      <c r="M29" s="79">
        <f>M28-L29</f>
        <v>707683.14212576905</v>
      </c>
      <c r="N29" s="92">
        <f>L29/M28</f>
        <v>2.9376358442328315E-2</v>
      </c>
      <c r="O29" s="52"/>
      <c r="P29" s="80">
        <f>I29</f>
        <v>42370</v>
      </c>
      <c r="Q29" s="97">
        <f ca="1">S28*N29</f>
        <v>9235.6238421198213</v>
      </c>
      <c r="R29" s="98">
        <f ca="1">S28*$C$2/2</f>
        <v>7859.7419249999994</v>
      </c>
      <c r="S29" s="99">
        <f ca="1">IF(P29&lt;$A$4,(VLOOKUP(P29,$A$11:$B$52,2,0)*$S$12),(S28-(Q29+R29)))</f>
        <v>285810.09700000001</v>
      </c>
      <c r="U29" s="80">
        <f>P29</f>
        <v>42370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/>
      <c r="B30" s="50"/>
      <c r="C30" s="52"/>
      <c r="D30" s="70" t="str">
        <f ca="1">IF(E30&lt;$A$4,"Actual","Model Num")</f>
        <v>Model Num</v>
      </c>
      <c r="E30" s="71">
        <f>DATE(YEAR(E29),MONTH(E29)+6,DAY(E29))</f>
        <v>42552</v>
      </c>
      <c r="F30" s="74">
        <f ca="1">MAX(IF(ISERROR(VLOOKUP(E30,$A$12:$B$52,2,0)),VLOOKUP(E30,$P$11:$S$52,4,0)/1000000,(VLOOKUP(E30,$A$12:$B$52,2,0))),0)</f>
        <v>0.26976295425647312</v>
      </c>
      <c r="G30" s="128">
        <f ca="1">F30*1000000</f>
        <v>269762.95425647311</v>
      </c>
      <c r="H30" s="64"/>
      <c r="I30" s="80">
        <f>E30</f>
        <v>42552</v>
      </c>
      <c r="J30" s="207">
        <f>$M$12*$N$7</f>
        <v>42635.199999999997</v>
      </c>
      <c r="K30" s="88">
        <f>($F$7/360)*($O$2/100)*M29</f>
        <v>20593.579435859876</v>
      </c>
      <c r="L30" s="90">
        <f>J30-K30</f>
        <v>22041.620564140121</v>
      </c>
      <c r="M30" s="79">
        <f>M29-L30</f>
        <v>685641.52156162891</v>
      </c>
      <c r="N30" s="92">
        <f>L30/M29</f>
        <v>3.1146171573241881E-2</v>
      </c>
      <c r="O30" s="52"/>
      <c r="P30" s="80">
        <f>I30</f>
        <v>42552</v>
      </c>
      <c r="Q30" s="97">
        <f ca="1">S29*N30</f>
        <v>8901.8903185269046</v>
      </c>
      <c r="R30" s="98">
        <f ca="1">S29*$C$2/2</f>
        <v>7145.2524250000006</v>
      </c>
      <c r="S30" s="99">
        <f ca="1">IF(P30&lt;$A$4,(VLOOKUP(P30,$A$11:$B$52,2,0)*$S$12),(S29-(Q30+R30)))</f>
        <v>269762.95425647311</v>
      </c>
      <c r="U30" s="80">
        <f>P30</f>
        <v>42552</v>
      </c>
      <c r="V30" s="97">
        <f ca="1">IF(U30&lt;$A$4,0,(YEARFRAC($A$4,U30,1)))</f>
        <v>0.22950819672131148</v>
      </c>
      <c r="W30" s="141">
        <f ca="1">V30*(S29-S30)</f>
        <v>3682.9507935963379</v>
      </c>
    </row>
    <row r="31" spans="1:23">
      <c r="A31" s="49"/>
      <c r="B31" s="50"/>
      <c r="C31" s="52"/>
      <c r="D31" s="70" t="str">
        <f ca="1">IF(E31&lt;$A$4,"Actual","Model Num")</f>
        <v>Model Num</v>
      </c>
      <c r="E31" s="71">
        <f>DATE(YEAR(E30),MONTH(E30)+6,DAY(E30))</f>
        <v>42736</v>
      </c>
      <c r="F31" s="74">
        <f ca="1">MAX(IF(ISERROR(VLOOKUP(E31,$A$12:$B$52,2,0)),VLOOKUP(E31,$P$11:$S$52,4,0)/1000000,(VLOOKUP(E31,$A$12:$B$52,2,0))),0)</f>
        <v>0.25409433097220091</v>
      </c>
      <c r="G31" s="128">
        <f ca="1">F31*1000000</f>
        <v>254094.3309722009</v>
      </c>
      <c r="H31" s="64"/>
      <c r="I31" s="80">
        <f>E31</f>
        <v>42736</v>
      </c>
      <c r="J31" s="207">
        <f>$M$12*$N$7</f>
        <v>42635.199999999997</v>
      </c>
      <c r="K31" s="88">
        <f>($F$7/360)*($O$2/100)*M30</f>
        <v>19952.168277443401</v>
      </c>
      <c r="L31" s="90">
        <f>J31-K31</f>
        <v>22683.031722556596</v>
      </c>
      <c r="M31" s="79">
        <f>M30-L31</f>
        <v>662958.48983907234</v>
      </c>
      <c r="N31" s="92">
        <f>L31/M30</f>
        <v>3.3082931837169566E-2</v>
      </c>
      <c r="O31" s="52"/>
      <c r="P31" s="80">
        <f>I31</f>
        <v>42736</v>
      </c>
      <c r="Q31" s="97">
        <f ca="1">S30*N31</f>
        <v>8924.549427860391</v>
      </c>
      <c r="R31" s="98">
        <f ca="1">S30*$C$2/2</f>
        <v>6744.0738564118283</v>
      </c>
      <c r="S31" s="99">
        <f ca="1">IF(P31&lt;$A$4,(VLOOKUP(P31,$A$11:$B$52,2,0)*$S$12),(S30-(Q31+R31)))</f>
        <v>254094.3309722009</v>
      </c>
      <c r="U31" s="80">
        <f>P31</f>
        <v>42736</v>
      </c>
      <c r="V31" s="97">
        <f ca="1">IF(U31&lt;$A$4,0,(YEARFRAC($A$4,U31,1)))</f>
        <v>0.73424657534246573</v>
      </c>
      <c r="W31" s="141">
        <f ca="1">V31*(S30-S31)</f>
        <v>11504.632986808088</v>
      </c>
    </row>
    <row r="32" spans="1:23">
      <c r="A32" s="49"/>
      <c r="B32" s="50"/>
      <c r="C32" s="52"/>
      <c r="D32" s="70" t="str">
        <f ca="1">IF(E32&lt;$A$4,"Actual","Model Num")</f>
        <v>Model Num</v>
      </c>
      <c r="E32" s="71">
        <f>DATE(YEAR(E31),MONTH(E31)+6,DAY(E31))</f>
        <v>42917</v>
      </c>
      <c r="F32" s="74">
        <f ca="1">MAX(IF(ISERROR(VLOOKUP(E32,$A$12:$B$52,2,0)),VLOOKUP(E32,$P$11:$S$52,4,0)/1000000,(VLOOKUP(E32,$A$12:$B$52,2,0))),0)</f>
        <v>0.2387951811759863</v>
      </c>
      <c r="G32" s="128">
        <f ca="1">F32*1000000</f>
        <v>238795.1811759863</v>
      </c>
      <c r="H32" s="64"/>
      <c r="I32" s="80">
        <f>E32</f>
        <v>42917</v>
      </c>
      <c r="J32" s="207">
        <f>$M$12*$N$7</f>
        <v>42635.199999999997</v>
      </c>
      <c r="K32" s="88">
        <f>($F$7/360)*($O$2/100)*M31</f>
        <v>19292.092054317003</v>
      </c>
      <c r="L32" s="90">
        <f>J32-K32</f>
        <v>23343.107945682994</v>
      </c>
      <c r="M32" s="79">
        <f>M31-L32</f>
        <v>639615.38189338939</v>
      </c>
      <c r="N32" s="92">
        <f>L32/M31</f>
        <v>3.5210512126255956E-2</v>
      </c>
      <c r="O32" s="52"/>
      <c r="P32" s="80">
        <f>I32</f>
        <v>42917</v>
      </c>
      <c r="Q32" s="97">
        <f ca="1">S31*N32</f>
        <v>8946.7915219095739</v>
      </c>
      <c r="R32" s="98">
        <f ca="1">S31*$C$2/2</f>
        <v>6352.3582743050229</v>
      </c>
      <c r="S32" s="99">
        <f ca="1">IF(P32&lt;$A$4,(VLOOKUP(P32,$A$11:$B$52,2,0)*$S$12),(S31-(Q32+R32)))</f>
        <v>238795.1811759863</v>
      </c>
      <c r="U32" s="80">
        <f>P32</f>
        <v>42917</v>
      </c>
      <c r="V32" s="97">
        <f ca="1">IF(U32&lt;$A$4,0,(YEARFRAC($A$4,U32,1)))</f>
        <v>1.2284541723666211</v>
      </c>
      <c r="W32" s="141">
        <f ca="1">V32*(S31-S32)</f>
        <v>18794.304400821762</v>
      </c>
    </row>
    <row r="33" spans="1:23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43101</v>
      </c>
      <c r="F33" s="74">
        <f ca="1">MAX(IF(ISERROR(VLOOKUP(E33,$A$12:$B$52,2,0)),VLOOKUP(E33,$P$11:$S$52,4,0)/1000000,(VLOOKUP(E33,$A$12:$B$52,2,0))),0)</f>
        <v>0.22385673756151103</v>
      </c>
      <c r="G33" s="128">
        <f ca="1">F33*1000000</f>
        <v>223856.73756151102</v>
      </c>
      <c r="H33" s="64"/>
      <c r="I33" s="80">
        <f>E33</f>
        <v>43101</v>
      </c>
      <c r="J33" s="207">
        <f>$M$12*$N$7</f>
        <v>42635.199999999997</v>
      </c>
      <c r="K33" s="88">
        <f>($F$7/360)*($O$2/100)*M32</f>
        <v>18612.80761309763</v>
      </c>
      <c r="L33" s="90">
        <f>J33-K33</f>
        <v>24022.392386902367</v>
      </c>
      <c r="M33" s="79">
        <f>M32-L33</f>
        <v>615592.98950648704</v>
      </c>
      <c r="N33" s="92">
        <f>L33/M32</f>
        <v>3.755755891265667E-2</v>
      </c>
      <c r="O33" s="52"/>
      <c r="P33" s="80">
        <f>I33</f>
        <v>43101</v>
      </c>
      <c r="Q33" s="97">
        <f ca="1">S32*N33</f>
        <v>8968.5640850756281</v>
      </c>
      <c r="R33" s="98">
        <f ca="1">S32*$C$2/2</f>
        <v>5969.8795293996582</v>
      </c>
      <c r="S33" s="99">
        <f ca="1">IF(P33&lt;$A$4,(VLOOKUP(P33,$A$11:$B$52,2,0)*$S$12),(S32-(Q33+R33)))</f>
        <v>223856.73756151102</v>
      </c>
      <c r="U33" s="80">
        <f>P33</f>
        <v>43101</v>
      </c>
      <c r="V33" s="97">
        <f ca="1">IF(U33&lt;$A$4,0,(YEARFRAC($A$4,U33,1)))</f>
        <v>1.7326642335766425</v>
      </c>
      <c r="W33" s="141">
        <f ca="1">V33*(S32-S33)</f>
        <v>25883.306956102704</v>
      </c>
    </row>
    <row r="34" spans="1:23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43282</v>
      </c>
      <c r="F34" s="74">
        <f ca="1">MAX(IF(ISERROR(VLOOKUP(E34,$A$12:$B$52,2,0)),VLOOKUP(E34,$P$11:$S$52,4,0)/1000000,(VLOOKUP(E34,$A$12:$B$52,2,0))),0)</f>
        <v>0.20927051271274413</v>
      </c>
      <c r="G34" s="128">
        <f ca="1">F34*1000000</f>
        <v>209270.51271274412</v>
      </c>
      <c r="H34" s="64"/>
      <c r="I34" s="80">
        <f>E34</f>
        <v>43282</v>
      </c>
      <c r="J34" s="207">
        <f>$M$12*$N$7</f>
        <v>42635.199999999997</v>
      </c>
      <c r="K34" s="88">
        <f>($F$7/360)*($O$2/100)*M33</f>
        <v>17913.75599463877</v>
      </c>
      <c r="L34" s="90">
        <f>J34-K34</f>
        <v>24721.444005361227</v>
      </c>
      <c r="M34" s="79">
        <f>M33-L34</f>
        <v>590871.54550112586</v>
      </c>
      <c r="N34" s="92">
        <f>L34/M33</f>
        <v>4.0158748437307726E-2</v>
      </c>
      <c r="O34" s="52"/>
      <c r="P34" s="80">
        <f>I34</f>
        <v>43282</v>
      </c>
      <c r="Q34" s="97">
        <f ca="1">S33*N34</f>
        <v>8989.8064097291372</v>
      </c>
      <c r="R34" s="98">
        <f ca="1">S33*$C$2/2</f>
        <v>5596.4184390377759</v>
      </c>
      <c r="S34" s="99">
        <f ca="1">IF(P34&lt;$A$4,(VLOOKUP(P34,$A$11:$B$52,2,0)*$S$12),(S33-(Q34+R34)))</f>
        <v>209270.51271274412</v>
      </c>
      <c r="U34" s="80">
        <f>P34</f>
        <v>43282</v>
      </c>
      <c r="V34" s="97">
        <f ca="1">IF(U34&lt;$A$4,0,(YEARFRAC($A$4,U34,1)))</f>
        <v>2.2281021897810218</v>
      </c>
      <c r="W34" s="141">
        <f ca="1">V34*(S33-S34)</f>
        <v>32499.59952617588</v>
      </c>
    </row>
    <row r="35" spans="1:23">
      <c r="A35" s="49"/>
      <c r="B35" s="50"/>
      <c r="D35" s="70" t="str">
        <f ca="1">IF(E35&lt;$A$4,"Actual","Model Num")</f>
        <v>Model Num</v>
      </c>
      <c r="E35" s="71">
        <f>DATE(YEAR(E34),MONTH(E34)+6,DAY(E34))</f>
        <v>43466</v>
      </c>
      <c r="F35" s="74">
        <f ca="1">MAX(IF(ISERROR(VLOOKUP(E35,$A$12:$B$52,2,0)),VLOOKUP(E35,$P$11:$S$52,4,0)/1000000,(VLOOKUP(E35,$A$12:$B$52,2,0))),0)</f>
        <v>0.19502830209444766</v>
      </c>
      <c r="G35" s="128">
        <f ca="1">F35*1000000</f>
        <v>195028.30209444766</v>
      </c>
      <c r="I35" s="80">
        <f>E35</f>
        <v>43466</v>
      </c>
      <c r="J35" s="207">
        <f>$M$12*$N$7</f>
        <v>42635.199999999997</v>
      </c>
      <c r="K35" s="88">
        <f>($F$7/360)*($O$2/100)*M34</f>
        <v>17194.36197408276</v>
      </c>
      <c r="L35" s="90">
        <f>J35-K35</f>
        <v>25440.838025917237</v>
      </c>
      <c r="M35" s="79">
        <f>M34-L35</f>
        <v>565430.70747520868</v>
      </c>
      <c r="N35" s="92">
        <f>L35/M34</f>
        <v>4.3056461627950848E-2</v>
      </c>
      <c r="O35" s="52"/>
      <c r="P35" s="80">
        <f>I35</f>
        <v>43466</v>
      </c>
      <c r="Q35" s="97">
        <f ca="1">S34*N35</f>
        <v>9010.4478004778666</v>
      </c>
      <c r="R35" s="98">
        <f ca="1">S34*$C$2/2</f>
        <v>5231.7628178186033</v>
      </c>
      <c r="S35" s="99">
        <f ca="1">IF(P35&lt;$A$4,(VLOOKUP(P35,$A$11:$B$52,2,0)*$S$12),(S34-(Q35+R35)))</f>
        <v>195028.30209444766</v>
      </c>
      <c r="U35" s="80">
        <f>P35</f>
        <v>43466</v>
      </c>
      <c r="V35" s="97">
        <f ca="1">IF(U35&lt;$A$4,0,(YEARFRAC($A$4,U35,1)))</f>
        <v>2.732375085557837</v>
      </c>
      <c r="W35" s="141">
        <f ca="1">V35*(S34-S35)</f>
        <v>38915.061456700532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43647</v>
      </c>
      <c r="F36" s="74">
        <f ca="1">MAX(IF(ISERROR(VLOOKUP(E36,$A$12:$B$52,2,0)),VLOOKUP(E36,$P$11:$S$52,4,0)/1000000,(VLOOKUP(E36,$A$12:$B$52,2,0))),0)</f>
        <v>0.18112218928681412</v>
      </c>
      <c r="G36" s="128">
        <f ca="1">F36*1000000</f>
        <v>181122.18928681413</v>
      </c>
      <c r="I36" s="80">
        <f>E36</f>
        <v>43647</v>
      </c>
      <c r="J36" s="207">
        <f>$M$12*$N$7</f>
        <v>42635.199999999997</v>
      </c>
      <c r="K36" s="88">
        <f>($F$7/360)*($O$2/100)*M35</f>
        <v>16454.033587528571</v>
      </c>
      <c r="L36" s="90">
        <f>J36-K36</f>
        <v>26181.166412471426</v>
      </c>
      <c r="M36" s="79">
        <f>M35-L36</f>
        <v>539249.54106273723</v>
      </c>
      <c r="N36" s="92">
        <f>L36/M35</f>
        <v>4.6303050163966096E-2</v>
      </c>
      <c r="O36" s="52"/>
      <c r="P36" s="80">
        <f>I36</f>
        <v>43647</v>
      </c>
      <c r="Q36" s="97">
        <f ca="1">S35*N36</f>
        <v>9030.4052552723442</v>
      </c>
      <c r="R36" s="98">
        <f ca="1">S35*$C$2/2</f>
        <v>4875.707552361192</v>
      </c>
      <c r="S36" s="99">
        <f ca="1">IF(P36&lt;$A$4,(VLOOKUP(P36,$A$11:$B$52,2,0)*$S$12),(S35-(Q36+R36)))</f>
        <v>181122.18928681413</v>
      </c>
      <c r="U36" s="80">
        <f>P36</f>
        <v>43647</v>
      </c>
      <c r="V36" s="97">
        <f ca="1">IF(U36&lt;$A$4,0,(YEARFRAC($A$4,U36,1)))</f>
        <v>3.2279260780287475</v>
      </c>
      <c r="W36" s="141">
        <f ca="1">V36*(S35-S36)</f>
        <v>44887.904175769836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43831</v>
      </c>
      <c r="F37" s="74">
        <f ca="1">MAX(IF(ISERROR(VLOOKUP(E37,$A$12:$B$52,2,0)),VLOOKUP(E37,$P$11:$S$52,4,0)/1000000,(VLOOKUP(E37,$A$12:$B$52,2,0))),0)</f>
        <v>0.16754455412608682</v>
      </c>
      <c r="G37" s="128">
        <f ca="1">F37*1000000</f>
        <v>167544.55412608682</v>
      </c>
      <c r="I37" s="80">
        <f>E37</f>
        <v>43831</v>
      </c>
      <c r="J37" s="207">
        <f>$M$12*$N$7</f>
        <v>42635.199999999997</v>
      </c>
      <c r="K37" s="88">
        <f>($F$7/360)*($O$2/100)*M36</f>
        <v>15692.161644925653</v>
      </c>
      <c r="L37" s="90">
        <f>J37-K37</f>
        <v>26943.038355074343</v>
      </c>
      <c r="M37" s="79">
        <f>M36-L37</f>
        <v>512306.50270766288</v>
      </c>
      <c r="N37" s="92">
        <f>L37/M36</f>
        <v>4.9963952314128611E-2</v>
      </c>
      <c r="O37" s="52"/>
      <c r="P37" s="80">
        <f>I37</f>
        <v>43831</v>
      </c>
      <c r="Q37" s="97">
        <f ca="1">S36*N37</f>
        <v>9049.5804285569575</v>
      </c>
      <c r="R37" s="98">
        <f ca="1">S36*$C$2/2</f>
        <v>4528.0547321703534</v>
      </c>
      <c r="S37" s="99">
        <f ca="1">IF(P37&lt;$A$4,(VLOOKUP(P37,$A$11:$B$52,2,0)*$S$12),(S36-(Q37+R37)))</f>
        <v>167544.55412608682</v>
      </c>
      <c r="U37" s="80">
        <f>P37</f>
        <v>43831</v>
      </c>
      <c r="V37" s="97">
        <f ca="1">IF(U37&lt;$A$4,0,(YEARFRAC($A$4,U37,1)))</f>
        <v>3.7301587301587302</v>
      </c>
      <c r="W37" s="141">
        <f ca="1">V37*(S36-S37)</f>
        <v>50646.734329697108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44013</v>
      </c>
      <c r="F38" s="74">
        <f ca="1">MAX(IF(ISERROR(VLOOKUP(E38,$A$12:$B$52,2,0)),VLOOKUP(E38,$P$11:$S$52,4,0)/1000000,(VLOOKUP(E38,$A$12:$B$52,2,0))),0)</f>
        <v>0.15428808468164862</v>
      </c>
      <c r="G38" s="128">
        <f ca="1">F38*1000000</f>
        <v>154288.08468164862</v>
      </c>
      <c r="I38" s="80">
        <f>E38</f>
        <v>44013</v>
      </c>
      <c r="J38" s="207">
        <f>$M$12*$N$7</f>
        <v>42635.199999999997</v>
      </c>
      <c r="K38" s="88">
        <f>($F$7/360)*($O$2/100)*M37</f>
        <v>14908.119228792988</v>
      </c>
      <c r="L38" s="90">
        <f>J38-K38</f>
        <v>27727.080771207009</v>
      </c>
      <c r="M38" s="79">
        <f>M37-L38</f>
        <v>484579.42193645588</v>
      </c>
      <c r="N38" s="92">
        <f>L38/M37</f>
        <v>5.4122055106977422E-2</v>
      </c>
      <c r="O38" s="52"/>
      <c r="P38" s="80">
        <f>I38</f>
        <v>44013</v>
      </c>
      <c r="Q38" s="97">
        <f ca="1">S37*N38</f>
        <v>9067.855591286032</v>
      </c>
      <c r="R38" s="98">
        <f ca="1">S37*$C$2/2</f>
        <v>4188.613853152171</v>
      </c>
      <c r="S38" s="99">
        <f ca="1">IF(P38&lt;$A$4,(VLOOKUP(P38,$A$11:$B$52,2,0)*$S$12),(S37-(Q38+R38)))</f>
        <v>154288.08468164862</v>
      </c>
      <c r="U38" s="80">
        <f>P38</f>
        <v>44013</v>
      </c>
      <c r="V38" s="97">
        <f ca="1">IF(U38&lt;$A$4,0,(YEARFRAC($A$4,U38,1)))</f>
        <v>4.2282430213464695</v>
      </c>
      <c r="W38" s="141">
        <f ca="1">V38*(S37-S38)</f>
        <v>56051.574416138545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44197</v>
      </c>
      <c r="F39" s="74">
        <f ca="1">MAX(IF(ISERROR(VLOOKUP(E39,$A$12:$B$52,2,0)),VLOOKUP(E39,$P$11:$S$52,4,0)/1000000,(VLOOKUP(E39,$A$12:$B$52,2,0))),0)</f>
        <v>0.14134579440377978</v>
      </c>
      <c r="G39" s="128">
        <f ca="1">F39*1000000</f>
        <v>141345.79440377979</v>
      </c>
      <c r="I39" s="80">
        <f>E39</f>
        <v>44197</v>
      </c>
      <c r="J39" s="207">
        <f>$M$12*$N$7</f>
        <v>42635.199999999997</v>
      </c>
      <c r="K39" s="88">
        <f>($F$7/360)*($O$2/100)*M38</f>
        <v>14101.261178350866</v>
      </c>
      <c r="L39" s="90">
        <f>J39-K39</f>
        <v>28533.938821649132</v>
      </c>
      <c r="M39" s="79">
        <f>M38-L39</f>
        <v>456045.48311480676</v>
      </c>
      <c r="N39" s="92">
        <f>L39/M38</f>
        <v>5.8883925998390534E-2</v>
      </c>
      <c r="O39" s="52"/>
      <c r="P39" s="80">
        <f>I39</f>
        <v>44197</v>
      </c>
      <c r="Q39" s="97">
        <f ca="1">S38*N39</f>
        <v>9085.0881608276086</v>
      </c>
      <c r="R39" s="98">
        <f ca="1">S38*$C$2/2</f>
        <v>3857.2021170412154</v>
      </c>
      <c r="S39" s="99">
        <f ca="1">IF(P39&lt;$A$4,(VLOOKUP(P39,$A$11:$B$52,2,0)*$S$12),(S38-(Q39+R39)))</f>
        <v>141345.79440377979</v>
      </c>
      <c r="U39" s="80">
        <f>P39</f>
        <v>44197</v>
      </c>
      <c r="V39" s="97">
        <f ca="1">IF(U39&lt;$A$4,0,(YEARFRAC($A$4,U39,1)))</f>
        <v>4.7326642335766422</v>
      </c>
      <c r="W39" s="141">
        <f ca="1">V39*(S38-S39)</f>
        <v>61251.51429863651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44378</v>
      </c>
      <c r="F40" s="74">
        <f ca="1">MAX(IF(ISERROR(VLOOKUP(E40,$A$12:$B$52,2,0)),VLOOKUP(E40,$P$11:$S$52,4,0)/1000000,(VLOOKUP(E40,$A$12:$B$52,2,0))),0)</f>
        <v>0.12871104639856054</v>
      </c>
      <c r="G40" s="128">
        <f ca="1">F40*1000000</f>
        <v>128711.04639856055</v>
      </c>
      <c r="I40" s="80">
        <f>E40</f>
        <v>44378</v>
      </c>
      <c r="J40" s="207">
        <f>$M$12*$N$7</f>
        <v>42635.199999999997</v>
      </c>
      <c r="K40" s="88">
        <f>($F$7/360)*($O$2/100)*M39</f>
        <v>13270.923558640876</v>
      </c>
      <c r="L40" s="90">
        <f>J40-K40</f>
        <v>29364.276441359121</v>
      </c>
      <c r="M40" s="79">
        <f>M39-L40</f>
        <v>426681.20667344762</v>
      </c>
      <c r="N40" s="92">
        <f>L40/M39</f>
        <v>6.4388920685717735E-2</v>
      </c>
      <c r="O40" s="52"/>
      <c r="P40" s="80">
        <f>I40</f>
        <v>44378</v>
      </c>
      <c r="Q40" s="97">
        <f ca="1">S39*N40</f>
        <v>9101.1031451247418</v>
      </c>
      <c r="R40" s="98">
        <f ca="1">S39*$C$2/2</f>
        <v>3533.644860094495</v>
      </c>
      <c r="S40" s="99">
        <f ca="1">IF(P40&lt;$A$4,(VLOOKUP(P40,$A$11:$B$52,2,0)*$S$12),(S39-(Q40+R40)))</f>
        <v>128711.04639856055</v>
      </c>
      <c r="U40" s="80">
        <f>P40</f>
        <v>44378</v>
      </c>
      <c r="V40" s="97">
        <f ca="1">IF(U40&lt;$A$4,0,(YEARFRAC($A$4,U40,1)))</f>
        <v>5.2281021897810218</v>
      </c>
      <c r="W40" s="141">
        <f ca="1">V40*(S39-S40)</f>
        <v>66055.753713418104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44562</v>
      </c>
      <c r="F41" s="74">
        <f ca="1">MAX(IF(ISERROR(VLOOKUP(E41,$A$12:$B$52,2,0)),VLOOKUP(E41,$P$11:$S$52,4,0)/1000000,(VLOOKUP(E41,$A$12:$B$52,2,0))),0)</f>
        <v>0.11637758777350721</v>
      </c>
      <c r="G41" s="128">
        <f ca="1">F41*1000000</f>
        <v>116377.58777350721</v>
      </c>
      <c r="I41" s="80">
        <f>E41</f>
        <v>44562</v>
      </c>
      <c r="J41" s="207">
        <f>$M$12*$N$7</f>
        <v>42635.199999999997</v>
      </c>
      <c r="K41" s="88">
        <f>($F$7/360)*($O$2/100)*M40</f>
        <v>12416.423114197325</v>
      </c>
      <c r="L41" s="90">
        <f>J41-K41</f>
        <v>30218.776885802672</v>
      </c>
      <c r="M41" s="79">
        <f>M40-L41</f>
        <v>396462.42978764494</v>
      </c>
      <c r="N41" s="92">
        <f>L41/M40</f>
        <v>7.082284481521596E-2</v>
      </c>
      <c r="O41" s="52"/>
      <c r="P41" s="80">
        <f>I41</f>
        <v>44562</v>
      </c>
      <c r="Q41" s="97">
        <f ca="1">S40*N41</f>
        <v>9115.6824650893141</v>
      </c>
      <c r="R41" s="98">
        <f ca="1">S40*$C$2/2</f>
        <v>3217.7761599640139</v>
      </c>
      <c r="S41" s="99">
        <f ca="1">IF(P41&lt;$A$4,(VLOOKUP(P41,$A$11:$B$52,2,0)*$S$12),(S40-(Q41+R41)))</f>
        <v>116377.58777350721</v>
      </c>
      <c r="U41" s="80">
        <f>P41</f>
        <v>44562</v>
      </c>
      <c r="V41" s="97">
        <f ca="1">IF(U41&lt;$A$4,0,(YEARFRAC($A$4,U41,1)))</f>
        <v>5.7324990222917487</v>
      </c>
      <c r="W41" s="141">
        <f ca="1">V41*(S40-S41)</f>
        <v>70701.53950959396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44743</v>
      </c>
      <c r="F42" s="74">
        <f ca="1">MAX(IF(ISERROR(VLOOKUP(E42,$A$12:$B$52,2,0)),VLOOKUP(E42,$P$11:$S$52,4,0)/1000000,(VLOOKUP(E42,$A$12:$B$52,2,0))),0)</f>
        <v>0.10433959861577247</v>
      </c>
      <c r="G42" s="128">
        <f ca="1">F42*1000000</f>
        <v>104339.59861577247</v>
      </c>
      <c r="I42" s="80">
        <f>E42</f>
        <v>44743</v>
      </c>
      <c r="J42" s="207">
        <f>$M$12*$N$7</f>
        <v>42635.199999999997</v>
      </c>
      <c r="K42" s="88">
        <f>($F$7/360)*($O$2/100)*M41</f>
        <v>11537.056706820467</v>
      </c>
      <c r="L42" s="90">
        <f>J42-K42</f>
        <v>31098.143293179528</v>
      </c>
      <c r="M42" s="79">
        <f>M41-L42</f>
        <v>365364.28649446543</v>
      </c>
      <c r="N42" s="92">
        <f>L42/M41</f>
        <v>7.8439067504672416E-2</v>
      </c>
      <c r="O42" s="52"/>
      <c r="P42" s="80">
        <f>I42</f>
        <v>44743</v>
      </c>
      <c r="Q42" s="97">
        <f ca="1">S41*N42</f>
        <v>9128.549463397072</v>
      </c>
      <c r="R42" s="98">
        <f ca="1">S41*$C$2/2</f>
        <v>2909.4396943376805</v>
      </c>
      <c r="S42" s="99">
        <f ca="1">IF(P42&lt;$A$4,(VLOOKUP(P42,$A$11:$B$52,2,0)*$S$12),(S41-(Q42+R42)))</f>
        <v>104339.59861577247</v>
      </c>
      <c r="U42" s="80">
        <f>P42</f>
        <v>44743</v>
      </c>
      <c r="V42" s="97">
        <f ca="1">IF(U42&lt;$A$4,0,(YEARFRAC($A$4,U42,1)))</f>
        <v>6.2280015643332032</v>
      </c>
      <c r="W42" s="141">
        <f ca="1">V42*(S41-S42)</f>
        <v>74972.615305798128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44927</v>
      </c>
      <c r="F43" s="74">
        <f ca="1">MAX(IF(ISERROR(VLOOKUP(E43,$A$12:$B$52,2,0)),VLOOKUP(E43,$P$11:$S$52,4,0)/1000000,(VLOOKUP(E43,$A$12:$B$52,2,0))),0)</f>
        <v>9.2591762920663886E-2</v>
      </c>
      <c r="G43" s="128">
        <f ca="1">F43*1000000</f>
        <v>92591.762920663881</v>
      </c>
      <c r="I43" s="80">
        <f>E43</f>
        <v>44927</v>
      </c>
      <c r="J43" s="207">
        <f>$M$12*$N$7</f>
        <v>42635.199999999997</v>
      </c>
      <c r="K43" s="88">
        <f>($F$7/360)*($O$2/100)*M42</f>
        <v>10632.100736988943</v>
      </c>
      <c r="L43" s="90">
        <f>J43-K43</f>
        <v>32003.099263011056</v>
      </c>
      <c r="M43" s="79">
        <f>M42-L43</f>
        <v>333361.18723145436</v>
      </c>
      <c r="N43" s="92">
        <f>L43/M42</f>
        <v>8.7592302931599864E-2</v>
      </c>
      <c r="O43" s="52"/>
      <c r="P43" s="80">
        <f>I43</f>
        <v>44927</v>
      </c>
      <c r="Q43" s="97">
        <f ca="1">S42*N43</f>
        <v>9139.3457297142795</v>
      </c>
      <c r="R43" s="98">
        <f ca="1">S42*$C$2/2</f>
        <v>2608.4899653943121</v>
      </c>
      <c r="S43" s="99">
        <f ca="1">IF(P43&lt;$A$4,(VLOOKUP(P43,$A$11:$B$52,2,0)*$S$12),(S42-(Q43+R43)))</f>
        <v>92591.762920663881</v>
      </c>
      <c r="U43" s="80">
        <f>P43</f>
        <v>44927</v>
      </c>
      <c r="V43" s="97">
        <f ca="1">IF(U43&lt;$A$4,0,(YEARFRAC($A$4,U43,1)))</f>
        <v>6.7323750855578375</v>
      </c>
      <c r="W43" s="141">
        <f ca="1">V43*(S42-S43)</f>
        <v>79090.836342976094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45108</v>
      </c>
      <c r="F44" s="74">
        <f ca="1">MAX(IF(ISERROR(VLOOKUP(E44,$A$12:$B$52,2,0)),VLOOKUP(E44,$P$11:$S$52,4,0)/1000000,(VLOOKUP(E44,$A$12:$B$52,2,0))),0)</f>
        <v>8.1129373696089233E-2</v>
      </c>
      <c r="G44" s="128">
        <f ca="1">F44*1000000</f>
        <v>81129.373696089227</v>
      </c>
      <c r="I44" s="80">
        <f>E44</f>
        <v>45108</v>
      </c>
      <c r="J44" s="207">
        <f>$M$12*$N$7</f>
        <v>42635.199999999997</v>
      </c>
      <c r="K44" s="88">
        <f>($F$7/360)*($O$2/100)*M43</f>
        <v>9700.8105484353218</v>
      </c>
      <c r="L44" s="90">
        <f>J44-K44</f>
        <v>32934.389451564675</v>
      </c>
      <c r="M44" s="79">
        <f>M43-L44</f>
        <v>300426.79777988966</v>
      </c>
      <c r="N44" s="92">
        <f>L44/M43</f>
        <v>9.8794912884378958E-2</v>
      </c>
      <c r="O44" s="52"/>
      <c r="P44" s="80">
        <f>I44</f>
        <v>45108</v>
      </c>
      <c r="Q44" s="97">
        <f ca="1">S43*N44</f>
        <v>9147.5951515580582</v>
      </c>
      <c r="R44" s="98">
        <f ca="1">S43*$C$2/2</f>
        <v>2314.7940730165969</v>
      </c>
      <c r="S44" s="99">
        <f ca="1">IF(P44&lt;$A$4,(VLOOKUP(P44,$A$11:$B$52,2,0)*$S$12),(S43-(Q44+R44)))</f>
        <v>81129.373696089227</v>
      </c>
      <c r="U44" s="80">
        <f>P44</f>
        <v>45108</v>
      </c>
      <c r="V44" s="97">
        <f ca="1">IF(U44&lt;$A$4,0,(YEARFRAC($A$4,U44,1)))</f>
        <v>7.2279260780287471</v>
      </c>
      <c r="W44" s="141">
        <f ca="1">V44*(S43-S44)</f>
        <v>82849.301992818844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45292</v>
      </c>
      <c r="F45" s="74">
        <f ca="1">MAX(IF(ISERROR(VLOOKUP(E45,$A$12:$B$52,2,0)),VLOOKUP(E45,$P$11:$S$52,4,0)/1000000,(VLOOKUP(E45,$A$12:$B$52,2,0))),0)</f>
        <v>6.9948493685869986E-2</v>
      </c>
      <c r="G45" s="128">
        <f ca="1">F45*1000000</f>
        <v>69948.49368586998</v>
      </c>
      <c r="I45" s="80">
        <f>E45</f>
        <v>45292</v>
      </c>
      <c r="J45" s="207">
        <f>$M$12*$N$7</f>
        <v>42635.199999999997</v>
      </c>
      <c r="K45" s="88">
        <f>($F$7/360)*($O$2/100)*M44</f>
        <v>8742.4198153947891</v>
      </c>
      <c r="L45" s="90">
        <f>J45-K45</f>
        <v>33892.78018460521</v>
      </c>
      <c r="M45" s="79">
        <f>M44-L45</f>
        <v>266534.01759528444</v>
      </c>
      <c r="N45" s="92">
        <f>L45/M44</f>
        <v>0.11281543602324402</v>
      </c>
      <c r="O45" s="52"/>
      <c r="P45" s="80">
        <f>I45</f>
        <v>45292</v>
      </c>
      <c r="Q45" s="97">
        <f ca="1">S44*N45</f>
        <v>9152.6456678170107</v>
      </c>
      <c r="R45" s="98">
        <f ca="1">S44*$C$2/2</f>
        <v>2028.2343424022308</v>
      </c>
      <c r="S45" s="99">
        <f ca="1">IF(P45&lt;$A$4,(VLOOKUP(P45,$A$11:$B$52,2,0)*$S$12),(S44-(Q45+R45)))</f>
        <v>69948.49368586998</v>
      </c>
      <c r="U45" s="80">
        <f>P45</f>
        <v>45292</v>
      </c>
      <c r="V45" s="97">
        <f ca="1">IF(U45&lt;$A$4,0,(YEARFRAC($A$4,U45,1)))</f>
        <v>7.7299270072992705</v>
      </c>
      <c r="W45" s="141">
        <f ca="1">V45*(S44-S45)</f>
        <v>86427.386356366304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45474</v>
      </c>
      <c r="F46" s="74">
        <f ca="1">MAX(IF(ISERROR(VLOOKUP(E46,$A$12:$B$52,2,0)),VLOOKUP(E46,$P$11:$S$52,4,0)/1000000,(VLOOKUP(E46,$A$12:$B$52,2,0))),0)</f>
        <v>5.9046211618009846E-2</v>
      </c>
      <c r="G46" s="128">
        <f ca="1">F46*1000000</f>
        <v>59046.211618009846</v>
      </c>
      <c r="I46" s="80">
        <f>E46</f>
        <v>45474</v>
      </c>
      <c r="J46" s="207">
        <f>$M$12*$N$7</f>
        <v>42635.199999999997</v>
      </c>
      <c r="K46" s="88">
        <f>($F$7/360)*($O$2/100)*M45</f>
        <v>7756.139912022777</v>
      </c>
      <c r="L46" s="90">
        <f>J46-K46</f>
        <v>34879.060087977217</v>
      </c>
      <c r="M46" s="79">
        <f>M45-L46</f>
        <v>231654.95750730723</v>
      </c>
      <c r="N46" s="92">
        <f>L46/M45</f>
        <v>0.13086157032660248</v>
      </c>
      <c r="O46" s="52"/>
      <c r="P46" s="80">
        <f>I46</f>
        <v>45474</v>
      </c>
      <c r="Q46" s="97">
        <f ca="1">S45*N46</f>
        <v>9153.5697257133834</v>
      </c>
      <c r="R46" s="98">
        <f ca="1">S45*$C$2/2</f>
        <v>1748.7123421467495</v>
      </c>
      <c r="S46" s="99">
        <f ca="1">IF(P46&lt;$A$4,(VLOOKUP(P46,$A$11:$B$52,2,0)*$S$12),(S45-(Q46+R46)))</f>
        <v>59046.211618009846</v>
      </c>
      <c r="U46" s="80">
        <f>P46</f>
        <v>45474</v>
      </c>
      <c r="V46" s="97">
        <f ca="1">IF(U46&lt;$A$4,0,(YEARFRAC($A$4,U46,1)))</f>
        <v>8.2281021897810227</v>
      </c>
      <c r="W46" s="141">
        <f ca="1">V46*(S45-S46)</f>
        <v>89705.090956170345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45658</v>
      </c>
      <c r="F47" s="74">
        <f ca="1">MAX(IF(ISERROR(VLOOKUP(E47,$A$12:$B$52,2,0)),VLOOKUP(E47,$P$11:$S$52,4,0)/1000000,(VLOOKUP(E47,$A$12:$B$52,2,0))),0)</f>
        <v>4.8421073944619676E-2</v>
      </c>
      <c r="G47" s="128">
        <f ca="1">F47*1000000</f>
        <v>48421.073944619675</v>
      </c>
      <c r="I47" s="80">
        <f>E47</f>
        <v>45658</v>
      </c>
      <c r="J47" s="207">
        <f>$M$12*$N$7</f>
        <v>42635.199999999997</v>
      </c>
      <c r="K47" s="88">
        <f>($F$7/360)*($O$2/100)*M46</f>
        <v>6741.1592634626395</v>
      </c>
      <c r="L47" s="90">
        <f>J47-K47</f>
        <v>35894.040736537354</v>
      </c>
      <c r="M47" s="79">
        <f>M46-L47</f>
        <v>195760.91677076987</v>
      </c>
      <c r="N47" s="92">
        <f>L47/M46</f>
        <v>0.1549461368009149</v>
      </c>
      <c r="O47" s="52"/>
      <c r="P47" s="80">
        <f>I47</f>
        <v>45658</v>
      </c>
      <c r="Q47" s="97">
        <f ca="1">S46*N47</f>
        <v>9148.9823829399247</v>
      </c>
      <c r="R47" s="98">
        <f ca="1">S46*$C$2/2</f>
        <v>1476.1552904502462</v>
      </c>
      <c r="S47" s="99">
        <f ca="1">IF(P47&lt;$A$4,(VLOOKUP(P47,$A$11:$B$52,2,0)*$S$12),(S46-(Q47+R47)))</f>
        <v>48421.073944619675</v>
      </c>
      <c r="U47" s="80">
        <f>P47</f>
        <v>45658</v>
      </c>
      <c r="V47" s="97">
        <f ca="1">IF(U47&lt;$A$4,0,(YEARFRAC($A$4,U47,1)))</f>
        <v>8.7325485901998352</v>
      </c>
      <c r="W47" s="141">
        <f ca="1">V47*(S46-S47)</f>
        <v>92784.531010442486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45839</v>
      </c>
      <c r="F48" s="74">
        <f ca="1">MAX(IF(ISERROR(VLOOKUP(E48,$A$12:$B$52,2,0)),VLOOKUP(E48,$P$11:$S$52,4,0)/1000000,(VLOOKUP(E48,$A$12:$B$52,2,0))),0)</f>
        <v>3.8073868309456034E-2</v>
      </c>
      <c r="G48" s="128">
        <f ca="1">F48*1000000</f>
        <v>38073.868309456033</v>
      </c>
      <c r="I48" s="80">
        <f>E48</f>
        <v>45839</v>
      </c>
      <c r="J48" s="207">
        <f>$M$12*$N$7</f>
        <v>42635.199999999997</v>
      </c>
      <c r="K48" s="88">
        <f>($F$7/360)*($O$2/100)*M47</f>
        <v>5696.6426780294023</v>
      </c>
      <c r="L48" s="90">
        <f>J48-K48</f>
        <v>36938.557321970598</v>
      </c>
      <c r="M48" s="79">
        <f>M47-L48</f>
        <v>158822.35944879928</v>
      </c>
      <c r="N48" s="92">
        <f>L48/M47</f>
        <v>0.18869219623253264</v>
      </c>
      <c r="O48" s="52"/>
      <c r="P48" s="80">
        <f>I48</f>
        <v>45839</v>
      </c>
      <c r="Q48" s="97">
        <f ca="1">S47*N48</f>
        <v>9136.6787865481492</v>
      </c>
      <c r="R48" s="98">
        <f ca="1">S47*$C$2/2</f>
        <v>1210.5268486154919</v>
      </c>
      <c r="S48" s="99">
        <f ca="1">IF(P48&lt;$A$4,(VLOOKUP(P48,$A$11:$B$52,2,0)*$S$12),(S47-(Q48+R48)))</f>
        <v>38073.868309456033</v>
      </c>
      <c r="U48" s="80">
        <f>P48</f>
        <v>45839</v>
      </c>
      <c r="V48" s="97">
        <f ca="1">IF(U48&lt;$A$4,0,(YEARFRAC($A$4,U48,1)))</f>
        <v>9.2280317547221458</v>
      </c>
      <c r="W48" s="141">
        <f ca="1">V48*(S47-S48)</f>
        <v>95484.342173930025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46023</v>
      </c>
      <c r="F49" s="74">
        <f ca="1">MAX(IF(ISERROR(VLOOKUP(E49,$A$12:$B$52,2,0)),VLOOKUP(E49,$P$11:$S$52,4,0)/1000000,(VLOOKUP(E49,$A$12:$B$52,2,0))),0)</f>
        <v>2.8009200015003385E-2</v>
      </c>
      <c r="G49" s="128">
        <f ca="1">F49*1000000</f>
        <v>28009.200015003385</v>
      </c>
      <c r="I49" s="80">
        <f>E49</f>
        <v>46023</v>
      </c>
      <c r="J49" s="207">
        <f>$M$12*$N$7</f>
        <v>42635.199999999997</v>
      </c>
      <c r="K49" s="88">
        <f>($F$7/360)*($O$2/100)*M48</f>
        <v>4621.7306599600588</v>
      </c>
      <c r="L49" s="90">
        <f>J49-K49</f>
        <v>38013.469340039941</v>
      </c>
      <c r="M49" s="79">
        <f>M48-L49</f>
        <v>120808.89010875934</v>
      </c>
      <c r="N49" s="92">
        <f>L49/M48</f>
        <v>0.2393458293401983</v>
      </c>
      <c r="O49" s="52"/>
      <c r="P49" s="80">
        <f>I49</f>
        <v>46023</v>
      </c>
      <c r="Q49" s="97">
        <f ca="1">S48*N49</f>
        <v>9112.8215867162471</v>
      </c>
      <c r="R49" s="98">
        <f ca="1">S48*$C$2/2</f>
        <v>951.84670773640084</v>
      </c>
      <c r="S49" s="99">
        <f ca="1">IF(P49&lt;$A$4,(VLOOKUP(P49,$A$11:$B$52,2,0)*$S$12),(S48-(Q49+R49)))</f>
        <v>28009.200015003385</v>
      </c>
      <c r="U49" s="80">
        <f>P49</f>
        <v>46023</v>
      </c>
      <c r="V49" s="97">
        <f ca="1">IF(U49&lt;$A$4,0,(YEARFRAC($A$4,U49,1)))</f>
        <v>9.7324539571926341</v>
      </c>
      <c r="W49" s="141">
        <f ca="1">V49*(S48-S49)</f>
        <v>97953.920770176905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46204</v>
      </c>
      <c r="F50" s="74">
        <f ca="1">MAX(IF(ISERROR(VLOOKUP(E50,$A$12:$B$52,2,0)),VLOOKUP(E50,$P$11:$S$52,4,0)/1000000,(VLOOKUP(E50,$A$12:$B$52,2,0))),0)</f>
        <v>1.8239187014189948E-2</v>
      </c>
      <c r="G50" s="128">
        <f ca="1">F50*1000000</f>
        <v>18239.187014189949</v>
      </c>
      <c r="I50" s="80">
        <f>E50</f>
        <v>46204</v>
      </c>
      <c r="J50" s="207">
        <f>$M$12*$N$7</f>
        <v>42635.199999999997</v>
      </c>
      <c r="K50" s="88">
        <f>($F$7/360)*($O$2/100)*M49</f>
        <v>3515.5387021648967</v>
      </c>
      <c r="L50" s="90">
        <f>J50-K50</f>
        <v>39119.661297835104</v>
      </c>
      <c r="M50" s="79">
        <f>M49-L50</f>
        <v>81689.228810924236</v>
      </c>
      <c r="N50" s="92">
        <f>L50/M49</f>
        <v>0.32381442510246772</v>
      </c>
      <c r="O50" s="52"/>
      <c r="P50" s="80">
        <f>I50</f>
        <v>46204</v>
      </c>
      <c r="Q50" s="97">
        <f ca="1">S49*N50</f>
        <v>9069.7830004383522</v>
      </c>
      <c r="R50" s="98">
        <f ca="1">S49*$C$2/2</f>
        <v>700.23000037508473</v>
      </c>
      <c r="S50" s="99">
        <f ca="1">IF(P50&lt;$A$4,(VLOOKUP(P50,$A$11:$B$52,2,0)*$S$12),(S49-(Q50+R50)))</f>
        <v>18239.187014189949</v>
      </c>
      <c r="U50" s="80">
        <f>P50</f>
        <v>46204</v>
      </c>
      <c r="V50" s="97">
        <f ca="1">IF(U50&lt;$A$4,0,(YEARFRAC($A$4,U50,1)))</f>
        <v>10.22797411647586</v>
      </c>
      <c r="W50" s="141">
        <f ca="1">V50*(S49-S50)</f>
        <v>99927.440089952477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46388</v>
      </c>
      <c r="F51" s="74">
        <f ca="1">MAX(IF(ISERROR(VLOOKUP(E51,$A$12:$B$52,2,0)),VLOOKUP(E51,$P$11:$S$52,4,0)/1000000,(VLOOKUP(E51,$A$12:$B$52,2,0))),0)</f>
        <v>8.7945806392700047E-3</v>
      </c>
      <c r="G51" s="128">
        <f ca="1">F51*1000000</f>
        <v>8794.5806392700051</v>
      </c>
      <c r="I51" s="80">
        <f>E51</f>
        <v>46388</v>
      </c>
      <c r="J51" s="207">
        <f>$M$12*$N$7</f>
        <v>42635.199999999997</v>
      </c>
      <c r="K51" s="88">
        <f>($F$7/360)*($O$2/100)*M50</f>
        <v>2377.156558397895</v>
      </c>
      <c r="L51" s="90">
        <f>J51-K51</f>
        <v>40258.043441602102</v>
      </c>
      <c r="M51" s="79">
        <f>M50-L51</f>
        <v>41431.185369322135</v>
      </c>
      <c r="N51" s="92">
        <f>L51/M50</f>
        <v>0.4928194821716621</v>
      </c>
      <c r="O51" s="52"/>
      <c r="P51" s="80">
        <f>I51</f>
        <v>46388</v>
      </c>
      <c r="Q51" s="97">
        <f ca="1">S50*N51</f>
        <v>8988.6266995651949</v>
      </c>
      <c r="R51" s="98">
        <f ca="1">S50*$C$2/2</f>
        <v>455.97967535474874</v>
      </c>
      <c r="S51" s="99">
        <f ca="1">IF(P51&lt;$A$4,(VLOOKUP(P51,$A$11:$B$52,2,0)*$S$12),(S50-(Q51+R51)))</f>
        <v>8794.5806392700051</v>
      </c>
      <c r="U51" s="80">
        <f>P51</f>
        <v>46388</v>
      </c>
      <c r="V51" s="97">
        <f ca="1">IF(U51&lt;$A$4,0,(YEARFRAC($A$4,U51,1)))</f>
        <v>10.732375085557837</v>
      </c>
      <c r="W51" s="141">
        <f ca="1">V51*(S50-S51)</f>
        <v>101363.05815109154</v>
      </c>
    </row>
    <row r="52" spans="1:23" s="82" customFormat="1" ht="13.5" thickBot="1">
      <c r="A52" s="49"/>
      <c r="B52" s="50"/>
      <c r="D52" s="66" t="str">
        <f ca="1">IF(E52&lt;$A$4,"Actual","Model Num")</f>
        <v>Model Num</v>
      </c>
      <c r="E52" s="71">
        <f>DATE(YEAR(E51),MONTH(E51)+6,DAY(E51))</f>
        <v>46569</v>
      </c>
      <c r="F52" s="74">
        <f>MAX(IF(ISERROR(VLOOKUP(E52,$A$12:$B$52,2,0)),VLOOKUP(E52,$P$11:$S$52,4,0)/1000000,(VLOOKUP(E52,$A$12:$B$52,2,0))),0)</f>
        <v>0</v>
      </c>
      <c r="G52" s="103">
        <f>F52*1000000</f>
        <v>0</v>
      </c>
      <c r="H52" s="83"/>
      <c r="I52" s="84">
        <f>E52</f>
        <v>46569</v>
      </c>
      <c r="J52" s="209">
        <f>$M$12*$N$7</f>
        <v>42635.199999999997</v>
      </c>
      <c r="K52" s="89">
        <f>($F$7/360)*($O$2/100)*M51</f>
        <v>1205.6474942472739</v>
      </c>
      <c r="L52" s="91">
        <f>J52-K52</f>
        <v>41429.552505752727</v>
      </c>
      <c r="M52" s="85">
        <f>M51-L52</f>
        <v>1.6328635694080731</v>
      </c>
      <c r="N52" s="93">
        <f>L52/M51</f>
        <v>0.99996058853844383</v>
      </c>
      <c r="O52" s="86"/>
      <c r="P52" s="84">
        <f>I52</f>
        <v>46569</v>
      </c>
      <c r="Q52" s="100"/>
      <c r="R52" s="101"/>
      <c r="S52" s="102">
        <v>0</v>
      </c>
      <c r="U52" s="142">
        <f>P52</f>
        <v>46569</v>
      </c>
      <c r="V52" s="143">
        <f ca="1">IF(U52&lt;$A$4,0,(YEARFRAC($A$4,U52,1)))</f>
        <v>11.227926078028748</v>
      </c>
      <c r="W52" s="141">
        <f ca="1">V52*(S51-S52)</f>
        <v>98744.90130498643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A10:B10"/>
    <mergeCell ref="U10:W10"/>
    <mergeCell ref="I10:N10"/>
    <mergeCell ref="P10:S10"/>
    <mergeCell ref="D10:G10"/>
  </mergeCells>
  <phoneticPr fontId="2" type="noConversion"/>
  <conditionalFormatting sqref="A1:XFD2 D12:G52">
    <cfRule type="expression" dxfId="51" priority="1" stopIfTrue="1">
      <formula>$D1="Actual"</formula>
    </cfRule>
  </conditionalFormatting>
  <conditionalFormatting sqref="A4">
    <cfRule type="expression" dxfId="50" priority="2" stopIfTrue="1">
      <formula>#REF!="Actual"</formula>
    </cfRule>
  </conditionalFormatting>
  <conditionalFormatting sqref="C6:C9">
    <cfRule type="cellIs" dxfId="49" priority="3" stopIfTrue="1" operator="equal">
      <formula>"PROB!!"</formula>
    </cfRule>
  </conditionalFormatting>
  <conditionalFormatting sqref="A7">
    <cfRule type="expression" dxfId="48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4"/>
  </sheetPr>
  <dimension ref="A1:W53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7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20" customFormat="1" ht="11.25">
      <c r="A1" s="203" t="s">
        <v>17</v>
      </c>
      <c r="B1" s="120" t="s">
        <v>44</v>
      </c>
      <c r="C1" s="120" t="s">
        <v>68</v>
      </c>
      <c r="D1" s="120" t="s">
        <v>69</v>
      </c>
      <c r="E1" s="120" t="s">
        <v>34</v>
      </c>
      <c r="F1" s="120" t="s">
        <v>54</v>
      </c>
      <c r="G1" s="120" t="s">
        <v>65</v>
      </c>
      <c r="H1" s="120" t="s">
        <v>64</v>
      </c>
      <c r="I1" s="120" t="s">
        <v>74</v>
      </c>
      <c r="J1" s="120" t="s">
        <v>75</v>
      </c>
      <c r="K1" s="120" t="s">
        <v>77</v>
      </c>
      <c r="L1" s="120" t="s">
        <v>76</v>
      </c>
      <c r="M1" s="120" t="s">
        <v>48</v>
      </c>
      <c r="N1" s="120" t="s">
        <v>62</v>
      </c>
      <c r="O1" s="120" t="s">
        <v>94</v>
      </c>
      <c r="U1" s="130"/>
      <c r="V1" s="130"/>
      <c r="W1" s="130"/>
    </row>
    <row r="2" spans="1:23" s="52" customFormat="1" ht="12" thickBot="1">
      <c r="A2" s="52" t="s">
        <v>11</v>
      </c>
      <c r="B2" s="52" t="str">
        <f>MID(A2,3,9)</f>
        <v>83162CQV8</v>
      </c>
      <c r="C2" s="52">
        <v>0.05</v>
      </c>
      <c r="D2" s="52">
        <f>IF(ISERROR(VLOOKUP(A2,'Bond Position per Summit'!$C$42:$E$56,3,0)),0,VLOOKUP(A2,'Bond Position per Summit'!$C$42:$E$56,3,0))</f>
        <v>11073373.76</v>
      </c>
      <c r="E2" s="52">
        <f>IF(ISERROR(VLOOKUP(A2,'Bond Position per Summit'!$C$65:$E$73,3,0)),0,VLOOKUP(A2,'Bond Position per Summit'!$C$65:$E$73,3,0))</f>
        <v>0</v>
      </c>
      <c r="F2" s="52" t="str">
        <f>_xll.BDP($B2&amp;" Mtge Cusip",F$1)</f>
        <v>SBAP 2007-20B 1</v>
      </c>
      <c r="G2" s="52">
        <f>VLOOKUP(A2,'Bond Position per Summit'!$C$10:$D$32,2,0)</f>
        <v>16000000</v>
      </c>
      <c r="H2" s="52">
        <f>VLOOKUP(A2,'Bond Position per Summit'!$C$10:$E$32,3,0)</f>
        <v>11073373.76</v>
      </c>
      <c r="I2" s="52" t="str">
        <f>_xll.BDP($B2&amp;" Mtge Cusip",I$1)</f>
        <v>14/02/2007</v>
      </c>
      <c r="J2" s="52" t="str">
        <f>_xll.BDP($B2&amp;" Mtge Cusip",J$1)</f>
        <v>14/02/2007</v>
      </c>
      <c r="K2" s="52" t="str">
        <f>_xll.BDP($B2&amp;" Mtge Cusip",K$1)</f>
        <v>01/08/2007</v>
      </c>
      <c r="L2" s="52" t="str">
        <f>_xll.BDP($B2&amp;" Mtge Cusip",L$1)</f>
        <v>01/02/2027</v>
      </c>
      <c r="M2" s="52">
        <f>_xll.BDP($B2&amp;" Mtge Cusip",M$1)</f>
        <v>2</v>
      </c>
      <c r="N2" s="52" t="str">
        <f>_xll.BDP($B2&amp;" Mtge Cusip",N$1)</f>
        <v>30/360(104)</v>
      </c>
      <c r="O2" s="52">
        <f>_xll.BDP($B2&amp;" Mtge Cusip",O$1)</f>
        <v>5.49</v>
      </c>
      <c r="U2" s="67"/>
      <c r="V2" s="67"/>
      <c r="W2" s="67"/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16000000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0.22897288070300001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167</v>
      </c>
      <c r="I6" s="108" t="s">
        <v>81</v>
      </c>
      <c r="J6" s="118">
        <v>39515</v>
      </c>
      <c r="K6" s="113">
        <f>ROUND(J6/J5,8)</f>
        <v>3.9515000000000002E-2</v>
      </c>
      <c r="L6" s="108" t="s">
        <v>81</v>
      </c>
      <c r="M6" s="112">
        <v>632236</v>
      </c>
      <c r="N6" s="113">
        <f>ROUND(M6/M5,8)</f>
        <v>3.9514750000000001E-2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41497</v>
      </c>
      <c r="K7" s="115">
        <f>ROUND(J7/J5,8)</f>
        <v>4.1496999999999999E-2</v>
      </c>
      <c r="L7" s="109" t="s">
        <v>82</v>
      </c>
      <c r="M7" s="114">
        <v>663956</v>
      </c>
      <c r="N7" s="115">
        <f>ROUND(M7/M5,8)</f>
        <v>4.1497249999999999E-2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5.0340704645143655</v>
      </c>
    </row>
    <row r="12" spans="1:23">
      <c r="A12" s="49">
        <f>_xll.BDS($B2&amp;" Mtge Cusip",A11,"cols=2;rows=19")</f>
        <v>42401</v>
      </c>
      <c r="B12" s="50">
        <v>0.22897288099999999</v>
      </c>
      <c r="C12" s="52"/>
      <c r="D12" s="70" t="str">
        <f ca="1">IF(E12&lt;$A$4,"Actual","Model Num")</f>
        <v>Actual</v>
      </c>
      <c r="E12" s="71">
        <v>39127</v>
      </c>
      <c r="F12" s="74">
        <f>MAX(IF(ISERROR(VLOOKUP(E12,$A$12:$B$52,2,0)),VLOOKUP(E12,$P$11:$S$52,4,0)/1000000,(VLOOKUP(E12,$A$12:$B$52,2,0))),0)</f>
        <v>1</v>
      </c>
      <c r="G12" s="128">
        <f>F12*1000000</f>
        <v>1000000</v>
      </c>
      <c r="H12" s="64"/>
      <c r="I12" s="80">
        <f>E12</f>
        <v>39127</v>
      </c>
      <c r="J12" s="61">
        <v>0</v>
      </c>
      <c r="K12" s="87">
        <v>0</v>
      </c>
      <c r="L12" s="63">
        <v>0</v>
      </c>
      <c r="M12" s="65">
        <f>J5</f>
        <v>1000000</v>
      </c>
      <c r="N12" s="92"/>
      <c r="O12" s="52"/>
      <c r="P12" s="80">
        <f>I12</f>
        <v>39127</v>
      </c>
      <c r="Q12" s="94"/>
      <c r="R12" s="95"/>
      <c r="S12" s="96">
        <f>M12</f>
        <v>1000000</v>
      </c>
      <c r="U12" s="139">
        <f>P12</f>
        <v>39127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42217</v>
      </c>
      <c r="B13" s="50">
        <v>0.27826837500000001</v>
      </c>
      <c r="C13" s="52"/>
      <c r="D13" s="70" t="str">
        <f ca="1">IF(E13&lt;$A$4,"Actual","Model Num")</f>
        <v>Actual</v>
      </c>
      <c r="E13" s="71">
        <v>39295</v>
      </c>
      <c r="F13" s="74">
        <f>MAX(IF(ISERROR(VLOOKUP(E13,$A$12:$B$52,2,0)),VLOOKUP(E13,$P$11:$S$52,4,0)/1000000,(VLOOKUP(E13,$A$12:$B$52,2,0))),0)</f>
        <v>0.98405031099999996</v>
      </c>
      <c r="G13" s="128">
        <f>F13*1000000</f>
        <v>984050.31099999999</v>
      </c>
      <c r="H13" s="64"/>
      <c r="I13" s="80">
        <f>E13</f>
        <v>39295</v>
      </c>
      <c r="J13" s="207">
        <f>$M$12*$N$6</f>
        <v>39514.75</v>
      </c>
      <c r="K13" s="88">
        <f>($F$6/360)*($O$2/100)*M12</f>
        <v>25467.500000000004</v>
      </c>
      <c r="L13" s="90">
        <f>J13-K13</f>
        <v>14047.249999999996</v>
      </c>
      <c r="M13" s="79">
        <f>M12-L13</f>
        <v>985952.75</v>
      </c>
      <c r="N13" s="208">
        <f>L13/M12</f>
        <v>1.4047249999999996E-2</v>
      </c>
      <c r="O13" s="52"/>
      <c r="P13" s="80">
        <f>I13</f>
        <v>39295</v>
      </c>
      <c r="Q13" s="97">
        <f>S12*N13</f>
        <v>14047.249999999996</v>
      </c>
      <c r="R13" s="98">
        <f>S12*$C$2/2</f>
        <v>25000</v>
      </c>
      <c r="S13" s="99">
        <f ca="1">IF(P13&lt;$A$4,(VLOOKUP(P13,$A$11:$B$52,2,0)*$S$12),(S12-(Q13+R13)))</f>
        <v>984050.31099999999</v>
      </c>
      <c r="U13" s="80">
        <f>P13</f>
        <v>39295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42036</v>
      </c>
      <c r="B14" s="50">
        <v>0.30297132199999999</v>
      </c>
      <c r="C14" s="52"/>
      <c r="D14" s="70" t="str">
        <f ca="1">IF(E14&lt;$A$4,"Actual","Model Num")</f>
        <v>Actual</v>
      </c>
      <c r="E14" s="71">
        <f>DATE(YEAR(E13),MONTH(E13)+6,DAY(E13))</f>
        <v>39479</v>
      </c>
      <c r="F14" s="74">
        <f>MAX(IF(ISERROR(VLOOKUP(E14,$A$12:$B$52,2,0)),VLOOKUP(E14,$P$11:$S$52,4,0)/1000000,(VLOOKUP(E14,$A$12:$B$52,2,0))),0)</f>
        <v>0.94732201199999999</v>
      </c>
      <c r="G14" s="128">
        <f>F14*1000000</f>
        <v>947322.01199999999</v>
      </c>
      <c r="H14" s="64"/>
      <c r="I14" s="80">
        <f>E14</f>
        <v>39479</v>
      </c>
      <c r="J14" s="207">
        <f>$M$12*$N$7</f>
        <v>41497.25</v>
      </c>
      <c r="K14" s="88">
        <f>($F$7/360)*($O$2/100)*M13</f>
        <v>27064.402987500001</v>
      </c>
      <c r="L14" s="90">
        <f>J14-K14</f>
        <v>14432.847012499999</v>
      </c>
      <c r="M14" s="79">
        <f>M13-L14</f>
        <v>971519.90298749995</v>
      </c>
      <c r="N14" s="92">
        <f>L14/M13</f>
        <v>1.4638477363646481E-2</v>
      </c>
      <c r="O14" s="52"/>
      <c r="P14" s="80">
        <f>I14</f>
        <v>39479</v>
      </c>
      <c r="Q14" s="97">
        <f ca="1">S13*N14</f>
        <v>14404.998202262779</v>
      </c>
      <c r="R14" s="98">
        <f ca="1">S13*$C$2/2</f>
        <v>24601.257775000002</v>
      </c>
      <c r="S14" s="99">
        <f ca="1">IF(P14&lt;$A$4,(VLOOKUP(P14,$A$11:$B$52,2,0)*$S$12),(S13-(Q14+R14)))</f>
        <v>947322.01199999999</v>
      </c>
      <c r="U14" s="80">
        <f>P14</f>
        <v>39479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41852</v>
      </c>
      <c r="B15" s="50">
        <v>0.34447312099999999</v>
      </c>
      <c r="C15" s="52"/>
      <c r="D15" s="70" t="str">
        <f ca="1">IF(E15&lt;$A$4,"Actual","Model Num")</f>
        <v>Actual</v>
      </c>
      <c r="E15" s="71">
        <f>DATE(YEAR(E14),MONTH(E14)+6,DAY(E14))</f>
        <v>39661</v>
      </c>
      <c r="F15" s="74">
        <f>MAX(IF(ISERROR(VLOOKUP(E15,$A$12:$B$52,2,0)),VLOOKUP(E15,$P$11:$S$52,4,0)/1000000,(VLOOKUP(E15,$A$12:$B$52,2,0))),0)</f>
        <v>0.90042172200000004</v>
      </c>
      <c r="G15" s="128">
        <f>F15*1000000</f>
        <v>900421.72200000007</v>
      </c>
      <c r="H15" s="64"/>
      <c r="I15" s="80">
        <f>E15</f>
        <v>39661</v>
      </c>
      <c r="J15" s="207">
        <f>$M$12*$N$7</f>
        <v>41497.25</v>
      </c>
      <c r="K15" s="88">
        <f>($F$7/360)*($O$2/100)*M14</f>
        <v>26668.221337006875</v>
      </c>
      <c r="L15" s="90">
        <f>J15-K15</f>
        <v>14829.028662993125</v>
      </c>
      <c r="M15" s="79">
        <f>M14-L15</f>
        <v>956690.87432450685</v>
      </c>
      <c r="N15" s="92">
        <f>L15/M14</f>
        <v>1.5263741501736297E-2</v>
      </c>
      <c r="O15" s="52"/>
      <c r="P15" s="80">
        <f>I15</f>
        <v>39661</v>
      </c>
      <c r="Q15" s="97">
        <f ca="1">S14*N15</f>
        <v>14459.67831007273</v>
      </c>
      <c r="R15" s="98">
        <f ca="1">S14*$C$2/2</f>
        <v>23683.050300000003</v>
      </c>
      <c r="S15" s="99">
        <f ca="1">IF(P15&lt;$A$4,(VLOOKUP(P15,$A$11:$B$52,2,0)*$S$12),(S14-(Q15+R15)))</f>
        <v>900421.72200000007</v>
      </c>
      <c r="U15" s="80">
        <f>P15</f>
        <v>39661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41671</v>
      </c>
      <c r="B16" s="50">
        <v>0.37359340099999999</v>
      </c>
      <c r="C16" s="52"/>
      <c r="D16" s="70" t="str">
        <f ca="1">IF(E16&lt;$A$4,"Actual","Model Num")</f>
        <v>Actual</v>
      </c>
      <c r="E16" s="71">
        <f>DATE(YEAR(E15),MONTH(E15)+6,DAY(E15))</f>
        <v>39845</v>
      </c>
      <c r="F16" s="74">
        <f>MAX(IF(ISERROR(VLOOKUP(E16,$A$12:$B$52,2,0)),VLOOKUP(E16,$P$11:$S$52,4,0)/1000000,(VLOOKUP(E16,$A$12:$B$52,2,0))),0)</f>
        <v>0.85726678300000003</v>
      </c>
      <c r="G16" s="128">
        <f>F16*1000000</f>
        <v>857266.78300000005</v>
      </c>
      <c r="H16" s="64"/>
      <c r="I16" s="80">
        <f>E16</f>
        <v>39845</v>
      </c>
      <c r="J16" s="207">
        <f>$M$12*$N$7</f>
        <v>41497.25</v>
      </c>
      <c r="K16" s="88">
        <f>($F$7/360)*($O$2/100)*M15</f>
        <v>26261.164500207717</v>
      </c>
      <c r="L16" s="90">
        <f>J16-K16</f>
        <v>15236.085499792283</v>
      </c>
      <c r="M16" s="79">
        <f>M15-L16</f>
        <v>941454.7888247146</v>
      </c>
      <c r="N16" s="92">
        <f>L16/M15</f>
        <v>1.5925818787129193E-2</v>
      </c>
      <c r="O16" s="52"/>
      <c r="P16" s="80">
        <f>I16</f>
        <v>39845</v>
      </c>
      <c r="Q16" s="97">
        <f ca="1">S15*N16</f>
        <v>14339.95317656682</v>
      </c>
      <c r="R16" s="98">
        <f ca="1">S15*$C$2/2</f>
        <v>22510.543050000004</v>
      </c>
      <c r="S16" s="99">
        <f ca="1">IF(P16&lt;$A$4,(VLOOKUP(P16,$A$11:$B$52,2,0)*$S$12),(S15-(Q16+R16)))</f>
        <v>857266.78300000005</v>
      </c>
      <c r="U16" s="80">
        <f>P16</f>
        <v>39845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41487</v>
      </c>
      <c r="B17" s="50">
        <v>0.40660225999999999</v>
      </c>
      <c r="C17" s="52"/>
      <c r="D17" s="70" t="str">
        <f ca="1">IF(E17&lt;$A$4,"Actual","Model Num")</f>
        <v>Actual</v>
      </c>
      <c r="E17" s="71">
        <f>DATE(YEAR(E16),MONTH(E16)+6,DAY(E16))</f>
        <v>40026</v>
      </c>
      <c r="F17" s="74">
        <f>MAX(IF(ISERROR(VLOOKUP(E17,$A$12:$B$52,2,0)),VLOOKUP(E17,$P$11:$S$52,4,0)/1000000,(VLOOKUP(E17,$A$12:$B$52,2,0))),0)</f>
        <v>0.80366725100000003</v>
      </c>
      <c r="G17" s="128">
        <f>F17*1000000</f>
        <v>803667.25100000005</v>
      </c>
      <c r="H17" s="64"/>
      <c r="I17" s="80">
        <f>E17</f>
        <v>40026</v>
      </c>
      <c r="J17" s="207">
        <f>$M$12*$N$7</f>
        <v>41497.25</v>
      </c>
      <c r="K17" s="88">
        <f>($F$7/360)*($O$2/100)*M16</f>
        <v>25842.933953238418</v>
      </c>
      <c r="L17" s="90">
        <f>J17-K17</f>
        <v>15654.316046761582</v>
      </c>
      <c r="M17" s="79">
        <f>M16-L17</f>
        <v>925800.47277795302</v>
      </c>
      <c r="N17" s="92">
        <f>L17/M16</f>
        <v>1.6627793742813698E-2</v>
      </c>
      <c r="O17" s="52"/>
      <c r="P17" s="80">
        <f>I17</f>
        <v>40026</v>
      </c>
      <c r="Q17" s="97">
        <f ca="1">S16*N17</f>
        <v>14254.455250289429</v>
      </c>
      <c r="R17" s="98">
        <f ca="1">S16*$C$2/2</f>
        <v>21431.669575000004</v>
      </c>
      <c r="S17" s="99">
        <f ca="1">IF(P17&lt;$A$4,(VLOOKUP(P17,$A$11:$B$52,2,0)*$S$12),(S16-(Q17+R17)))</f>
        <v>803667.25100000005</v>
      </c>
      <c r="U17" s="80">
        <f>P17</f>
        <v>40026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41306</v>
      </c>
      <c r="B18" s="50">
        <v>0.46552268699999999</v>
      </c>
      <c r="C18" s="52"/>
      <c r="D18" s="70" t="str">
        <f ca="1">IF(E18&lt;$A$4,"Actual","Model Num")</f>
        <v>Actual</v>
      </c>
      <c r="E18" s="71">
        <f>DATE(YEAR(E17),MONTH(E17)+6,DAY(E17))</f>
        <v>40210</v>
      </c>
      <c r="F18" s="74">
        <f>MAX(IF(ISERROR(VLOOKUP(E18,$A$12:$B$52,2,0)),VLOOKUP(E18,$P$11:$S$52,4,0)/1000000,(VLOOKUP(E18,$A$12:$B$52,2,0))),0)</f>
        <v>0.74595255000000005</v>
      </c>
      <c r="G18" s="128">
        <f>F18*1000000</f>
        <v>745952.55</v>
      </c>
      <c r="H18" s="64"/>
      <c r="I18" s="80">
        <f>E18</f>
        <v>40210</v>
      </c>
      <c r="J18" s="207">
        <f>$M$12*$N$7</f>
        <v>41497.25</v>
      </c>
      <c r="K18" s="88">
        <f>($F$7/360)*($O$2/100)*M17</f>
        <v>25413.222977754813</v>
      </c>
      <c r="L18" s="90">
        <f>J18-K18</f>
        <v>16084.027022245187</v>
      </c>
      <c r="M18" s="79">
        <f>M17-L18</f>
        <v>909716.4457557078</v>
      </c>
      <c r="N18" s="92">
        <f>L18/M17</f>
        <v>1.7373103055330619E-2</v>
      </c>
      <c r="O18" s="52"/>
      <c r="P18" s="80">
        <f>I18</f>
        <v>40210</v>
      </c>
      <c r="Q18" s="97">
        <f ca="1">S17*N18</f>
        <v>13962.19397381726</v>
      </c>
      <c r="R18" s="98">
        <f ca="1">S17*$C$2/2</f>
        <v>20091.681275000003</v>
      </c>
      <c r="S18" s="99">
        <f ca="1">IF(P18&lt;$A$4,(VLOOKUP(P18,$A$11:$B$52,2,0)*$S$12),(S17-(Q18+R18)))</f>
        <v>745952.55</v>
      </c>
      <c r="U18" s="80">
        <f>P18</f>
        <v>40210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41122</v>
      </c>
      <c r="B19" s="50">
        <v>0.50405242900000002</v>
      </c>
      <c r="C19" s="52"/>
      <c r="D19" s="70" t="str">
        <f ca="1">IF(E19&lt;$A$4,"Actual","Model Num")</f>
        <v>Actual</v>
      </c>
      <c r="E19" s="71">
        <f>DATE(YEAR(E18),MONTH(E18)+6,DAY(E18))</f>
        <v>40391</v>
      </c>
      <c r="F19" s="74">
        <f>MAX(IF(ISERROR(VLOOKUP(E19,$A$12:$B$52,2,0)),VLOOKUP(E19,$P$11:$S$52,4,0)/1000000,(VLOOKUP(E19,$A$12:$B$52,2,0))),0)</f>
        <v>0.69208585899999997</v>
      </c>
      <c r="G19" s="128">
        <f>F19*1000000</f>
        <v>692085.85899999994</v>
      </c>
      <c r="H19" s="64"/>
      <c r="I19" s="80">
        <f>E19</f>
        <v>40391</v>
      </c>
      <c r="J19" s="207">
        <f>$M$12*$N$7</f>
        <v>41497.25</v>
      </c>
      <c r="K19" s="88">
        <f>($F$7/360)*($O$2/100)*M18</f>
        <v>24971.716435994182</v>
      </c>
      <c r="L19" s="90">
        <f>J19-K19</f>
        <v>16525.533564005818</v>
      </c>
      <c r="M19" s="79">
        <f>M18-L19</f>
        <v>893190.91219170194</v>
      </c>
      <c r="N19" s="92">
        <f>L19/M18</f>
        <v>1.8165587355385163E-2</v>
      </c>
      <c r="O19" s="52"/>
      <c r="P19" s="80">
        <f>I19</f>
        <v>40391</v>
      </c>
      <c r="Q19" s="97">
        <f ca="1">S18*N19</f>
        <v>13550.66620999732</v>
      </c>
      <c r="R19" s="98">
        <f ca="1">S18*$C$2/2</f>
        <v>18648.813750000001</v>
      </c>
      <c r="S19" s="99">
        <f ca="1">IF(P19&lt;$A$4,(VLOOKUP(P19,$A$11:$B$52,2,0)*$S$12),(S18-(Q19+R19)))</f>
        <v>692085.85899999994</v>
      </c>
      <c r="U19" s="80">
        <f>P19</f>
        <v>40391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40940</v>
      </c>
      <c r="B20" s="50">
        <v>0.54895814600000004</v>
      </c>
      <c r="C20" s="52"/>
      <c r="D20" s="70" t="str">
        <f ca="1">IF(E20&lt;$A$4,"Actual","Model Num")</f>
        <v>Actual</v>
      </c>
      <c r="E20" s="71">
        <f>DATE(YEAR(E19),MONTH(E19)+6,DAY(E19))</f>
        <v>40575</v>
      </c>
      <c r="F20" s="74">
        <f>MAX(IF(ISERROR(VLOOKUP(E20,$A$12:$B$52,2,0)),VLOOKUP(E20,$P$11:$S$52,4,0)/1000000,(VLOOKUP(E20,$A$12:$B$52,2,0))),0)</f>
        <v>0.63386110100000004</v>
      </c>
      <c r="G20" s="128">
        <f>F20*1000000</f>
        <v>633861.10100000002</v>
      </c>
      <c r="H20" s="64"/>
      <c r="I20" s="80">
        <f>E20</f>
        <v>40575</v>
      </c>
      <c r="J20" s="207">
        <f>$M$12*$N$7</f>
        <v>41497.25</v>
      </c>
      <c r="K20" s="88">
        <f>($F$7/360)*($O$2/100)*M19</f>
        <v>24518.090539662218</v>
      </c>
      <c r="L20" s="90">
        <f>J20-K20</f>
        <v>16979.159460337782</v>
      </c>
      <c r="M20" s="79">
        <f>M19-L20</f>
        <v>876211.7527313641</v>
      </c>
      <c r="N20" s="92">
        <f>L20/M19</f>
        <v>1.9009552413239976E-2</v>
      </c>
      <c r="O20" s="52"/>
      <c r="P20" s="80">
        <f>I20</f>
        <v>40575</v>
      </c>
      <c r="Q20" s="97">
        <f ca="1">S19*N20</f>
        <v>13156.24241112271</v>
      </c>
      <c r="R20" s="98">
        <f ca="1">S19*$C$2/2</f>
        <v>17302.146474999998</v>
      </c>
      <c r="S20" s="99">
        <f ca="1">IF(P20&lt;$A$4,(VLOOKUP(P20,$A$11:$B$52,2,0)*$S$12),(S19-(Q20+R20)))</f>
        <v>633861.10100000002</v>
      </c>
      <c r="U20" s="80">
        <f>P20</f>
        <v>40575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40756</v>
      </c>
      <c r="B21" s="50">
        <v>0.58865697800000005</v>
      </c>
      <c r="C21" s="52"/>
      <c r="D21" s="70" t="str">
        <f ca="1">IF(E21&lt;$A$4,"Actual","Model Num")</f>
        <v>Actual</v>
      </c>
      <c r="E21" s="71">
        <f>DATE(YEAR(E20),MONTH(E20)+6,DAY(E20))</f>
        <v>40756</v>
      </c>
      <c r="F21" s="74">
        <f>MAX(IF(ISERROR(VLOOKUP(E21,$A$12:$B$52,2,0)),VLOOKUP(E21,$P$11:$S$52,4,0)/1000000,(VLOOKUP(E21,$A$12:$B$52,2,0))),0)</f>
        <v>0.58865697800000005</v>
      </c>
      <c r="G21" s="128">
        <f>F21*1000000</f>
        <v>588656.978</v>
      </c>
      <c r="H21" s="64"/>
      <c r="I21" s="80">
        <f>E21</f>
        <v>40756</v>
      </c>
      <c r="J21" s="207">
        <f>$M$12*$N$7</f>
        <v>41497.25</v>
      </c>
      <c r="K21" s="88">
        <f>($F$7/360)*($O$2/100)*M20</f>
        <v>24052.012612475948</v>
      </c>
      <c r="L21" s="90">
        <f>J21-K21</f>
        <v>17445.237387524052</v>
      </c>
      <c r="M21" s="79">
        <f>M20-L21</f>
        <v>858766.51534384</v>
      </c>
      <c r="N21" s="92">
        <f>L21/M20</f>
        <v>1.9909841808379111E-2</v>
      </c>
      <c r="O21" s="52"/>
      <c r="P21" s="80">
        <f>I21</f>
        <v>40756</v>
      </c>
      <c r="Q21" s="97">
        <f ca="1">S20*N21</f>
        <v>12620.074249395015</v>
      </c>
      <c r="R21" s="98">
        <f ca="1">S20*$C$2/2</f>
        <v>15846.527525000001</v>
      </c>
      <c r="S21" s="99">
        <f ca="1">IF(P21&lt;$A$4,(VLOOKUP(P21,$A$11:$B$52,2,0)*$S$12),(S20-(Q21+R21)))</f>
        <v>588656.978</v>
      </c>
      <c r="U21" s="80">
        <f>P21</f>
        <v>40756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40575</v>
      </c>
      <c r="B22" s="50">
        <v>0.63386110100000004</v>
      </c>
      <c r="C22" s="52"/>
      <c r="D22" s="70" t="str">
        <f ca="1">IF(E22&lt;$A$4,"Actual","Model Num")</f>
        <v>Actual</v>
      </c>
      <c r="E22" s="71">
        <f>DATE(YEAR(E21),MONTH(E21)+6,DAY(E21))</f>
        <v>40940</v>
      </c>
      <c r="F22" s="74">
        <f>MAX(IF(ISERROR(VLOOKUP(E22,$A$12:$B$52,2,0)),VLOOKUP(E22,$P$11:$S$52,4,0)/1000000,(VLOOKUP(E22,$A$12:$B$52,2,0))),0)</f>
        <v>0.54895814600000004</v>
      </c>
      <c r="G22" s="128">
        <f>F22*1000000</f>
        <v>548958.14600000007</v>
      </c>
      <c r="H22" s="64"/>
      <c r="I22" s="80">
        <f>E22</f>
        <v>40940</v>
      </c>
      <c r="J22" s="207">
        <f>$M$12*$N$7</f>
        <v>41497.25</v>
      </c>
      <c r="K22" s="88">
        <f>($F$7/360)*($O$2/100)*M21</f>
        <v>23573.140846188409</v>
      </c>
      <c r="L22" s="90">
        <f>J22-K22</f>
        <v>17924.109153811591</v>
      </c>
      <c r="M22" s="79">
        <f>M21-L22</f>
        <v>840842.40619002841</v>
      </c>
      <c r="N22" s="92">
        <f>L22/M21</f>
        <v>2.0871923664414174E-2</v>
      </c>
      <c r="O22" s="52"/>
      <c r="P22" s="80">
        <f>I22</f>
        <v>40940</v>
      </c>
      <c r="Q22" s="97">
        <f ca="1">S21*N22</f>
        <v>12286.403509340733</v>
      </c>
      <c r="R22" s="98">
        <f ca="1">S21*$C$2/2</f>
        <v>14716.42445</v>
      </c>
      <c r="S22" s="99">
        <f ca="1">IF(P22&lt;$A$4,(VLOOKUP(P22,$A$11:$B$52,2,0)*$S$12),(S21-(Q22+R22)))</f>
        <v>548958.14600000007</v>
      </c>
      <c r="U22" s="80">
        <f>P22</f>
        <v>40940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40391</v>
      </c>
      <c r="B23" s="50">
        <v>0.69208585899999997</v>
      </c>
      <c r="C23" s="52"/>
      <c r="D23" s="70" t="str">
        <f ca="1">IF(E23&lt;$A$4,"Actual","Model Num")</f>
        <v>Actual</v>
      </c>
      <c r="E23" s="71">
        <f>DATE(YEAR(E22),MONTH(E22)+6,DAY(E22))</f>
        <v>41122</v>
      </c>
      <c r="F23" s="74">
        <f>MAX(IF(ISERROR(VLOOKUP(E23,$A$12:$B$52,2,0)),VLOOKUP(E23,$P$11:$S$52,4,0)/1000000,(VLOOKUP(E23,$A$12:$B$52,2,0))),0)</f>
        <v>0.50405242900000002</v>
      </c>
      <c r="G23" s="128">
        <f>F23*1000000</f>
        <v>504052.429</v>
      </c>
      <c r="H23" s="64"/>
      <c r="I23" s="80">
        <f>E23</f>
        <v>41122</v>
      </c>
      <c r="J23" s="207">
        <f>$M$12*$N$7</f>
        <v>41497.25</v>
      </c>
      <c r="K23" s="88">
        <f>($F$7/360)*($O$2/100)*M22</f>
        <v>23081.124049916281</v>
      </c>
      <c r="L23" s="90">
        <f>J23-K23</f>
        <v>18416.125950083719</v>
      </c>
      <c r="M23" s="79">
        <f>M22-L23</f>
        <v>822426.2802399447</v>
      </c>
      <c r="N23" s="92">
        <f>L23/M22</f>
        <v>2.1901994731128863E-2</v>
      </c>
      <c r="O23" s="52"/>
      <c r="P23" s="80">
        <f>I23</f>
        <v>41122</v>
      </c>
      <c r="Q23" s="97">
        <f ca="1">S22*N23</f>
        <v>12023.278421302271</v>
      </c>
      <c r="R23" s="98">
        <f ca="1">S22*$C$2/2</f>
        <v>13723.953650000003</v>
      </c>
      <c r="S23" s="99">
        <f ca="1">IF(P23&lt;$A$4,(VLOOKUP(P23,$A$11:$B$52,2,0)*$S$12),(S22-(Q23+R23)))</f>
        <v>504052.429</v>
      </c>
      <c r="U23" s="80">
        <f>P23</f>
        <v>41122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40210</v>
      </c>
      <c r="B24" s="50">
        <v>0.74595255000000005</v>
      </c>
      <c r="C24" s="52"/>
      <c r="D24" s="70" t="str">
        <f ca="1">IF(E24&lt;$A$4,"Actual","Model Num")</f>
        <v>Actual</v>
      </c>
      <c r="E24" s="71">
        <f>DATE(YEAR(E23),MONTH(E23)+6,DAY(E23))</f>
        <v>41306</v>
      </c>
      <c r="F24" s="74">
        <f>MAX(IF(ISERROR(VLOOKUP(E24,$A$12:$B$52,2,0)),VLOOKUP(E24,$P$11:$S$52,4,0)/1000000,(VLOOKUP(E24,$A$12:$B$52,2,0))),0)</f>
        <v>0.46552268699999999</v>
      </c>
      <c r="G24" s="128">
        <f>F24*1000000</f>
        <v>465522.68699999998</v>
      </c>
      <c r="H24" s="64"/>
      <c r="I24" s="80">
        <f>E24</f>
        <v>41306</v>
      </c>
      <c r="J24" s="207">
        <f>$M$12*$N$7</f>
        <v>41497.25</v>
      </c>
      <c r="K24" s="88">
        <f>($F$7/360)*($O$2/100)*M23</f>
        <v>22575.601392586483</v>
      </c>
      <c r="L24" s="90">
        <f>J24-K24</f>
        <v>18921.648607413517</v>
      </c>
      <c r="M24" s="79">
        <f>M23-L24</f>
        <v>803504.63163253118</v>
      </c>
      <c r="N24" s="92">
        <f>L24/M23</f>
        <v>2.3007106000908779E-2</v>
      </c>
      <c r="O24" s="52"/>
      <c r="P24" s="80">
        <f>I24</f>
        <v>41306</v>
      </c>
      <c r="Q24" s="97">
        <f ca="1">S23*N24</f>
        <v>11596.787664018546</v>
      </c>
      <c r="R24" s="98">
        <f ca="1">S23*$C$2/2</f>
        <v>12601.310725000001</v>
      </c>
      <c r="S24" s="99">
        <f ca="1">IF(P24&lt;$A$4,(VLOOKUP(P24,$A$11:$B$52,2,0)*$S$12),(S23-(Q24+R24)))</f>
        <v>465522.68699999998</v>
      </c>
      <c r="U24" s="80">
        <f>P24</f>
        <v>41306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40026</v>
      </c>
      <c r="B25" s="50">
        <v>0.80366725100000003</v>
      </c>
      <c r="C25" s="52"/>
      <c r="D25" s="70" t="str">
        <f ca="1">IF(E25&lt;$A$4,"Actual","Model Num")</f>
        <v>Actual</v>
      </c>
      <c r="E25" s="71">
        <f>DATE(YEAR(E24),MONTH(E24)+6,DAY(E24))</f>
        <v>41487</v>
      </c>
      <c r="F25" s="74">
        <f>MAX(IF(ISERROR(VLOOKUP(E25,$A$12:$B$52,2,0)),VLOOKUP(E25,$P$11:$S$52,4,0)/1000000,(VLOOKUP(E25,$A$12:$B$52,2,0))),0)</f>
        <v>0.40660225999999999</v>
      </c>
      <c r="G25" s="128">
        <f>F25*1000000</f>
        <v>406602.26</v>
      </c>
      <c r="H25" s="64"/>
      <c r="I25" s="80">
        <f>E25</f>
        <v>41487</v>
      </c>
      <c r="J25" s="207">
        <f>$M$12*$N$7</f>
        <v>41497.25</v>
      </c>
      <c r="K25" s="88">
        <f>($F$7/360)*($O$2/100)*M24</f>
        <v>22056.202138312983</v>
      </c>
      <c r="L25" s="90">
        <f>J25-K25</f>
        <v>19441.047861687017</v>
      </c>
      <c r="M25" s="79">
        <f>M24-L25</f>
        <v>784063.58377084415</v>
      </c>
      <c r="N25" s="92">
        <f>L25/M24</f>
        <v>2.4195315243158474E-2</v>
      </c>
      <c r="O25" s="52"/>
      <c r="P25" s="80">
        <f>I25</f>
        <v>41487</v>
      </c>
      <c r="Q25" s="97">
        <f ca="1">S24*N25</f>
        <v>11263.468164807191</v>
      </c>
      <c r="R25" s="98">
        <f ca="1">S24*$C$2/2</f>
        <v>11638.067175</v>
      </c>
      <c r="S25" s="99">
        <f ca="1">IF(P25&lt;$A$4,(VLOOKUP(P25,$A$11:$B$52,2,0)*$S$12),(S24-(Q25+R25)))</f>
        <v>406602.26</v>
      </c>
      <c r="U25" s="80">
        <f>P25</f>
        <v>41487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39845</v>
      </c>
      <c r="B26" s="50">
        <v>0.85726678300000003</v>
      </c>
      <c r="C26" s="52"/>
      <c r="D26" s="70" t="str">
        <f ca="1">IF(E26&lt;$A$4,"Actual","Model Num")</f>
        <v>Actual</v>
      </c>
      <c r="E26" s="71">
        <f>DATE(YEAR(E25),MONTH(E25)+6,DAY(E25))</f>
        <v>41671</v>
      </c>
      <c r="F26" s="74">
        <f>MAX(IF(ISERROR(VLOOKUP(E26,$A$12:$B$52,2,0)),VLOOKUP(E26,$P$11:$S$52,4,0)/1000000,(VLOOKUP(E26,$A$12:$B$52,2,0))),0)</f>
        <v>0.37359340099999999</v>
      </c>
      <c r="G26" s="128">
        <f>F26*1000000</f>
        <v>373593.40100000001</v>
      </c>
      <c r="H26" s="64"/>
      <c r="I26" s="80">
        <f>E26</f>
        <v>41671</v>
      </c>
      <c r="J26" s="207">
        <f>$M$12*$N$7</f>
        <v>41497.25</v>
      </c>
      <c r="K26" s="88">
        <f>($F$7/360)*($O$2/100)*M25</f>
        <v>21522.545374509675</v>
      </c>
      <c r="L26" s="90">
        <f>J26-K26</f>
        <v>19974.704625490325</v>
      </c>
      <c r="M26" s="79">
        <f>M25-L26</f>
        <v>764088.8791453538</v>
      </c>
      <c r="N26" s="92">
        <f>L26/M25</f>
        <v>2.5475873435448663E-2</v>
      </c>
      <c r="O26" s="52"/>
      <c r="P26" s="80">
        <f>I26</f>
        <v>41671</v>
      </c>
      <c r="Q26" s="97">
        <f ca="1">S25*N26</f>
        <v>10358.547714327391</v>
      </c>
      <c r="R26" s="98">
        <f ca="1">S25*$C$2/2</f>
        <v>10165.056500000001</v>
      </c>
      <c r="S26" s="99">
        <f ca="1">IF(P26&lt;$A$4,(VLOOKUP(P26,$A$11:$B$52,2,0)*$S$12),(S25-(Q26+R26)))</f>
        <v>373593.40100000001</v>
      </c>
      <c r="U26" s="80">
        <f>P26</f>
        <v>41671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39661</v>
      </c>
      <c r="B27" s="50">
        <v>0.90042172200000004</v>
      </c>
      <c r="C27" s="52"/>
      <c r="D27" s="70" t="str">
        <f ca="1">IF(E27&lt;$A$4,"Actual","Model Num")</f>
        <v>Actual</v>
      </c>
      <c r="E27" s="71">
        <f>DATE(YEAR(E26),MONTH(E26)+6,DAY(E26))</f>
        <v>41852</v>
      </c>
      <c r="F27" s="74">
        <f>MAX(IF(ISERROR(VLOOKUP(E27,$A$12:$B$52,2,0)),VLOOKUP(E27,$P$11:$S$52,4,0)/1000000,(VLOOKUP(E27,$A$12:$B$52,2,0))),0)</f>
        <v>0.34447312099999999</v>
      </c>
      <c r="G27" s="128">
        <f>F27*1000000</f>
        <v>344473.12099999998</v>
      </c>
      <c r="H27" s="64"/>
      <c r="I27" s="80">
        <f>E27</f>
        <v>41852</v>
      </c>
      <c r="J27" s="207">
        <f>$M$12*$N$7</f>
        <v>41497.25</v>
      </c>
      <c r="K27" s="88">
        <f>($F$7/360)*($O$2/100)*M26</f>
        <v>20974.239732539965</v>
      </c>
      <c r="L27" s="90">
        <f>J27-K27</f>
        <v>20523.010267460035</v>
      </c>
      <c r="M27" s="79">
        <f>M26-L27</f>
        <v>743565.86887789378</v>
      </c>
      <c r="N27" s="92">
        <f>L27/M26</f>
        <v>2.685945421744047E-2</v>
      </c>
      <c r="O27" s="52"/>
      <c r="P27" s="80">
        <f>I27</f>
        <v>41852</v>
      </c>
      <c r="Q27" s="97">
        <f ca="1">S26*N27</f>
        <v>10034.514850097379</v>
      </c>
      <c r="R27" s="98">
        <f ca="1">S26*$C$2/2</f>
        <v>9339.8350250000003</v>
      </c>
      <c r="S27" s="99">
        <f ca="1">IF(P27&lt;$A$4,(VLOOKUP(P27,$A$11:$B$52,2,0)*$S$12),(S26-(Q27+R27)))</f>
        <v>344473.12099999998</v>
      </c>
      <c r="U27" s="80">
        <f>P27</f>
        <v>41852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39479</v>
      </c>
      <c r="B28" s="50">
        <v>0.94732201199999999</v>
      </c>
      <c r="C28" s="52"/>
      <c r="D28" s="70" t="str">
        <f ca="1">IF(E28&lt;$A$4,"Actual","Model Num")</f>
        <v>Actual</v>
      </c>
      <c r="E28" s="71">
        <f>DATE(YEAR(E27),MONTH(E27)+6,DAY(E27))</f>
        <v>42036</v>
      </c>
      <c r="F28" s="74">
        <f>MAX(IF(ISERROR(VLOOKUP(E28,$A$12:$B$52,2,0)),VLOOKUP(E28,$P$11:$S$52,4,0)/1000000,(VLOOKUP(E28,$A$12:$B$52,2,0))),0)</f>
        <v>0.30297132199999999</v>
      </c>
      <c r="G28" s="128">
        <f>F28*1000000</f>
        <v>302971.32199999999</v>
      </c>
      <c r="H28" s="64"/>
      <c r="I28" s="80">
        <f>E28</f>
        <v>42036</v>
      </c>
      <c r="J28" s="207">
        <f>$M$12*$N$7</f>
        <v>41497.25</v>
      </c>
      <c r="K28" s="88">
        <f>($F$7/360)*($O$2/100)*M27</f>
        <v>20410.883100698185</v>
      </c>
      <c r="L28" s="90">
        <f>J28-K28</f>
        <v>21086.366899301815</v>
      </c>
      <c r="M28" s="79">
        <f>M27-L28</f>
        <v>722479.50197859202</v>
      </c>
      <c r="N28" s="92">
        <f>L28/M27</f>
        <v>2.8358438413967273E-2</v>
      </c>
      <c r="O28" s="52"/>
      <c r="P28" s="80">
        <f>I28</f>
        <v>42036</v>
      </c>
      <c r="Q28" s="97">
        <f ca="1">S27*N28</f>
        <v>9768.7197871455955</v>
      </c>
      <c r="R28" s="98">
        <f ca="1">S27*$C$2/2</f>
        <v>8611.8280250000007</v>
      </c>
      <c r="S28" s="99">
        <f ca="1">IF(P28&lt;$A$4,(VLOOKUP(P28,$A$11:$B$52,2,0)*$S$12),(S27-(Q28+R28)))</f>
        <v>302971.32199999999</v>
      </c>
      <c r="U28" s="80">
        <f>P28</f>
        <v>42036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39295</v>
      </c>
      <c r="B29" s="50">
        <v>0.98405031099999996</v>
      </c>
      <c r="C29" s="52"/>
      <c r="D29" s="70" t="str">
        <f ca="1">IF(E29&lt;$A$4,"Actual","Model Num")</f>
        <v>Actual</v>
      </c>
      <c r="E29" s="71">
        <f>DATE(YEAR(E28),MONTH(E28)+6,DAY(E28))</f>
        <v>42217</v>
      </c>
      <c r="F29" s="74">
        <f>MAX(IF(ISERROR(VLOOKUP(E29,$A$12:$B$52,2,0)),VLOOKUP(E29,$P$11:$S$52,4,0)/1000000,(VLOOKUP(E29,$A$12:$B$52,2,0))),0)</f>
        <v>0.27826837500000001</v>
      </c>
      <c r="G29" s="128">
        <f>F29*1000000</f>
        <v>278268.375</v>
      </c>
      <c r="H29" s="64"/>
      <c r="I29" s="80">
        <f>E29</f>
        <v>42217</v>
      </c>
      <c r="J29" s="207">
        <f>$M$12*$N$7</f>
        <v>41497.25</v>
      </c>
      <c r="K29" s="88">
        <f>($F$7/360)*($O$2/100)*M28</f>
        <v>19832.062329312354</v>
      </c>
      <c r="L29" s="90">
        <f>J29-K29</f>
        <v>21665.187670687646</v>
      </c>
      <c r="M29" s="79">
        <f>M28-L29</f>
        <v>700814.31430790434</v>
      </c>
      <c r="N29" s="92">
        <f>L29/M28</f>
        <v>2.9987269689112389E-2</v>
      </c>
      <c r="O29" s="52"/>
      <c r="P29" s="80">
        <f>I29</f>
        <v>42217</v>
      </c>
      <c r="Q29" s="97">
        <f ca="1">S28*N29</f>
        <v>9085.2827408809098</v>
      </c>
      <c r="R29" s="98">
        <f ca="1">S28*$C$2/2</f>
        <v>7574.28305</v>
      </c>
      <c r="S29" s="99">
        <f ca="1">IF(P29&lt;$A$4,(VLOOKUP(P29,$A$11:$B$52,2,0)*$S$12),(S28-(Q29+R29)))</f>
        <v>278268.375</v>
      </c>
      <c r="U29" s="80">
        <f>P29</f>
        <v>42217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39127</v>
      </c>
      <c r="B30" s="50">
        <v>1</v>
      </c>
      <c r="C30" s="52"/>
      <c r="D30" s="70" t="str">
        <f ca="1">IF(E30&lt;$A$4,"Actual","Model Num")</f>
        <v>Actual</v>
      </c>
      <c r="E30" s="71">
        <f>DATE(YEAR(E29),MONTH(E29)+6,DAY(E29))</f>
        <v>42401</v>
      </c>
      <c r="F30" s="74">
        <f>MAX(IF(ISERROR(VLOOKUP(E30,$A$12:$B$52,2,0)),VLOOKUP(E30,$P$11:$S$52,4,0)/1000000,(VLOOKUP(E30,$A$12:$B$52,2,0))),0)</f>
        <v>0.22897288099999999</v>
      </c>
      <c r="G30" s="128">
        <f>F30*1000000</f>
        <v>228972.88099999999</v>
      </c>
      <c r="H30" s="64"/>
      <c r="I30" s="80">
        <f>E30</f>
        <v>42401</v>
      </c>
      <c r="J30" s="207">
        <f>$M$12*$N$7</f>
        <v>41497.25</v>
      </c>
      <c r="K30" s="88">
        <f>($F$7/360)*($O$2/100)*M29</f>
        <v>19237.352927751974</v>
      </c>
      <c r="L30" s="90">
        <f>J30-K30</f>
        <v>22259.897072248026</v>
      </c>
      <c r="M30" s="79">
        <f>M29-L30</f>
        <v>678554.41723565629</v>
      </c>
      <c r="N30" s="92">
        <f>L30/M29</f>
        <v>3.1762902979844229E-2</v>
      </c>
      <c r="O30" s="52"/>
      <c r="P30" s="80">
        <f>I30</f>
        <v>42401</v>
      </c>
      <c r="Q30" s="97">
        <f ca="1">S29*N30</f>
        <v>8838.6113974839118</v>
      </c>
      <c r="R30" s="98">
        <f ca="1">S29*$C$2/2</f>
        <v>6956.7093750000004</v>
      </c>
      <c r="S30" s="99">
        <f ca="1">IF(P30&lt;$A$4,(VLOOKUP(P30,$A$11:$B$52,2,0)*$S$12),(S29-(Q30+R30)))</f>
        <v>228972.88099999999</v>
      </c>
      <c r="U30" s="80">
        <f>P30</f>
        <v>42401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50"/>
      <c r="B31" s="50"/>
      <c r="C31" s="52"/>
      <c r="D31" s="70" t="str">
        <f ca="1">IF(E31&lt;$A$4,"Actual","Model Num")</f>
        <v>Model Num</v>
      </c>
      <c r="E31" s="71">
        <f>DATE(YEAR(E30),MONTH(E30)+6,DAY(E30))</f>
        <v>42583</v>
      </c>
      <c r="F31" s="74">
        <f ca="1">MAX(IF(ISERROR(VLOOKUP(E31,$A$12:$B$52,2,0)),VLOOKUP(E31,$P$11:$S$52,4,0)/1000000,(VLOOKUP(E31,$A$12:$B$52,2,0))),0)</f>
        <v>0.21553094210340779</v>
      </c>
      <c r="G31" s="128">
        <f ca="1">F31*1000000</f>
        <v>215530.94210340778</v>
      </c>
      <c r="H31" s="64"/>
      <c r="I31" s="80">
        <f>E31</f>
        <v>42583</v>
      </c>
      <c r="J31" s="207">
        <f>$M$12*$N$7</f>
        <v>41497.25</v>
      </c>
      <c r="K31" s="88">
        <f>($F$7/360)*($O$2/100)*M30</f>
        <v>18626.318753118765</v>
      </c>
      <c r="L31" s="90">
        <f>J31-K31</f>
        <v>22870.931246881235</v>
      </c>
      <c r="M31" s="79">
        <f>M30-L31</f>
        <v>655683.48598877504</v>
      </c>
      <c r="N31" s="92">
        <f>L31/M30</f>
        <v>3.3705375229969733E-2</v>
      </c>
      <c r="O31" s="52"/>
      <c r="P31" s="80">
        <f>I31</f>
        <v>42583</v>
      </c>
      <c r="Q31" s="97">
        <f ca="1">S30*N31</f>
        <v>7717.6168715922076</v>
      </c>
      <c r="R31" s="98">
        <f ca="1">S30*$C$2/2</f>
        <v>5724.3220250000004</v>
      </c>
      <c r="S31" s="99">
        <f ca="1">IF(P31&lt;$A$4,(VLOOKUP(P31,$A$11:$B$52,2,0)*$S$12),(S30-(Q31+R31)))</f>
        <v>215530.94210340778</v>
      </c>
      <c r="U31" s="80">
        <f>P31</f>
        <v>42583</v>
      </c>
      <c r="V31" s="97">
        <f ca="1">IF(U31&lt;$A$4,0,(YEARFRAC($A$4,U31,1)))</f>
        <v>0.31420765027322406</v>
      </c>
      <c r="W31" s="141">
        <f ca="1">V31*(S30-S31)</f>
        <v>4223.5600358144929</v>
      </c>
    </row>
    <row r="32" spans="1:23">
      <c r="A32" s="50"/>
      <c r="B32" s="50"/>
      <c r="C32" s="52"/>
      <c r="D32" s="70" t="str">
        <f ca="1">IF(E32&lt;$A$4,"Actual","Model Num")</f>
        <v>Model Num</v>
      </c>
      <c r="E32" s="71">
        <f>DATE(YEAR(E31),MONTH(E31)+6,DAY(E31))</f>
        <v>42767</v>
      </c>
      <c r="F32" s="74">
        <f ca="1">MAX(IF(ISERROR(VLOOKUP(E32,$A$12:$B$52,2,0)),VLOOKUP(E32,$P$11:$S$52,4,0)/1000000,(VLOOKUP(E32,$A$12:$B$52,2,0))),0)</f>
        <v>0.20241835443534101</v>
      </c>
      <c r="G32" s="128">
        <f ca="1">F32*1000000</f>
        <v>202418.354435341</v>
      </c>
      <c r="H32" s="64"/>
      <c r="I32" s="80">
        <f>E32</f>
        <v>42767</v>
      </c>
      <c r="J32" s="207">
        <f>$M$12*$N$7</f>
        <v>41497.25</v>
      </c>
      <c r="K32" s="88">
        <f>($F$7/360)*($O$2/100)*M31</f>
        <v>17998.511690391875</v>
      </c>
      <c r="L32" s="90">
        <f>J32-K32</f>
        <v>23498.738309608125</v>
      </c>
      <c r="M32" s="79">
        <f>M31-L32</f>
        <v>632184.74767916696</v>
      </c>
      <c r="N32" s="92">
        <f>L32/M31</f>
        <v>3.583853919116458E-2</v>
      </c>
      <c r="O32" s="52"/>
      <c r="P32" s="80">
        <f>I32</f>
        <v>42767</v>
      </c>
      <c r="Q32" s="97">
        <f ca="1">S31*N32</f>
        <v>7724.3141154816039</v>
      </c>
      <c r="R32" s="98">
        <f ca="1">S31*$C$2/2</f>
        <v>5388.2735525851949</v>
      </c>
      <c r="S32" s="99">
        <f ca="1">IF(P32&lt;$A$4,(VLOOKUP(P32,$A$11:$B$52,2,0)*$S$12),(S31-(Q32+R32)))</f>
        <v>202418.354435341</v>
      </c>
      <c r="U32" s="80">
        <f>P32</f>
        <v>42767</v>
      </c>
      <c r="V32" s="97">
        <f ca="1">IF(U32&lt;$A$4,0,(YEARFRAC($A$4,U32,1)))</f>
        <v>0.81917808219178079</v>
      </c>
      <c r="W32" s="141">
        <f ca="1">V32*(S31-S32)</f>
        <v>10741.544418498544</v>
      </c>
    </row>
    <row r="33" spans="1:23">
      <c r="A33" s="50"/>
      <c r="B33" s="50"/>
      <c r="C33" s="52"/>
      <c r="D33" s="70" t="str">
        <f ca="1">IF(E33&lt;$A$4,"Actual","Model Num")</f>
        <v>Model Num</v>
      </c>
      <c r="E33" s="71">
        <f>DATE(YEAR(E32),MONTH(E32)+6,DAY(E32))</f>
        <v>42948</v>
      </c>
      <c r="F33" s="74">
        <f ca="1">MAX(IF(ISERROR(VLOOKUP(E33,$A$12:$B$52,2,0)),VLOOKUP(E33,$P$11:$S$52,4,0)/1000000,(VLOOKUP(E33,$A$12:$B$52,2,0))),0)</f>
        <v>0.18962733268531753</v>
      </c>
      <c r="G33" s="128">
        <f ca="1">F33*1000000</f>
        <v>189627.33268531752</v>
      </c>
      <c r="H33" s="64"/>
      <c r="I33" s="80">
        <f>E33</f>
        <v>42948</v>
      </c>
      <c r="J33" s="207">
        <f>$M$12*$N$7</f>
        <v>41497.25</v>
      </c>
      <c r="K33" s="88">
        <f>($F$7/360)*($O$2/100)*M32</f>
        <v>17353.471323793136</v>
      </c>
      <c r="L33" s="90">
        <f>J33-K33</f>
        <v>24143.778676206864</v>
      </c>
      <c r="M33" s="79">
        <f>M32-L33</f>
        <v>608040.96900296013</v>
      </c>
      <c r="N33" s="92">
        <f>L33/M32</f>
        <v>3.8191017364531239E-2</v>
      </c>
      <c r="O33" s="52"/>
      <c r="P33" s="80">
        <f>I33</f>
        <v>42948</v>
      </c>
      <c r="Q33" s="97">
        <f ca="1">S32*N33</f>
        <v>7730.5628891399474</v>
      </c>
      <c r="R33" s="98">
        <f ca="1">S32*$C$2/2</f>
        <v>5060.4588608835256</v>
      </c>
      <c r="S33" s="99">
        <f ca="1">IF(P33&lt;$A$4,(VLOOKUP(P33,$A$11:$B$52,2,0)*$S$12),(S32-(Q33+R33)))</f>
        <v>189627.33268531752</v>
      </c>
      <c r="U33" s="80">
        <f>P33</f>
        <v>42948</v>
      </c>
      <c r="V33" s="97">
        <f ca="1">IF(U33&lt;$A$4,0,(YEARFRAC($A$4,U33,1)))</f>
        <v>1.3132694938440492</v>
      </c>
      <c r="W33" s="141">
        <f ca="1">V33*(S32-S33)</f>
        <v>16798.058659401551</v>
      </c>
    </row>
    <row r="34" spans="1:23">
      <c r="A34" s="50"/>
      <c r="B34" s="50"/>
      <c r="C34" s="52"/>
      <c r="D34" s="70" t="str">
        <f ca="1">IF(E34&lt;$A$4,"Actual","Model Num")</f>
        <v>Model Num</v>
      </c>
      <c r="E34" s="71">
        <f>DATE(YEAR(E33),MONTH(E33)+6,DAY(E33))</f>
        <v>43132</v>
      </c>
      <c r="F34" s="74">
        <f ca="1">MAX(IF(ISERROR(VLOOKUP(E34,$A$12:$B$52,2,0)),VLOOKUP(E34,$P$11:$S$52,4,0)/1000000,(VLOOKUP(E34,$A$12:$B$52,2,0))),0)</f>
        <v>0.17715033638146144</v>
      </c>
      <c r="G34" s="128">
        <f ca="1">F34*1000000</f>
        <v>177150.33638146144</v>
      </c>
      <c r="H34" s="64"/>
      <c r="I34" s="80">
        <f>E34</f>
        <v>43132</v>
      </c>
      <c r="J34" s="207">
        <f>$M$12*$N$7</f>
        <v>41497.25</v>
      </c>
      <c r="K34" s="88">
        <f>($F$7/360)*($O$2/100)*M33</f>
        <v>16690.724599131256</v>
      </c>
      <c r="L34" s="90">
        <f>J34-K34</f>
        <v>24806.525400868744</v>
      </c>
      <c r="M34" s="79">
        <f>M33-L34</f>
        <v>583234.4436020914</v>
      </c>
      <c r="N34" s="92">
        <f>L34/M33</f>
        <v>4.0797457187046846E-2</v>
      </c>
      <c r="O34" s="52"/>
      <c r="P34" s="80">
        <f>I34</f>
        <v>43132</v>
      </c>
      <c r="Q34" s="97">
        <f ca="1">S33*N34</f>
        <v>7736.312986723131</v>
      </c>
      <c r="R34" s="98">
        <f ca="1">S33*$C$2/2</f>
        <v>4740.6833171329381</v>
      </c>
      <c r="S34" s="99">
        <f ca="1">IF(P34&lt;$A$4,(VLOOKUP(P34,$A$11:$B$52,2,0)*$S$12),(S33-(Q34+R34)))</f>
        <v>177150.33638146144</v>
      </c>
      <c r="U34" s="80">
        <f>P34</f>
        <v>43132</v>
      </c>
      <c r="V34" s="97">
        <f ca="1">IF(U34&lt;$A$4,0,(YEARFRAC($A$4,U34,1)))</f>
        <v>1.8175182481751826</v>
      </c>
      <c r="W34" s="141">
        <f ca="1">V34*(S33-S34)</f>
        <v>22677.168464672734</v>
      </c>
    </row>
    <row r="35" spans="1:23">
      <c r="A35" s="31"/>
      <c r="B35" s="31"/>
      <c r="D35" s="70" t="str">
        <f ca="1">IF(E35&lt;$A$4,"Actual","Model Num")</f>
        <v>Model Num</v>
      </c>
      <c r="E35" s="71">
        <f>DATE(YEAR(E34),MONTH(E34)+6,DAY(E34))</f>
        <v>43313</v>
      </c>
      <c r="F35" s="74">
        <f ca="1">MAX(IF(ISERROR(VLOOKUP(E35,$A$12:$B$52,2,0)),VLOOKUP(E35,$P$11:$S$52,4,0)/1000000,(VLOOKUP(E35,$A$12:$B$52,2,0))),0)</f>
        <v>0.16498007202468332</v>
      </c>
      <c r="G35" s="128">
        <f ca="1">F35*1000000</f>
        <v>164980.07202468332</v>
      </c>
      <c r="I35" s="80">
        <f>E35</f>
        <v>43313</v>
      </c>
      <c r="J35" s="207">
        <f>$M$12*$N$7</f>
        <v>41497.25</v>
      </c>
      <c r="K35" s="88">
        <f>($F$7/360)*($O$2/100)*M34</f>
        <v>16009.78547687741</v>
      </c>
      <c r="L35" s="90">
        <f>J35-K35</f>
        <v>25487.464523122588</v>
      </c>
      <c r="M35" s="79">
        <f>M34-L35</f>
        <v>557746.97907896875</v>
      </c>
      <c r="N35" s="92">
        <f>L35/M34</f>
        <v>4.3700204613620654E-2</v>
      </c>
      <c r="O35" s="52"/>
      <c r="P35" s="80">
        <f>I35</f>
        <v>43313</v>
      </c>
      <c r="Q35" s="97">
        <f ca="1">S34*N35</f>
        <v>7741.5059472415924</v>
      </c>
      <c r="R35" s="98">
        <f ca="1">S34*$C$2/2</f>
        <v>4428.7584095365364</v>
      </c>
      <c r="S35" s="99">
        <f ca="1">IF(P35&lt;$A$4,(VLOOKUP(P35,$A$11:$B$52,2,0)*$S$12),(S34-(Q35+R35)))</f>
        <v>164980.07202468332</v>
      </c>
      <c r="U35" s="80">
        <f>P35</f>
        <v>43313</v>
      </c>
      <c r="V35" s="97">
        <f ca="1">IF(U35&lt;$A$4,0,(YEARFRAC($A$4,U35,1)))</f>
        <v>2.312956204379562</v>
      </c>
      <c r="W35" s="141">
        <f ca="1">V35*(S34-S35)</f>
        <v>28149.288452949389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43497</v>
      </c>
      <c r="F36" s="74">
        <f ca="1">MAX(IF(ISERROR(VLOOKUP(E36,$A$12:$B$52,2,0)),VLOOKUP(E36,$P$11:$S$52,4,0)/1000000,(VLOOKUP(E36,$A$12:$B$52,2,0))),0)</f>
        <v>0.15310949709185542</v>
      </c>
      <c r="G36" s="128">
        <f ca="1">F36*1000000</f>
        <v>153109.49709185542</v>
      </c>
      <c r="I36" s="80">
        <f>E36</f>
        <v>43497</v>
      </c>
      <c r="J36" s="207">
        <f>$M$12*$N$7</f>
        <v>41497.25</v>
      </c>
      <c r="K36" s="88">
        <f>($F$7/360)*($O$2/100)*M35</f>
        <v>15310.154575717694</v>
      </c>
      <c r="L36" s="90">
        <f>J36-K36</f>
        <v>26187.095424282306</v>
      </c>
      <c r="M36" s="79">
        <f>M35-L36</f>
        <v>531559.88365468639</v>
      </c>
      <c r="N36" s="92">
        <f>L36/M35</f>
        <v>4.6951568375190787E-2</v>
      </c>
      <c r="O36" s="52"/>
      <c r="P36" s="80">
        <f>I36</f>
        <v>43497</v>
      </c>
      <c r="Q36" s="97">
        <f ca="1">S35*N36</f>
        <v>7746.0731322108195</v>
      </c>
      <c r="R36" s="98">
        <f ca="1">S35*$C$2/2</f>
        <v>4124.5018006170831</v>
      </c>
      <c r="S36" s="99">
        <f ca="1">IF(P36&lt;$A$4,(VLOOKUP(P36,$A$11:$B$52,2,0)*$S$12),(S35-(Q36+R36)))</f>
        <v>153109.49709185542</v>
      </c>
      <c r="U36" s="80">
        <f>P36</f>
        <v>43497</v>
      </c>
      <c r="V36" s="97">
        <f ca="1">IF(U36&lt;$A$4,0,(YEARFRAC($A$4,U36,1)))</f>
        <v>2.817248459958932</v>
      </c>
      <c r="W36" s="141">
        <f ca="1">V36*(S35-S36)</f>
        <v>33442.358948336521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43678</v>
      </c>
      <c r="F37" s="74">
        <f ca="1">MAX(IF(ISERROR(VLOOKUP(E37,$A$12:$B$52,2,0)),VLOOKUP(E37,$P$11:$S$52,4,0)/1000000,(VLOOKUP(E37,$A$12:$B$52,2,0))),0)</f>
        <v>0.1415318264575445</v>
      </c>
      <c r="G37" s="128">
        <f ca="1">F37*1000000</f>
        <v>141531.82645754449</v>
      </c>
      <c r="I37" s="80">
        <f>E37</f>
        <v>43678</v>
      </c>
      <c r="J37" s="207">
        <f>$M$12*$N$7</f>
        <v>41497.25</v>
      </c>
      <c r="K37" s="88">
        <f>($F$7/360)*($O$2/100)*M36</f>
        <v>14591.318806321142</v>
      </c>
      <c r="L37" s="90">
        <f>J37-K37</f>
        <v>26905.931193678858</v>
      </c>
      <c r="M37" s="79">
        <f>M36-L37</f>
        <v>504653.95246100752</v>
      </c>
      <c r="N37" s="92">
        <f>L37/M36</f>
        <v>5.0616933333437128E-2</v>
      </c>
      <c r="O37" s="52"/>
      <c r="P37" s="80">
        <f>I37</f>
        <v>43678</v>
      </c>
      <c r="Q37" s="97">
        <f ca="1">S36*N37</f>
        <v>7749.933207014531</v>
      </c>
      <c r="R37" s="98">
        <f ca="1">S36*$C$2/2</f>
        <v>3827.7374272963857</v>
      </c>
      <c r="S37" s="99">
        <f ca="1">IF(P37&lt;$A$4,(VLOOKUP(P37,$A$11:$B$52,2,0)*$S$12),(S36-(Q37+R37)))</f>
        <v>141531.82645754449</v>
      </c>
      <c r="U37" s="80">
        <f>P37</f>
        <v>43678</v>
      </c>
      <c r="V37" s="97">
        <f ca="1">IF(U37&lt;$A$4,0,(YEARFRAC($A$4,U37,1)))</f>
        <v>3.3127994524298425</v>
      </c>
      <c r="W37" s="141">
        <f ca="1">V37*(S36-S37)</f>
        <v>38354.500937758305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43862</v>
      </c>
      <c r="F38" s="74">
        <f ca="1">MAX(IF(ISERROR(VLOOKUP(E38,$A$12:$B$52,2,0)),VLOOKUP(E38,$P$11:$S$52,4,0)/1000000,(VLOOKUP(E38,$A$12:$B$52,2,0))),0)</f>
        <v>0.13024054200726648</v>
      </c>
      <c r="G38" s="128">
        <f ca="1">F38*1000000</f>
        <v>130240.54200726649</v>
      </c>
      <c r="I38" s="80">
        <f>E38</f>
        <v>43862</v>
      </c>
      <c r="J38" s="207">
        <f>$M$12*$N$7</f>
        <v>41497.25</v>
      </c>
      <c r="K38" s="88">
        <f>($F$7/360)*($O$2/100)*M37</f>
        <v>13852.750995054657</v>
      </c>
      <c r="L38" s="90">
        <f>J38-K38</f>
        <v>27644.499004945341</v>
      </c>
      <c r="M38" s="79">
        <f>M37-L38</f>
        <v>477009.45345606218</v>
      </c>
      <c r="N38" s="92">
        <f>L38/M37</f>
        <v>5.4779119176880546E-2</v>
      </c>
      <c r="O38" s="52"/>
      <c r="P38" s="80">
        <f>I38</f>
        <v>43862</v>
      </c>
      <c r="Q38" s="97">
        <f ca="1">S37*N38</f>
        <v>7752.9887888394051</v>
      </c>
      <c r="R38" s="98">
        <f ca="1">S37*$C$2/2</f>
        <v>3538.2956614386126</v>
      </c>
      <c r="S38" s="99">
        <f ca="1">IF(P38&lt;$A$4,(VLOOKUP(P38,$A$11:$B$52,2,0)*$S$12),(S37-(Q38+R38)))</f>
        <v>130240.54200726647</v>
      </c>
      <c r="U38" s="80">
        <f>P38</f>
        <v>43862</v>
      </c>
      <c r="V38" s="97">
        <f ca="1">IF(U38&lt;$A$4,0,(YEARFRAC($A$4,U38,1)))</f>
        <v>3.8149972632731255</v>
      </c>
      <c r="W38" s="141">
        <f ca="1">V38*(S37-S38)</f>
        <v>43076.219276649048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44044</v>
      </c>
      <c r="F39" s="74">
        <f ca="1">MAX(IF(ISERROR(VLOOKUP(E39,$A$12:$B$52,2,0)),VLOOKUP(E39,$P$11:$S$52,4,0)/1000000,(VLOOKUP(E39,$A$12:$B$52,2,0))),0)</f>
        <v>0.11922940655105667</v>
      </c>
      <c r="G39" s="128">
        <f ca="1">F39*1000000</f>
        <v>119229.40655105667</v>
      </c>
      <c r="I39" s="80">
        <f>E39</f>
        <v>44044</v>
      </c>
      <c r="J39" s="207">
        <f>$M$12*$N$7</f>
        <v>41497.25</v>
      </c>
      <c r="K39" s="88">
        <f>($F$7/360)*($O$2/100)*M38</f>
        <v>13093.909497368908</v>
      </c>
      <c r="L39" s="90">
        <f>J39-K39</f>
        <v>28403.340502631094</v>
      </c>
      <c r="M39" s="79">
        <f>M38-L39</f>
        <v>448606.11295343109</v>
      </c>
      <c r="N39" s="92">
        <f>L39/M38</f>
        <v>5.9544607128519632E-2</v>
      </c>
      <c r="O39" s="52"/>
      <c r="P39" s="80">
        <f>I39</f>
        <v>44044</v>
      </c>
      <c r="Q39" s="97">
        <f ca="1">S38*N39</f>
        <v>7755.1219060281401</v>
      </c>
      <c r="R39" s="98">
        <f ca="1">S38*$C$2/2</f>
        <v>3256.0135501816621</v>
      </c>
      <c r="S39" s="99">
        <f ca="1">IF(P39&lt;$A$4,(VLOOKUP(P39,$A$11:$B$52,2,0)*$S$12),(S38-(Q39+R39)))</f>
        <v>119229.40655105667</v>
      </c>
      <c r="U39" s="80">
        <f>P39</f>
        <v>44044</v>
      </c>
      <c r="V39" s="97">
        <f ca="1">IF(U39&lt;$A$4,0,(YEARFRAC($A$4,U39,1)))</f>
        <v>4.3130815544608652</v>
      </c>
      <c r="W39" s="141">
        <f ca="1">V39*(S38-S39)</f>
        <v>47491.925229848508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44228</v>
      </c>
      <c r="F40" s="74">
        <f ca="1">MAX(IF(ISERROR(VLOOKUP(E40,$A$12:$B$52,2,0)),VLOOKUP(E40,$P$11:$S$52,4,0)/1000000,(VLOOKUP(E40,$A$12:$B$52,2,0))),0)</f>
        <v>0.1084924836639282</v>
      </c>
      <c r="G40" s="128">
        <f ca="1">F40*1000000</f>
        <v>108492.4836639282</v>
      </c>
      <c r="I40" s="80">
        <f>E40</f>
        <v>44228</v>
      </c>
      <c r="J40" s="207">
        <f>$M$12*$N$7</f>
        <v>41497.25</v>
      </c>
      <c r="K40" s="88">
        <f>($F$7/360)*($O$2/100)*M39</f>
        <v>12314.237800571684</v>
      </c>
      <c r="L40" s="90">
        <f>J40-K40</f>
        <v>29183.012199428318</v>
      </c>
      <c r="M40" s="79">
        <f>M39-L40</f>
        <v>419423.10075400275</v>
      </c>
      <c r="N40" s="92">
        <f>L40/M39</f>
        <v>6.5052640516420582E-2</v>
      </c>
      <c r="O40" s="52"/>
      <c r="P40" s="80">
        <f>I40</f>
        <v>44228</v>
      </c>
      <c r="Q40" s="97">
        <f ca="1">S39*N40</f>
        <v>7756.1877233520509</v>
      </c>
      <c r="R40" s="98">
        <f ca="1">S39*$C$2/2</f>
        <v>2980.7351637764168</v>
      </c>
      <c r="S40" s="99">
        <f ca="1">IF(P40&lt;$A$4,(VLOOKUP(P40,$A$11:$B$52,2,0)*$S$12),(S39-(Q40+R40)))</f>
        <v>108492.4836639282</v>
      </c>
      <c r="U40" s="80">
        <f>P40</f>
        <v>44228</v>
      </c>
      <c r="V40" s="97">
        <f ca="1">IF(U40&lt;$A$4,0,(YEARFRAC($A$4,U40,1)))</f>
        <v>4.8175182481751824</v>
      </c>
      <c r="W40" s="141">
        <f ca="1">V40*(S39-S40)</f>
        <v>51725.321937991175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44409</v>
      </c>
      <c r="F41" s="74">
        <f ca="1">MAX(IF(ISERROR(VLOOKUP(E41,$A$12:$B$52,2,0)),VLOOKUP(E41,$P$11:$S$52,4,0)/1000000,(VLOOKUP(E41,$A$12:$B$52,2,0))),0)</f>
        <v>9.8024165901367977E-2</v>
      </c>
      <c r="G41" s="128">
        <f ca="1">F41*1000000</f>
        <v>98024.165901367975</v>
      </c>
      <c r="I41" s="80">
        <f>E41</f>
        <v>44409</v>
      </c>
      <c r="J41" s="207">
        <f>$M$12*$N$7</f>
        <v>41497.25</v>
      </c>
      <c r="K41" s="88">
        <f>($F$7/360)*($O$2/100)*M40</f>
        <v>11513.164115697376</v>
      </c>
      <c r="L41" s="90">
        <f>J41-K41</f>
        <v>29984.085884302622</v>
      </c>
      <c r="M41" s="79">
        <f>M40-L41</f>
        <v>389439.01486970013</v>
      </c>
      <c r="N41" s="92">
        <f>L41/M40</f>
        <v>7.1488875625590989E-2</v>
      </c>
      <c r="O41" s="52"/>
      <c r="P41" s="80">
        <f>I41</f>
        <v>44409</v>
      </c>
      <c r="Q41" s="97">
        <f ca="1">S40*N41</f>
        <v>7756.0056709620249</v>
      </c>
      <c r="R41" s="98">
        <f ca="1">S40*$C$2/2</f>
        <v>2712.3120915982054</v>
      </c>
      <c r="S41" s="99">
        <f ca="1">IF(P41&lt;$A$4,(VLOOKUP(P41,$A$11:$B$52,2,0)*$S$12),(S40-(Q41+R41)))</f>
        <v>98024.165901367975</v>
      </c>
      <c r="U41" s="80">
        <f>P41</f>
        <v>44409</v>
      </c>
      <c r="V41" s="97">
        <f ca="1">IF(U41&lt;$A$4,0,(YEARFRAC($A$4,U41,1)))</f>
        <v>5.312956204379562</v>
      </c>
      <c r="W41" s="141">
        <f ca="1">V41*(S40-S41)</f>
        <v>55617.713806011125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44593</v>
      </c>
      <c r="F42" s="74">
        <f ca="1">MAX(IF(ISERROR(VLOOKUP(E42,$A$12:$B$52,2,0)),VLOOKUP(E42,$P$11:$S$52,4,0)/1000000,(VLOOKUP(E42,$A$12:$B$52,2,0))),0)</f>
        <v>8.7819215185258509E-2</v>
      </c>
      <c r="G42" s="128">
        <f ca="1">F42*1000000</f>
        <v>87819.215185258508</v>
      </c>
      <c r="I42" s="80">
        <f>E42</f>
        <v>44593</v>
      </c>
      <c r="J42" s="207">
        <f>$M$12*$N$7</f>
        <v>41497.25</v>
      </c>
      <c r="K42" s="88">
        <f>($F$7/360)*($O$2/100)*M41</f>
        <v>10690.100958173269</v>
      </c>
      <c r="L42" s="90">
        <f>J42-K42</f>
        <v>30807.149041826731</v>
      </c>
      <c r="M42" s="79">
        <f>M41-L42</f>
        <v>358631.86582787341</v>
      </c>
      <c r="N42" s="92">
        <f>L42/M41</f>
        <v>7.9106478461420451E-2</v>
      </c>
      <c r="O42" s="52"/>
      <c r="P42" s="80">
        <f>I42</f>
        <v>44593</v>
      </c>
      <c r="Q42" s="97">
        <f ca="1">S41*N42</f>
        <v>7754.3465685752708</v>
      </c>
      <c r="R42" s="98">
        <f ca="1">S41*$C$2/2</f>
        <v>2450.6041475341995</v>
      </c>
      <c r="S42" s="99">
        <f ca="1">IF(P42&lt;$A$4,(VLOOKUP(P42,$A$11:$B$52,2,0)*$S$12),(S41-(Q42+R42)))</f>
        <v>87819.215185258508</v>
      </c>
      <c r="U42" s="80">
        <f>P42</f>
        <v>44593</v>
      </c>
      <c r="V42" s="97">
        <f ca="1">IF(U42&lt;$A$4,0,(YEARFRAC($A$4,U42,1)))</f>
        <v>5.817364098552992</v>
      </c>
      <c r="W42" s="141">
        <f ca="1">V42*(S41-S42)</f>
        <v>59365.913923397857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44774</v>
      </c>
      <c r="F43" s="74">
        <f ca="1">MAX(IF(ISERROR(VLOOKUP(E43,$A$12:$B$52,2,0)),VLOOKUP(E43,$P$11:$S$52,4,0)/1000000,(VLOOKUP(E43,$A$12:$B$52,2,0))),0)</f>
        <v>7.787282145064596E-2</v>
      </c>
      <c r="G43" s="128">
        <f ca="1">F43*1000000</f>
        <v>77872.821450645963</v>
      </c>
      <c r="I43" s="80">
        <f>E43</f>
        <v>44774</v>
      </c>
      <c r="J43" s="207">
        <f>$M$12*$N$7</f>
        <v>41497.25</v>
      </c>
      <c r="K43" s="88">
        <f>($F$7/360)*($O$2/100)*M42</f>
        <v>9844.4447169751256</v>
      </c>
      <c r="L43" s="90">
        <f>J43-K43</f>
        <v>31652.805283024874</v>
      </c>
      <c r="M43" s="79">
        <f>M42-L43</f>
        <v>326979.06054484856</v>
      </c>
      <c r="N43" s="92">
        <f>L43/M42</f>
        <v>8.8259879556315687E-2</v>
      </c>
      <c r="O43" s="52"/>
      <c r="P43" s="80">
        <f>I43</f>
        <v>44774</v>
      </c>
      <c r="Q43" s="97">
        <f ca="1">S42*N43</f>
        <v>7750.9133549810858</v>
      </c>
      <c r="R43" s="98">
        <f ca="1">S42*$C$2/2</f>
        <v>2195.4803796314627</v>
      </c>
      <c r="S43" s="99">
        <f ca="1">IF(P43&lt;$A$4,(VLOOKUP(P43,$A$11:$B$52,2,0)*$S$12),(S42-(Q43+R43)))</f>
        <v>77872.821450645963</v>
      </c>
      <c r="U43" s="80">
        <f>P43</f>
        <v>44774</v>
      </c>
      <c r="V43" s="97">
        <f ca="1">IF(U43&lt;$A$4,0,(YEARFRAC($A$4,U43,1)))</f>
        <v>6.3128666405944465</v>
      </c>
      <c r="W43" s="141">
        <f ca="1">V43*(S42-S43)</f>
        <v>62790.257201453154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44958</v>
      </c>
      <c r="F44" s="74">
        <f ca="1">MAX(IF(ISERROR(VLOOKUP(E44,$A$12:$B$52,2,0)),VLOOKUP(E44,$P$11:$S$52,4,0)/1000000,(VLOOKUP(E44,$A$12:$B$52,2,0))),0)</f>
        <v>6.8180689731990041E-2</v>
      </c>
      <c r="G44" s="128">
        <f ca="1">F44*1000000</f>
        <v>68180.689731990045</v>
      </c>
      <c r="I44" s="80">
        <f>E44</f>
        <v>44958</v>
      </c>
      <c r="J44" s="207">
        <f>$M$12*$N$7</f>
        <v>41497.25</v>
      </c>
      <c r="K44" s="88">
        <f>($F$7/360)*($O$2/100)*M43</f>
        <v>8975.575211956093</v>
      </c>
      <c r="L44" s="90">
        <f>J44-K44</f>
        <v>32521.674788043907</v>
      </c>
      <c r="M44" s="79">
        <f>M43-L44</f>
        <v>294457.38575680467</v>
      </c>
      <c r="N44" s="92">
        <f>L44/M43</f>
        <v>9.9461031950647566E-2</v>
      </c>
      <c r="O44" s="52"/>
      <c r="P44" s="80">
        <f>I44</f>
        <v>44958</v>
      </c>
      <c r="Q44" s="97">
        <f ca="1">S43*N44</f>
        <v>7745.3111823897716</v>
      </c>
      <c r="R44" s="98">
        <f ca="1">S43*$C$2/2</f>
        <v>1946.8205362661492</v>
      </c>
      <c r="S44" s="99">
        <f ca="1">IF(P44&lt;$A$4,(VLOOKUP(P44,$A$11:$B$52,2,0)*$S$12),(S43-(Q44+R44)))</f>
        <v>68180.689731990045</v>
      </c>
      <c r="U44" s="80">
        <f>P44</f>
        <v>44958</v>
      </c>
      <c r="V44" s="97">
        <f ca="1">IF(U44&lt;$A$4,0,(YEARFRAC($A$4,U44,1)))</f>
        <v>6.8172484599589325</v>
      </c>
      <c r="W44" s="141">
        <f ca="1">V44*(S43-S44)</f>
        <v>66073.670032726179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45139</v>
      </c>
      <c r="F45" s="74">
        <f ca="1">MAX(IF(ISERROR(VLOOKUP(E45,$A$12:$B$52,2,0)),VLOOKUP(E45,$P$11:$S$52,4,0)/1000000,(VLOOKUP(E45,$A$12:$B$52,2,0))),0)</f>
        <v>5.8739173547655343E-2</v>
      </c>
      <c r="G45" s="128">
        <f ca="1">F45*1000000</f>
        <v>58739.173547655344</v>
      </c>
      <c r="I45" s="80">
        <f>E45</f>
        <v>45139</v>
      </c>
      <c r="J45" s="207">
        <f>$M$12*$N$7</f>
        <v>41497.25</v>
      </c>
      <c r="K45" s="88">
        <f>($F$7/360)*($O$2/100)*M44</f>
        <v>8082.8552390242885</v>
      </c>
      <c r="L45" s="90">
        <f>J45-K45</f>
        <v>33414.394760975709</v>
      </c>
      <c r="M45" s="79">
        <f>M44-L45</f>
        <v>261042.99099582896</v>
      </c>
      <c r="N45" s="92">
        <f>L45/M44</f>
        <v>0.11347786259493928</v>
      </c>
      <c r="O45" s="52"/>
      <c r="P45" s="80">
        <f>I45</f>
        <v>45139</v>
      </c>
      <c r="Q45" s="97">
        <f ca="1">S44*N45</f>
        <v>7736.9989410349535</v>
      </c>
      <c r="R45" s="98">
        <f ca="1">S44*$C$2/2</f>
        <v>1704.5172432997513</v>
      </c>
      <c r="S45" s="99">
        <f ca="1">IF(P45&lt;$A$4,(VLOOKUP(P45,$A$11:$B$52,2,0)*$S$12),(S44-(Q45+R45)))</f>
        <v>58739.173547655344</v>
      </c>
      <c r="U45" s="80">
        <f>P45</f>
        <v>45139</v>
      </c>
      <c r="V45" s="97">
        <f ca="1">IF(U45&lt;$A$4,0,(YEARFRAC($A$4,U45,1)))</f>
        <v>7.312799452429843</v>
      </c>
      <c r="W45" s="141">
        <f ca="1">V45*(S44-S45)</f>
        <v>69043.914382910298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45323</v>
      </c>
      <c r="F46" s="74">
        <f ca="1">MAX(IF(ISERROR(VLOOKUP(E46,$A$12:$B$52,2,0)),VLOOKUP(E46,$P$11:$S$52,4,0)/1000000,(VLOOKUP(E46,$A$12:$B$52,2,0))),0)</f>
        <v>4.9545487829667209E-2</v>
      </c>
      <c r="G46" s="128">
        <f ca="1">F46*1000000</f>
        <v>49545.48782966721</v>
      </c>
      <c r="I46" s="80">
        <f>E46</f>
        <v>45323</v>
      </c>
      <c r="J46" s="207">
        <f>$M$12*$N$7</f>
        <v>41497.25</v>
      </c>
      <c r="K46" s="88">
        <f>($F$7/360)*($O$2/100)*M45</f>
        <v>7165.6301028355056</v>
      </c>
      <c r="L46" s="90">
        <f>J46-K46</f>
        <v>34331.619897164492</v>
      </c>
      <c r="M46" s="79">
        <f>M45-L46</f>
        <v>226711.37109866447</v>
      </c>
      <c r="N46" s="92">
        <f>L46/M45</f>
        <v>0.13151711051959658</v>
      </c>
      <c r="O46" s="52"/>
      <c r="P46" s="80">
        <f>I46</f>
        <v>45323</v>
      </c>
      <c r="Q46" s="97">
        <f ca="1">S45*N46</f>
        <v>7725.2063792967519</v>
      </c>
      <c r="R46" s="98">
        <f ca="1">S45*$C$2/2</f>
        <v>1468.4793386913836</v>
      </c>
      <c r="S46" s="99">
        <f ca="1">IF(P46&lt;$A$4,(VLOOKUP(P46,$A$11:$B$52,2,0)*$S$12),(S45-(Q46+R46)))</f>
        <v>49545.48782966721</v>
      </c>
      <c r="U46" s="80">
        <f>P46</f>
        <v>45323</v>
      </c>
      <c r="V46" s="97">
        <f ca="1">IF(U46&lt;$A$4,0,(YEARFRAC($A$4,U46,1)))</f>
        <v>7.8147810218978107</v>
      </c>
      <c r="W46" s="141">
        <f ca="1">V46*(S45-S46)</f>
        <v>71846.64067022661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45505</v>
      </c>
      <c r="F47" s="74">
        <f ca="1">MAX(IF(ISERROR(VLOOKUP(E47,$A$12:$B$52,2,0)),VLOOKUP(E47,$P$11:$S$52,4,0)/1000000,(VLOOKUP(E47,$A$12:$B$52,2,0))),0)</f>
        <v>4.0598068043931339E-2</v>
      </c>
      <c r="G47" s="128">
        <f ca="1">F47*1000000</f>
        <v>40598.068043931336</v>
      </c>
      <c r="I47" s="80">
        <f>E47</f>
        <v>45505</v>
      </c>
      <c r="J47" s="207">
        <f>$M$12*$N$7</f>
        <v>41497.25</v>
      </c>
      <c r="K47" s="88">
        <f>($F$7/360)*($O$2/100)*M46</f>
        <v>6223.22713665834</v>
      </c>
      <c r="L47" s="90">
        <f>J47-K47</f>
        <v>35274.022863341663</v>
      </c>
      <c r="M47" s="79">
        <f>M46-L47</f>
        <v>191437.3482353228</v>
      </c>
      <c r="N47" s="92">
        <f>L47/M46</f>
        <v>0.1555900027969504</v>
      </c>
      <c r="O47" s="52"/>
      <c r="P47" s="80">
        <f>I47</f>
        <v>45505</v>
      </c>
      <c r="Q47" s="97">
        <f ca="1">S46*N47</f>
        <v>7708.7825899941936</v>
      </c>
      <c r="R47" s="98">
        <f ca="1">S46*$C$2/2</f>
        <v>1238.6371957416804</v>
      </c>
      <c r="S47" s="99">
        <f ca="1">IF(P47&lt;$A$4,(VLOOKUP(P47,$A$11:$B$52,2,0)*$S$12),(S46-(Q47+R47)))</f>
        <v>40598.068043931336</v>
      </c>
      <c r="U47" s="80">
        <f>P47</f>
        <v>45505</v>
      </c>
      <c r="V47" s="97">
        <f ca="1">IF(U47&lt;$A$4,0,(YEARFRAC($A$4,U47,1)))</f>
        <v>8.312956204379562</v>
      </c>
      <c r="W47" s="141">
        <f ca="1">V47*(S46-S47)</f>
        <v>74379.508821021489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45689</v>
      </c>
      <c r="F48" s="74">
        <f ca="1">MAX(IF(ISERROR(VLOOKUP(E48,$A$12:$B$52,2,0)),VLOOKUP(E48,$P$11:$S$52,4,0)/1000000,(VLOOKUP(E48,$A$12:$B$52,2,0))),0)</f>
        <v>3.1897222427387933E-2</v>
      </c>
      <c r="G48" s="128">
        <f ca="1">F48*1000000</f>
        <v>31897.222427387933</v>
      </c>
      <c r="I48" s="80">
        <f>E48</f>
        <v>45689</v>
      </c>
      <c r="J48" s="207">
        <f>$M$12*$N$7</f>
        <v>41497.25</v>
      </c>
      <c r="K48" s="88">
        <f>($F$7/360)*($O$2/100)*M47</f>
        <v>5254.9552090596117</v>
      </c>
      <c r="L48" s="90">
        <f>J48-K48</f>
        <v>36242.294790940388</v>
      </c>
      <c r="M48" s="79">
        <f>M47-L48</f>
        <v>155195.05344438241</v>
      </c>
      <c r="N48" s="92">
        <f>L48/M47</f>
        <v>0.18931674056825026</v>
      </c>
      <c r="O48" s="52"/>
      <c r="P48" s="80">
        <f>I48</f>
        <v>45689</v>
      </c>
      <c r="Q48" s="97">
        <f ca="1">S47*N48</f>
        <v>7685.89391544512</v>
      </c>
      <c r="R48" s="98">
        <f ca="1">S47*$C$2/2</f>
        <v>1014.9517010982835</v>
      </c>
      <c r="S48" s="99">
        <f ca="1">IF(P48&lt;$A$4,(VLOOKUP(P48,$A$11:$B$52,2,0)*$S$12),(S47-(Q48+R48)))</f>
        <v>31897.222427387933</v>
      </c>
      <c r="U48" s="80">
        <f>P48</f>
        <v>45689</v>
      </c>
      <c r="V48" s="97">
        <f ca="1">IF(U48&lt;$A$4,0,(YEARFRAC($A$4,U48,1)))</f>
        <v>8.8174103476594574</v>
      </c>
      <c r="W48" s="141">
        <f ca="1">V48*(S47-S48)</f>
        <v>76718.926172697233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45870</v>
      </c>
      <c r="F49" s="74">
        <f ca="1">MAX(IF(ISERROR(VLOOKUP(E49,$A$12:$B$52,2,0)),VLOOKUP(E49,$P$11:$S$52,4,0)/1000000,(VLOOKUP(E49,$A$12:$B$52,2,0))),0)</f>
        <v>2.3446445350568675E-2</v>
      </c>
      <c r="G49" s="128">
        <f ca="1">F49*1000000</f>
        <v>23446.445350568676</v>
      </c>
      <c r="I49" s="80">
        <f>E49</f>
        <v>45870</v>
      </c>
      <c r="J49" s="207">
        <f>$M$12*$N$7</f>
        <v>41497.25</v>
      </c>
      <c r="K49" s="88">
        <f>($F$7/360)*($O$2/100)*M48</f>
        <v>4260.1042170482979</v>
      </c>
      <c r="L49" s="90">
        <f>J49-K49</f>
        <v>37237.145782951702</v>
      </c>
      <c r="M49" s="79">
        <f>M48-L49</f>
        <v>117957.90766143071</v>
      </c>
      <c r="N49" s="92">
        <f>L49/M48</f>
        <v>0.23993771036198946</v>
      </c>
      <c r="O49" s="52"/>
      <c r="P49" s="80">
        <f>I49</f>
        <v>45870</v>
      </c>
      <c r="Q49" s="97">
        <f ca="1">S48*N49</f>
        <v>7653.3465161345603</v>
      </c>
      <c r="R49" s="98">
        <f ca="1">S48*$C$2/2</f>
        <v>797.43056068469832</v>
      </c>
      <c r="S49" s="99">
        <f ca="1">IF(P49&lt;$A$4,(VLOOKUP(P49,$A$11:$B$52,2,0)*$S$12),(S48-(Q49+R49)))</f>
        <v>23446.445350568676</v>
      </c>
      <c r="U49" s="80">
        <f>P49</f>
        <v>45870</v>
      </c>
      <c r="V49" s="97">
        <f ca="1">IF(U49&lt;$A$4,0,(YEARFRAC($A$4,U49,1)))</f>
        <v>9.312893512181768</v>
      </c>
      <c r="W49" s="141">
        <f ca="1">V49*(S48-S49)</f>
        <v>78701.187011604459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46054</v>
      </c>
      <c r="F50" s="74">
        <f ca="1">MAX(IF(ISERROR(VLOOKUP(E50,$A$12:$B$52,2,0)),VLOOKUP(E50,$P$11:$S$52,4,0)/1000000,(VLOOKUP(E50,$A$12:$B$52,2,0))),0)</f>
        <v>1.525549762971096E-2</v>
      </c>
      <c r="G50" s="128">
        <f ca="1">F50*1000000</f>
        <v>15255.497629710961</v>
      </c>
      <c r="I50" s="80">
        <f>E50</f>
        <v>46054</v>
      </c>
      <c r="J50" s="207">
        <f>$M$12*$N$7</f>
        <v>41497.25</v>
      </c>
      <c r="K50" s="88">
        <f>($F$7/360)*($O$2/100)*M49</f>
        <v>3237.9445653062735</v>
      </c>
      <c r="L50" s="90">
        <f>J50-K50</f>
        <v>38259.305434693728</v>
      </c>
      <c r="M50" s="79">
        <f>M49-L50</f>
        <v>79698.602226736984</v>
      </c>
      <c r="N50" s="92">
        <f>L50/M49</f>
        <v>0.32434710137880451</v>
      </c>
      <c r="O50" s="52"/>
      <c r="P50" s="80">
        <f>I50</f>
        <v>46054</v>
      </c>
      <c r="Q50" s="97">
        <f ca="1">S49*N50</f>
        <v>7604.7865870934984</v>
      </c>
      <c r="R50" s="98">
        <f ca="1">S49*$C$2/2</f>
        <v>586.16113376421697</v>
      </c>
      <c r="S50" s="99">
        <f ca="1">IF(P50&lt;$A$4,(VLOOKUP(P50,$A$11:$B$52,2,0)*$S$12),(S49-(Q50+R50)))</f>
        <v>15255.497629710961</v>
      </c>
      <c r="U50" s="80">
        <f>P50</f>
        <v>46054</v>
      </c>
      <c r="V50" s="97">
        <f ca="1">IF(U50&lt;$A$4,0,(YEARFRAC($A$4,U50,1)))</f>
        <v>9.8173220507715282</v>
      </c>
      <c r="W50" s="141">
        <f ca="1">V50*(S49-S50)</f>
        <v>80413.171676693237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46235</v>
      </c>
      <c r="F51" s="74">
        <f ca="1">MAX(IF(ISERROR(VLOOKUP(E51,$A$12:$B$52,2,0)),VLOOKUP(E51,$P$11:$S$52,4,0)/1000000,(VLOOKUP(E51,$A$12:$B$52,2,0))),0)</f>
        <v>7.34968286121041E-3</v>
      </c>
      <c r="G51" s="128">
        <f ca="1">F51*1000000</f>
        <v>7349.68286121041</v>
      </c>
      <c r="I51" s="80">
        <f>E51</f>
        <v>46235</v>
      </c>
      <c r="J51" s="207">
        <f>$M$12*$N$7</f>
        <v>41497.25</v>
      </c>
      <c r="K51" s="88">
        <f>($F$7/360)*($O$2/100)*M50</f>
        <v>2187.7266311239305</v>
      </c>
      <c r="L51" s="90">
        <f>J51-K51</f>
        <v>39309.523368876071</v>
      </c>
      <c r="M51" s="79">
        <f>M50-L51</f>
        <v>40389.078857860914</v>
      </c>
      <c r="N51" s="92">
        <f>L51/M50</f>
        <v>0.49322726209229129</v>
      </c>
      <c r="O51" s="52"/>
      <c r="P51" s="80">
        <f>I51</f>
        <v>46235</v>
      </c>
      <c r="Q51" s="97">
        <f ca="1">S50*N51</f>
        <v>7524.4273277577768</v>
      </c>
      <c r="R51" s="98">
        <f ca="1">S50*$C$2/2</f>
        <v>381.38744074277406</v>
      </c>
      <c r="S51" s="99">
        <f ca="1">IF(P51&lt;$A$4,(VLOOKUP(P51,$A$11:$B$52,2,0)*$S$12),(S50-(Q51+R51)))</f>
        <v>7349.68286121041</v>
      </c>
      <c r="U51" s="80">
        <f>P51</f>
        <v>46235</v>
      </c>
      <c r="V51" s="97">
        <f ca="1">IF(U51&lt;$A$4,0,(YEARFRAC($A$4,U51,1)))</f>
        <v>10.312842210054754</v>
      </c>
      <c r="W51" s="141">
        <f ca="1">V51*(S50-S51)</f>
        <v>81531.420249466726</v>
      </c>
    </row>
    <row r="52" spans="1:23" s="82" customFormat="1" ht="13.5" thickBot="1">
      <c r="A52" s="81"/>
      <c r="B52" s="81"/>
      <c r="D52" s="66" t="str">
        <f ca="1">IF(E52&lt;$A$4,"Actual","Model Num")</f>
        <v>Model Num</v>
      </c>
      <c r="E52" s="71">
        <f>DATE(YEAR(E51),MONTH(E51)+6,DAY(E51))</f>
        <v>46419</v>
      </c>
      <c r="F52" s="74">
        <f>MAX(IF(ISERROR(VLOOKUP(E52,$A$12:$B$52,2,0)),VLOOKUP(E52,$P$11:$S$52,4,0)/1000000,(VLOOKUP(E52,$A$12:$B$52,2,0))),0)</f>
        <v>0</v>
      </c>
      <c r="G52" s="103">
        <f>F52*1000000</f>
        <v>0</v>
      </c>
      <c r="H52" s="83"/>
      <c r="I52" s="84">
        <f>E52</f>
        <v>46419</v>
      </c>
      <c r="J52" s="209">
        <f>$M$12*$N$7</f>
        <v>41497.25</v>
      </c>
      <c r="K52" s="89">
        <f>($F$7/360)*($O$2/100)*M51</f>
        <v>1108.6802146482821</v>
      </c>
      <c r="L52" s="91">
        <f>J52-K52</f>
        <v>40388.569785351719</v>
      </c>
      <c r="M52" s="85">
        <f>M51-L52</f>
        <v>0.50907250919408398</v>
      </c>
      <c r="N52" s="93">
        <f>L52/M51</f>
        <v>0.9999873957880796</v>
      </c>
      <c r="O52" s="86"/>
      <c r="P52" s="84">
        <f>I52</f>
        <v>46419</v>
      </c>
      <c r="Q52" s="100"/>
      <c r="R52" s="101"/>
      <c r="S52" s="102">
        <v>0</v>
      </c>
      <c r="U52" s="142">
        <f>P52</f>
        <v>46419</v>
      </c>
      <c r="V52" s="143">
        <f ca="1">IF(U52&lt;$A$4,0,(YEARFRAC($A$4,U52,1)))</f>
        <v>10.817248459958932</v>
      </c>
      <c r="W52" s="141">
        <f ca="1">V52*(S51-S52)</f>
        <v>79503.345611614874</v>
      </c>
    </row>
    <row r="53" spans="1:23">
      <c r="A53" s="31"/>
      <c r="B53" s="31"/>
    </row>
  </sheetData>
  <mergeCells count="5">
    <mergeCell ref="A10:B10"/>
    <mergeCell ref="U10:W10"/>
    <mergeCell ref="I10:N10"/>
    <mergeCell ref="P10:S10"/>
    <mergeCell ref="D10:G10"/>
  </mergeCells>
  <phoneticPr fontId="2" type="noConversion"/>
  <conditionalFormatting sqref="A1:XFD2 D12:G52">
    <cfRule type="expression" dxfId="47" priority="1" stopIfTrue="1">
      <formula>$D1="Actual"</formula>
    </cfRule>
  </conditionalFormatting>
  <conditionalFormatting sqref="A4">
    <cfRule type="expression" dxfId="46" priority="2" stopIfTrue="1">
      <formula>#REF!="Actual"</formula>
    </cfRule>
  </conditionalFormatting>
  <conditionalFormatting sqref="C6:C9">
    <cfRule type="cellIs" dxfId="45" priority="3" stopIfTrue="1" operator="equal">
      <formula>"PROB!!"</formula>
    </cfRule>
  </conditionalFormatting>
  <conditionalFormatting sqref="A7">
    <cfRule type="expression" dxfId="44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indexed="14"/>
  </sheetPr>
  <dimension ref="A1:W53"/>
  <sheetViews>
    <sheetView workbookViewId="0">
      <selection activeCell="E35" sqref="E35:G52"/>
    </sheetView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202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6" t="s">
        <v>4</v>
      </c>
      <c r="B2" s="67" t="str">
        <f>MID(A2,3,9)</f>
        <v>83162CNW9</v>
      </c>
      <c r="C2" s="131">
        <v>0.05</v>
      </c>
      <c r="D2" s="67">
        <f>IF(ISERROR(VLOOKUP(A2,'Bond Position per Summit'!$C$42:$E$56,3,0)),0,VLOOKUP(A2,'Bond Position per Summit'!$C$42:$E$56,3,0))</f>
        <v>8125759.0499999998</v>
      </c>
      <c r="E2" s="67">
        <f>IF(ISERROR(VLOOKUP(A2,'Bond Position per Summit'!$C$65:$E$73,3,0)),0,VLOOKUP(A2,'Bond Position per Summit'!$C$65:$E$73,3,0))</f>
        <v>0</v>
      </c>
      <c r="F2" s="67" t="str">
        <f>_xll.BDP($B2&amp;" Mtge Cusip",F$1)</f>
        <v>SBAP 2004-20G 1</v>
      </c>
      <c r="G2" s="67">
        <f>VLOOKUP(A2,'Bond Position per Summit'!$C$10:$D$32,2,0)</f>
        <v>15000000</v>
      </c>
      <c r="H2" s="67">
        <f>VLOOKUP(A2,'Bond Position per Summit'!$C$10:$E$32,3,0)</f>
        <v>8125759.0499999998</v>
      </c>
      <c r="I2" s="67" t="str">
        <f>_xll.BDP($B2&amp;" Mtge Cusip",I$1)</f>
        <v>14/07/2004</v>
      </c>
      <c r="J2" s="67" t="str">
        <f>_xll.BDP($B2&amp;" Mtge Cusip",J$1)</f>
        <v>14/07/2004</v>
      </c>
      <c r="K2" s="67" t="str">
        <f>_xll.BDP($B2&amp;" Mtge Cusip",K$1)</f>
        <v>01/01/2005</v>
      </c>
      <c r="L2" s="67" t="str">
        <f>_xll.BDP($B2&amp;" Mtge Cusip",L$1)</f>
        <v>01/07/2024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5.1899999999999995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15000000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0.12166788120000001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167</v>
      </c>
      <c r="I6" s="108" t="s">
        <v>81</v>
      </c>
      <c r="J6" s="118">
        <v>38602</v>
      </c>
      <c r="K6" s="113">
        <f>ROUND(J6/J5,8)</f>
        <v>3.8601999999999997E-2</v>
      </c>
      <c r="L6" s="108" t="s">
        <v>81</v>
      </c>
      <c r="M6" s="112">
        <v>579030</v>
      </c>
      <c r="N6" s="123">
        <f>ROUND(M6/M5,8)</f>
        <v>3.8601999999999997E-2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40476</v>
      </c>
      <c r="K7" s="115">
        <f>ROUND(J7/J5,8)</f>
        <v>4.0475999999999998E-2</v>
      </c>
      <c r="L7" s="109" t="s">
        <v>82</v>
      </c>
      <c r="M7" s="114">
        <v>607143</v>
      </c>
      <c r="N7" s="124">
        <f>ROUND(M7/M5,8)</f>
        <v>4.0476199999999997E-2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3.8872078936310128</v>
      </c>
    </row>
    <row r="12" spans="1:23">
      <c r="A12" s="49">
        <f>_xll.BDS($B2&amp;" Mtge Cusip",A11,"cols=2;rows=24")</f>
        <v>42370</v>
      </c>
      <c r="B12" s="50">
        <v>0.12166788100000001</v>
      </c>
      <c r="C12" s="52"/>
      <c r="D12" s="70" t="str">
        <f ca="1">IF(E12&lt;$A$4,"Actual","Model Num")</f>
        <v>Actual</v>
      </c>
      <c r="E12" s="71">
        <v>38182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38182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38182</v>
      </c>
      <c r="Q12" s="94"/>
      <c r="R12" s="95"/>
      <c r="S12" s="96">
        <f>M12</f>
        <v>1000000</v>
      </c>
      <c r="U12" s="139">
        <f>P12</f>
        <v>38182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42186</v>
      </c>
      <c r="B13" s="50">
        <v>0.150004156</v>
      </c>
      <c r="C13" s="52"/>
      <c r="D13" s="70" t="str">
        <f ca="1">IF(E13&lt;$A$4,"Actual","Model Num")</f>
        <v>Actual</v>
      </c>
      <c r="E13" s="71">
        <v>38353</v>
      </c>
      <c r="F13" s="74">
        <f>MAX(IF(ISERROR(VLOOKUP(E13,$A$12:$B$52,2,0)),VLOOKUP(E13,$P$11:$S$52,4,0)/1000000,(VLOOKUP(E13,$A$12:$B$52,2,0))),0)</f>
        <v>0.97961667299999999</v>
      </c>
      <c r="G13" s="128">
        <f>F13*1000000</f>
        <v>979616.67299999995</v>
      </c>
      <c r="H13" s="64"/>
      <c r="I13" s="80">
        <f>E13</f>
        <v>38353</v>
      </c>
      <c r="J13" s="125">
        <f>$M$12*$N$6</f>
        <v>38602</v>
      </c>
      <c r="K13" s="88">
        <f>($F$6/360)*($O$2/100)*M12</f>
        <v>24075.833333333332</v>
      </c>
      <c r="L13" s="90">
        <f>J13-K13</f>
        <v>14526.166666666668</v>
      </c>
      <c r="M13" s="79">
        <f>M12-L13</f>
        <v>985473.83333333337</v>
      </c>
      <c r="N13" s="126">
        <f>L13/M12</f>
        <v>1.4526166666666668E-2</v>
      </c>
      <c r="O13" s="52"/>
      <c r="P13" s="80">
        <f>I13</f>
        <v>38353</v>
      </c>
      <c r="Q13" s="97">
        <f>S12*N13</f>
        <v>14526.166666666668</v>
      </c>
      <c r="R13" s="98">
        <f>S12*$C$2/2</f>
        <v>25000</v>
      </c>
      <c r="S13" s="99">
        <f ca="1">IF(P13&lt;$A$4,(VLOOKUP(P13,$A$11:$B$52,2,0)*$S$12),(S12-(Q13+R13)))</f>
        <v>979616.67299999995</v>
      </c>
      <c r="U13" s="80">
        <f>P13</f>
        <v>38353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42005</v>
      </c>
      <c r="B14" s="50">
        <v>0.17664524200000001</v>
      </c>
      <c r="C14" s="52"/>
      <c r="D14" s="70" t="str">
        <f ca="1">IF(E14&lt;$A$4,"Actual","Model Num")</f>
        <v>Actual</v>
      </c>
      <c r="E14" s="71">
        <f>DATE(YEAR(E13),MONTH(E13)+6,DAY(E13))</f>
        <v>38534</v>
      </c>
      <c r="F14" s="74">
        <f>MAX(IF(ISERROR(VLOOKUP(E14,$A$12:$B$52,2,0)),VLOOKUP(E14,$P$11:$S$52,4,0)/1000000,(VLOOKUP(E14,$A$12:$B$52,2,0))),0)</f>
        <v>0.95647422599999998</v>
      </c>
      <c r="G14" s="128">
        <f>F14*1000000</f>
        <v>956474.22600000002</v>
      </c>
      <c r="H14" s="64"/>
      <c r="I14" s="80">
        <f>E14</f>
        <v>38534</v>
      </c>
      <c r="J14" s="205">
        <f>$M$12*$N$7</f>
        <v>40476.199999999997</v>
      </c>
      <c r="K14" s="88">
        <f>($F$7/360)*($O$2/100)*M13</f>
        <v>25573.045974999997</v>
      </c>
      <c r="L14" s="90">
        <f>J14-K14</f>
        <v>14903.154025</v>
      </c>
      <c r="M14" s="79">
        <f>M13-L14</f>
        <v>970570.67930833332</v>
      </c>
      <c r="N14" s="126">
        <f>L14/M13</f>
        <v>1.512283078546141E-2</v>
      </c>
      <c r="O14" s="52"/>
      <c r="P14" s="80">
        <f>I14</f>
        <v>38534</v>
      </c>
      <c r="Q14" s="97">
        <f ca="1">S13*N14</f>
        <v>14814.577180395681</v>
      </c>
      <c r="R14" s="98">
        <f ca="1">S13*$C$2/2</f>
        <v>24490.416825</v>
      </c>
      <c r="S14" s="99">
        <f ca="1">IF(P14&lt;$A$4,(VLOOKUP(P14,$A$11:$B$52,2,0)*$S$12),(S13-(Q14+R14)))</f>
        <v>956474.22600000002</v>
      </c>
      <c r="U14" s="80">
        <f>P14</f>
        <v>38534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41821</v>
      </c>
      <c r="B15" s="50">
        <v>0.212464657</v>
      </c>
      <c r="C15" s="52"/>
      <c r="D15" s="70" t="str">
        <f ca="1">IF(E15&lt;$A$4,"Actual","Model Num")</f>
        <v>Actual</v>
      </c>
      <c r="E15" s="71">
        <f>DATE(YEAR(E14),MONTH(E14)+6,DAY(E14))</f>
        <v>38718</v>
      </c>
      <c r="F15" s="74">
        <f>MAX(IF(ISERROR(VLOOKUP(E15,$A$12:$B$52,2,0)),VLOOKUP(E15,$P$11:$S$52,4,0)/1000000,(VLOOKUP(E15,$A$12:$B$52,2,0))),0)</f>
        <v>0.90573879099999999</v>
      </c>
      <c r="G15" s="128">
        <f>F15*1000000</f>
        <v>905738.79099999997</v>
      </c>
      <c r="H15" s="64"/>
      <c r="I15" s="80">
        <f>E15</f>
        <v>38718</v>
      </c>
      <c r="J15" s="205">
        <f>$M$12*$N$7</f>
        <v>40476.199999999997</v>
      </c>
      <c r="K15" s="88">
        <f>($F$7/360)*($O$2/100)*M14</f>
        <v>25186.309128051245</v>
      </c>
      <c r="L15" s="90">
        <f>J15-K15</f>
        <v>15289.890871948752</v>
      </c>
      <c r="M15" s="79">
        <f>M14-L15</f>
        <v>955280.78843638452</v>
      </c>
      <c r="N15" s="126">
        <f>L15/M14</f>
        <v>1.5753505847554479E-2</v>
      </c>
      <c r="O15" s="52"/>
      <c r="P15" s="80">
        <f>I15</f>
        <v>38718</v>
      </c>
      <c r="Q15" s="97">
        <f ca="1">S14*N15</f>
        <v>15067.822312326145</v>
      </c>
      <c r="R15" s="98">
        <f ca="1">S14*$C$2/2</f>
        <v>23911.855650000001</v>
      </c>
      <c r="S15" s="99">
        <f ca="1">IF(P15&lt;$A$4,(VLOOKUP(P15,$A$11:$B$52,2,0)*$S$12),(S14-(Q15+R15)))</f>
        <v>905738.79099999997</v>
      </c>
      <c r="U15" s="80">
        <f>P15</f>
        <v>38718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41640</v>
      </c>
      <c r="B16" s="50">
        <v>0.246911505</v>
      </c>
      <c r="C16" s="52"/>
      <c r="D16" s="70" t="str">
        <f ca="1">IF(E16&lt;$A$4,"Actual","Model Num")</f>
        <v>Actual</v>
      </c>
      <c r="E16" s="71">
        <f>DATE(YEAR(E15),MONTH(E15)+6,DAY(E15))</f>
        <v>38899</v>
      </c>
      <c r="F16" s="74">
        <f>MAX(IF(ISERROR(VLOOKUP(E16,$A$12:$B$52,2,0)),VLOOKUP(E16,$P$11:$S$52,4,0)/1000000,(VLOOKUP(E16,$A$12:$B$52,2,0))),0)</f>
        <v>0.87016104699999997</v>
      </c>
      <c r="G16" s="128">
        <f>F16*1000000</f>
        <v>870161.04700000002</v>
      </c>
      <c r="H16" s="64"/>
      <c r="I16" s="80">
        <f>E16</f>
        <v>38899</v>
      </c>
      <c r="J16" s="205">
        <f>$M$12*$N$7</f>
        <v>40476.199999999997</v>
      </c>
      <c r="K16" s="88">
        <f>($F$7/360)*($O$2/100)*M15</f>
        <v>24789.536459924177</v>
      </c>
      <c r="L16" s="90">
        <f>J16-K16</f>
        <v>15686.66354007582</v>
      </c>
      <c r="M16" s="79">
        <f>M15-L16</f>
        <v>939594.12489630876</v>
      </c>
      <c r="N16" s="126">
        <f>L16/M15</f>
        <v>1.6420997606109034E-2</v>
      </c>
      <c r="O16" s="52"/>
      <c r="P16" s="80">
        <f>I16</f>
        <v>38899</v>
      </c>
      <c r="Q16" s="97">
        <f ca="1">S15*N16</f>
        <v>14873.13451877109</v>
      </c>
      <c r="R16" s="98">
        <f ca="1">S15*$C$2/2</f>
        <v>22643.469775000001</v>
      </c>
      <c r="S16" s="99">
        <f ca="1">IF(P16&lt;$A$4,(VLOOKUP(P16,$A$11:$B$52,2,0)*$S$12),(S15-(Q16+R16)))</f>
        <v>870161.04700000002</v>
      </c>
      <c r="U16" s="80">
        <f>P16</f>
        <v>38899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41456</v>
      </c>
      <c r="B17" s="50">
        <v>0.29575514400000003</v>
      </c>
      <c r="C17" s="52"/>
      <c r="D17" s="70" t="str">
        <f ca="1">IF(E17&lt;$A$4,"Actual","Model Num")</f>
        <v>Actual</v>
      </c>
      <c r="E17" s="71">
        <f>DATE(YEAR(E16),MONTH(E16)+6,DAY(E16))</f>
        <v>39083</v>
      </c>
      <c r="F17" s="74">
        <f>MAX(IF(ISERROR(VLOOKUP(E17,$A$12:$B$52,2,0)),VLOOKUP(E17,$P$11:$S$52,4,0)/1000000,(VLOOKUP(E17,$A$12:$B$52,2,0))),0)</f>
        <v>0.83621211900000003</v>
      </c>
      <c r="G17" s="128">
        <f>F17*1000000</f>
        <v>836212.11900000006</v>
      </c>
      <c r="H17" s="64"/>
      <c r="I17" s="80">
        <f>E17</f>
        <v>39083</v>
      </c>
      <c r="J17" s="205">
        <f>$M$12*$N$7</f>
        <v>40476.199999999997</v>
      </c>
      <c r="K17" s="88">
        <f>($F$7/360)*($O$2/100)*M16</f>
        <v>24382.46754105921</v>
      </c>
      <c r="L17" s="90">
        <f>J17-K17</f>
        <v>16093.732458940787</v>
      </c>
      <c r="M17" s="79">
        <f>M16-L17</f>
        <v>923500.39243736793</v>
      </c>
      <c r="N17" s="126">
        <f>L17/M16</f>
        <v>1.7128387707529408E-2</v>
      </c>
      <c r="O17" s="52"/>
      <c r="P17" s="80">
        <f>I17</f>
        <v>39083</v>
      </c>
      <c r="Q17" s="97">
        <f ca="1">S16*N17</f>
        <v>14904.455781005719</v>
      </c>
      <c r="R17" s="98">
        <f ca="1">S16*$C$2/2</f>
        <v>21754.026175000003</v>
      </c>
      <c r="S17" s="99">
        <f ca="1">IF(P17&lt;$A$4,(VLOOKUP(P17,$A$11:$B$52,2,0)*$S$12),(S16-(Q17+R17)))</f>
        <v>836212.11900000006</v>
      </c>
      <c r="U17" s="80">
        <f>P17</f>
        <v>39083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41275</v>
      </c>
      <c r="B18" s="50">
        <v>0.35109248900000001</v>
      </c>
      <c r="C18" s="52"/>
      <c r="D18" s="70" t="str">
        <f ca="1">IF(E18&lt;$A$4,"Actual","Model Num")</f>
        <v>Actual</v>
      </c>
      <c r="E18" s="71">
        <f>DATE(YEAR(E17),MONTH(E17)+6,DAY(E17))</f>
        <v>39264</v>
      </c>
      <c r="F18" s="74">
        <f>MAX(IF(ISERROR(VLOOKUP(E18,$A$12:$B$52,2,0)),VLOOKUP(E18,$P$11:$S$52,4,0)/1000000,(VLOOKUP(E18,$A$12:$B$52,2,0))),0)</f>
        <v>0.79073824599999998</v>
      </c>
      <c r="G18" s="128">
        <f>F18*1000000</f>
        <v>790738.24599999993</v>
      </c>
      <c r="H18" s="64"/>
      <c r="I18" s="80">
        <f>E18</f>
        <v>39264</v>
      </c>
      <c r="J18" s="205">
        <f>$M$12*$N$7</f>
        <v>40476.199999999997</v>
      </c>
      <c r="K18" s="88">
        <f>($F$7/360)*($O$2/100)*M17</f>
        <v>23964.835183749696</v>
      </c>
      <c r="L18" s="90">
        <f>J18-K18</f>
        <v>16511.364816250301</v>
      </c>
      <c r="M18" s="79">
        <f>M17-L18</f>
        <v>906989.02762111765</v>
      </c>
      <c r="N18" s="126">
        <f>L18/M17</f>
        <v>1.7879109691196052E-2</v>
      </c>
      <c r="O18" s="52"/>
      <c r="P18" s="80">
        <f>I18</f>
        <v>39264</v>
      </c>
      <c r="Q18" s="97">
        <f ca="1">S17*N18</f>
        <v>14950.728200708489</v>
      </c>
      <c r="R18" s="98">
        <f ca="1">S17*$C$2/2</f>
        <v>20905.302975000002</v>
      </c>
      <c r="S18" s="99">
        <f ca="1">IF(P18&lt;$A$4,(VLOOKUP(P18,$A$11:$B$52,2,0)*$S$12),(S17-(Q18+R18)))</f>
        <v>790738.24599999993</v>
      </c>
      <c r="U18" s="80">
        <f>P18</f>
        <v>39264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41091</v>
      </c>
      <c r="B19" s="50">
        <v>0.40127469900000001</v>
      </c>
      <c r="C19" s="52"/>
      <c r="D19" s="70" t="str">
        <f ca="1">IF(E19&lt;$A$4,"Actual","Model Num")</f>
        <v>Actual</v>
      </c>
      <c r="E19" s="71">
        <f>DATE(YEAR(E18),MONTH(E18)+6,DAY(E18))</f>
        <v>39448</v>
      </c>
      <c r="F19" s="74">
        <f>MAX(IF(ISERROR(VLOOKUP(E19,$A$12:$B$52,2,0)),VLOOKUP(E19,$P$11:$S$52,4,0)/1000000,(VLOOKUP(E19,$A$12:$B$52,2,0))),0)</f>
        <v>0.74460965199999996</v>
      </c>
      <c r="G19" s="128">
        <f>F19*1000000</f>
        <v>744609.652</v>
      </c>
      <c r="H19" s="64"/>
      <c r="I19" s="80">
        <f>E19</f>
        <v>39448</v>
      </c>
      <c r="J19" s="205">
        <f>$M$12*$N$7</f>
        <v>40476.199999999997</v>
      </c>
      <c r="K19" s="88">
        <f>($F$7/360)*($O$2/100)*M18</f>
        <v>23536.365266768</v>
      </c>
      <c r="L19" s="90">
        <f>J19-K19</f>
        <v>16939.834733231997</v>
      </c>
      <c r="M19" s="79">
        <f>M18-L19</f>
        <v>890049.19288788561</v>
      </c>
      <c r="N19" s="126">
        <f>L19/M18</f>
        <v>1.8677000732481169E-2</v>
      </c>
      <c r="O19" s="52"/>
      <c r="P19" s="80">
        <f>I19</f>
        <v>39448</v>
      </c>
      <c r="Q19" s="97">
        <f ca="1">S18*N19</f>
        <v>14768.618799742873</v>
      </c>
      <c r="R19" s="98">
        <f ca="1">S18*$C$2/2</f>
        <v>19768.456149999998</v>
      </c>
      <c r="S19" s="99">
        <f ca="1">IF(P19&lt;$A$4,(VLOOKUP(P19,$A$11:$B$52,2,0)*$S$12),(S18-(Q19+R19)))</f>
        <v>744609.652</v>
      </c>
      <c r="U19" s="80">
        <f>P19</f>
        <v>39448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40909</v>
      </c>
      <c r="B20" s="50">
        <v>0.43642291</v>
      </c>
      <c r="C20" s="52"/>
      <c r="D20" s="70" t="str">
        <f ca="1">IF(E20&lt;$A$4,"Actual","Model Num")</f>
        <v>Actual</v>
      </c>
      <c r="E20" s="71">
        <f>DATE(YEAR(E19),MONTH(E19)+6,DAY(E19))</f>
        <v>39630</v>
      </c>
      <c r="F20" s="74">
        <f>MAX(IF(ISERROR(VLOOKUP(E20,$A$12:$B$52,2,0)),VLOOKUP(E20,$P$11:$S$52,4,0)/1000000,(VLOOKUP(E20,$A$12:$B$52,2,0))),0)</f>
        <v>0.69669821099999996</v>
      </c>
      <c r="G20" s="128">
        <f>F20*1000000</f>
        <v>696698.21100000001</v>
      </c>
      <c r="H20" s="64"/>
      <c r="I20" s="80">
        <f>E20</f>
        <v>39630</v>
      </c>
      <c r="J20" s="205">
        <f>$M$12*$N$7</f>
        <v>40476.199999999997</v>
      </c>
      <c r="K20" s="88">
        <f>($F$7/360)*($O$2/100)*M19</f>
        <v>23096.776555440629</v>
      </c>
      <c r="L20" s="90">
        <f>J20-K20</f>
        <v>17379.423444559368</v>
      </c>
      <c r="M20" s="79">
        <f>M19-L20</f>
        <v>872669.76944332628</v>
      </c>
      <c r="N20" s="126">
        <f>L20/M19</f>
        <v>1.9526362793689488E-2</v>
      </c>
      <c r="O20" s="52"/>
      <c r="P20" s="80">
        <f>I20</f>
        <v>39630</v>
      </c>
      <c r="Q20" s="97">
        <f ca="1">S19*N20</f>
        <v>14539.518204634876</v>
      </c>
      <c r="R20" s="98">
        <f ca="1">S19*$C$2/2</f>
        <v>18615.241300000002</v>
      </c>
      <c r="S20" s="99">
        <f ca="1">IF(P20&lt;$A$4,(VLOOKUP(P20,$A$11:$B$52,2,0)*$S$12),(S19-(Q20+R20)))</f>
        <v>696698.21100000001</v>
      </c>
      <c r="U20" s="80">
        <f>P20</f>
        <v>39630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40725</v>
      </c>
      <c r="B21" s="50">
        <v>0.46797895900000003</v>
      </c>
      <c r="C21" s="52"/>
      <c r="D21" s="70" t="str">
        <f ca="1">IF(E21&lt;$A$4,"Actual","Model Num")</f>
        <v>Actual</v>
      </c>
      <c r="E21" s="71">
        <f>DATE(YEAR(E20),MONTH(E20)+6,DAY(E20))</f>
        <v>39814</v>
      </c>
      <c r="F21" s="74">
        <f>MAX(IF(ISERROR(VLOOKUP(E21,$A$12:$B$52,2,0)),VLOOKUP(E21,$P$11:$S$52,4,0)/1000000,(VLOOKUP(E21,$A$12:$B$52,2,0))),0)</f>
        <v>0.65771591100000004</v>
      </c>
      <c r="G21" s="128">
        <f>F21*1000000</f>
        <v>657715.91100000008</v>
      </c>
      <c r="H21" s="64"/>
      <c r="I21" s="80">
        <f>E21</f>
        <v>39814</v>
      </c>
      <c r="J21" s="205">
        <f>$M$12*$N$7</f>
        <v>40476.199999999997</v>
      </c>
      <c r="K21" s="88">
        <f>($F$7/360)*($O$2/100)*M20</f>
        <v>22645.780517054314</v>
      </c>
      <c r="L21" s="90">
        <f>J21-K21</f>
        <v>17830.419482945683</v>
      </c>
      <c r="M21" s="79">
        <f>M20-L21</f>
        <v>854839.34996038058</v>
      </c>
      <c r="N21" s="126">
        <f>L21/M20</f>
        <v>2.0432035240913249E-2</v>
      </c>
      <c r="O21" s="52"/>
      <c r="P21" s="80">
        <f>I21</f>
        <v>39814</v>
      </c>
      <c r="Q21" s="97">
        <f ca="1">S20*N21</f>
        <v>14234.962399433214</v>
      </c>
      <c r="R21" s="98">
        <f ca="1">S20*$C$2/2</f>
        <v>17417.455275</v>
      </c>
      <c r="S21" s="99">
        <f ca="1">IF(P21&lt;$A$4,(VLOOKUP(P21,$A$11:$B$52,2,0)*$S$12),(S20-(Q21+R21)))</f>
        <v>657715.91100000008</v>
      </c>
      <c r="U21" s="80">
        <f>P21</f>
        <v>39814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40544</v>
      </c>
      <c r="B22" s="50">
        <v>0.49936213000000002</v>
      </c>
      <c r="C22" s="52"/>
      <c r="D22" s="70" t="str">
        <f ca="1">IF(E22&lt;$A$4,"Actual","Model Num")</f>
        <v>Actual</v>
      </c>
      <c r="E22" s="71">
        <f>DATE(YEAR(E21),MONTH(E21)+6,DAY(E21))</f>
        <v>39995</v>
      </c>
      <c r="F22" s="74">
        <f>MAX(IF(ISERROR(VLOOKUP(E22,$A$12:$B$52,2,0)),VLOOKUP(E22,$P$11:$S$52,4,0)/1000000,(VLOOKUP(E22,$A$12:$B$52,2,0))),0)</f>
        <v>0.60792012100000004</v>
      </c>
      <c r="G22" s="128">
        <f>F22*1000000</f>
        <v>607920.12100000004</v>
      </c>
      <c r="H22" s="64"/>
      <c r="I22" s="80">
        <f>E22</f>
        <v>39995</v>
      </c>
      <c r="J22" s="205">
        <f>$M$12*$N$7</f>
        <v>40476.199999999997</v>
      </c>
      <c r="K22" s="88">
        <f>($F$7/360)*($O$2/100)*M21</f>
        <v>22183.081131471874</v>
      </c>
      <c r="L22" s="90">
        <f>J22-K22</f>
        <v>18293.118868528123</v>
      </c>
      <c r="M22" s="79">
        <f>M21-L22</f>
        <v>836546.23109185242</v>
      </c>
      <c r="N22" s="126">
        <f>L22/M21</f>
        <v>2.1399481515884777E-2</v>
      </c>
      <c r="O22" s="52"/>
      <c r="P22" s="80">
        <f>I22</f>
        <v>39995</v>
      </c>
      <c r="Q22" s="97">
        <f ca="1">S21*N22</f>
        <v>14074.779480147819</v>
      </c>
      <c r="R22" s="98">
        <f ca="1">S21*$C$2/2</f>
        <v>16442.897775000001</v>
      </c>
      <c r="S22" s="99">
        <f ca="1">IF(P22&lt;$A$4,(VLOOKUP(P22,$A$11:$B$52,2,0)*$S$12),(S21-(Q22+R22)))</f>
        <v>607920.12100000004</v>
      </c>
      <c r="U22" s="80">
        <f>P22</f>
        <v>39995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40360</v>
      </c>
      <c r="B23" s="50">
        <v>0.54171727000000003</v>
      </c>
      <c r="C23" s="52"/>
      <c r="D23" s="70" t="str">
        <f ca="1">IF(E23&lt;$A$4,"Actual","Model Num")</f>
        <v>Actual</v>
      </c>
      <c r="E23" s="71">
        <f>DATE(YEAR(E22),MONTH(E22)+6,DAY(E22))</f>
        <v>40179</v>
      </c>
      <c r="F23" s="74">
        <f>MAX(IF(ISERROR(VLOOKUP(E23,$A$12:$B$52,2,0)),VLOOKUP(E23,$P$11:$S$52,4,0)/1000000,(VLOOKUP(E23,$A$12:$B$52,2,0))),0)</f>
        <v>0.56890802699999998</v>
      </c>
      <c r="G23" s="128">
        <f>F23*1000000</f>
        <v>568908.027</v>
      </c>
      <c r="H23" s="64"/>
      <c r="I23" s="80">
        <f>E23</f>
        <v>40179</v>
      </c>
      <c r="J23" s="205">
        <f>$M$12*$N$7</f>
        <v>40476.199999999997</v>
      </c>
      <c r="K23" s="88">
        <f>($F$7/360)*($O$2/100)*M22</f>
        <v>21708.374696833569</v>
      </c>
      <c r="L23" s="90">
        <f>J23-K23</f>
        <v>18767.825303166428</v>
      </c>
      <c r="M23" s="79">
        <f>M22-L23</f>
        <v>817778.40578868601</v>
      </c>
      <c r="N23" s="126">
        <f>L23/M22</f>
        <v>2.2434893142332178E-2</v>
      </c>
      <c r="O23" s="52"/>
      <c r="P23" s="80">
        <f>I23</f>
        <v>40179</v>
      </c>
      <c r="Q23" s="97">
        <f ca="1">S22*N23</f>
        <v>13638.622953708649</v>
      </c>
      <c r="R23" s="98">
        <f ca="1">S22*$C$2/2</f>
        <v>15198.003025000002</v>
      </c>
      <c r="S23" s="99">
        <f ca="1">IF(P23&lt;$A$4,(VLOOKUP(P23,$A$11:$B$52,2,0)*$S$12),(S22-(Q23+R23)))</f>
        <v>568908.027</v>
      </c>
      <c r="U23" s="80">
        <f>P23</f>
        <v>40179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40179</v>
      </c>
      <c r="B24" s="50">
        <v>0.56890802699999998</v>
      </c>
      <c r="C24" s="52"/>
      <c r="D24" s="70" t="str">
        <f ca="1">IF(E24&lt;$A$4,"Actual","Model Num")</f>
        <v>Actual</v>
      </c>
      <c r="E24" s="71">
        <f>DATE(YEAR(E23),MONTH(E23)+6,DAY(E23))</f>
        <v>40360</v>
      </c>
      <c r="F24" s="74">
        <f>MAX(IF(ISERROR(VLOOKUP(E24,$A$12:$B$52,2,0)),VLOOKUP(E24,$P$11:$S$52,4,0)/1000000,(VLOOKUP(E24,$A$12:$B$52,2,0))),0)</f>
        <v>0.54171727000000003</v>
      </c>
      <c r="G24" s="128">
        <f>F24*1000000</f>
        <v>541717.27</v>
      </c>
      <c r="H24" s="64"/>
      <c r="I24" s="80">
        <f>E24</f>
        <v>40360</v>
      </c>
      <c r="J24" s="205">
        <f>$M$12*$N$7</f>
        <v>40476.199999999997</v>
      </c>
      <c r="K24" s="88">
        <f>($F$7/360)*($O$2/100)*M23</f>
        <v>21221.349630216399</v>
      </c>
      <c r="L24" s="90">
        <f>J24-K24</f>
        <v>19254.850369783599</v>
      </c>
      <c r="M24" s="79">
        <f>M23-L24</f>
        <v>798523.55541890243</v>
      </c>
      <c r="N24" s="126">
        <f>L24/M23</f>
        <v>2.3545315251035197E-2</v>
      </c>
      <c r="O24" s="52"/>
      <c r="P24" s="80">
        <f>I24</f>
        <v>40360</v>
      </c>
      <c r="Q24" s="97">
        <f ca="1">S23*N24</f>
        <v>13395.118844559443</v>
      </c>
      <c r="R24" s="98">
        <f ca="1">S23*$C$2/2</f>
        <v>14222.700675</v>
      </c>
      <c r="S24" s="99">
        <f ca="1">IF(P24&lt;$A$4,(VLOOKUP(P24,$A$11:$B$52,2,0)*$S$12),(S23-(Q24+R24)))</f>
        <v>541717.27</v>
      </c>
      <c r="U24" s="80">
        <f>P24</f>
        <v>40360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39995</v>
      </c>
      <c r="B25" s="50">
        <v>0.60792012100000004</v>
      </c>
      <c r="C25" s="52"/>
      <c r="D25" s="70" t="str">
        <f ca="1">IF(E25&lt;$A$4,"Actual","Model Num")</f>
        <v>Actual</v>
      </c>
      <c r="E25" s="71">
        <f>DATE(YEAR(E24),MONTH(E24)+6,DAY(E24))</f>
        <v>40544</v>
      </c>
      <c r="F25" s="74">
        <f>MAX(IF(ISERROR(VLOOKUP(E25,$A$12:$B$52,2,0)),VLOOKUP(E25,$P$11:$S$52,4,0)/1000000,(VLOOKUP(E25,$A$12:$B$52,2,0))),0)</f>
        <v>0.49936213000000002</v>
      </c>
      <c r="G25" s="128">
        <f>F25*1000000</f>
        <v>499362.13</v>
      </c>
      <c r="H25" s="64"/>
      <c r="I25" s="80">
        <f>E25</f>
        <v>40544</v>
      </c>
      <c r="J25" s="205">
        <f>$M$12*$N$7</f>
        <v>40476.199999999997</v>
      </c>
      <c r="K25" s="88">
        <f>($F$7/360)*($O$2/100)*M24</f>
        <v>20721.686263120515</v>
      </c>
      <c r="L25" s="90">
        <f>J25-K25</f>
        <v>19754.513736879482</v>
      </c>
      <c r="M25" s="79">
        <f>M24-L25</f>
        <v>778769.04168202297</v>
      </c>
      <c r="N25" s="126">
        <f>L25/M24</f>
        <v>2.4738799003263392E-2</v>
      </c>
      <c r="O25" s="52"/>
      <c r="P25" s="80">
        <f>I25</f>
        <v>40544</v>
      </c>
      <c r="Q25" s="97">
        <f ca="1">S24*N25</f>
        <v>13401.434659126566</v>
      </c>
      <c r="R25" s="98">
        <f ca="1">S24*$C$2/2</f>
        <v>13542.931750000002</v>
      </c>
      <c r="S25" s="99">
        <f ca="1">IF(P25&lt;$A$4,(VLOOKUP(P25,$A$11:$B$52,2,0)*$S$12),(S24-(Q25+R25)))</f>
        <v>499362.13</v>
      </c>
      <c r="U25" s="80">
        <f>P25</f>
        <v>40544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39814</v>
      </c>
      <c r="B26" s="50">
        <v>0.65771591100000004</v>
      </c>
      <c r="C26" s="52"/>
      <c r="D26" s="70" t="str">
        <f ca="1">IF(E26&lt;$A$4,"Actual","Model Num")</f>
        <v>Actual</v>
      </c>
      <c r="E26" s="71">
        <f>DATE(YEAR(E25),MONTH(E25)+6,DAY(E25))</f>
        <v>40725</v>
      </c>
      <c r="F26" s="74">
        <f>MAX(IF(ISERROR(VLOOKUP(E26,$A$12:$B$52,2,0)),VLOOKUP(E26,$P$11:$S$52,4,0)/1000000,(VLOOKUP(E26,$A$12:$B$52,2,0))),0)</f>
        <v>0.46797895900000003</v>
      </c>
      <c r="G26" s="128">
        <f>F26*1000000</f>
        <v>467978.95900000003</v>
      </c>
      <c r="H26" s="64"/>
      <c r="I26" s="80">
        <f>E26</f>
        <v>40725</v>
      </c>
      <c r="J26" s="205">
        <f>$M$12*$N$7</f>
        <v>40476.199999999997</v>
      </c>
      <c r="K26" s="88">
        <f>($F$7/360)*($O$2/100)*M25</f>
        <v>20209.056631648495</v>
      </c>
      <c r="L26" s="90">
        <f>J26-K26</f>
        <v>20267.143368351502</v>
      </c>
      <c r="M26" s="79">
        <f>M25-L26</f>
        <v>758501.89831367147</v>
      </c>
      <c r="N26" s="126">
        <f>L26/M25</f>
        <v>2.6024587886258995E-2</v>
      </c>
      <c r="O26" s="52"/>
      <c r="P26" s="80">
        <f>I26</f>
        <v>40725</v>
      </c>
      <c r="Q26" s="97">
        <f ca="1">S25*N26</f>
        <v>12995.69363925449</v>
      </c>
      <c r="R26" s="98">
        <f ca="1">S25*$C$2/2</f>
        <v>12484.053250000001</v>
      </c>
      <c r="S26" s="99">
        <f ca="1">IF(P26&lt;$A$4,(VLOOKUP(P26,$A$11:$B$52,2,0)*$S$12),(S25-(Q26+R26)))</f>
        <v>467978.95900000003</v>
      </c>
      <c r="U26" s="80">
        <f>P26</f>
        <v>40725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39630</v>
      </c>
      <c r="B27" s="50">
        <v>0.69669821099999996</v>
      </c>
      <c r="C27" s="52"/>
      <c r="D27" s="70" t="str">
        <f ca="1">IF(E27&lt;$A$4,"Actual","Model Num")</f>
        <v>Actual</v>
      </c>
      <c r="E27" s="71">
        <f>DATE(YEAR(E26),MONTH(E26)+6,DAY(E26))</f>
        <v>40909</v>
      </c>
      <c r="F27" s="74">
        <f>MAX(IF(ISERROR(VLOOKUP(E27,$A$12:$B$52,2,0)),VLOOKUP(E27,$P$11:$S$52,4,0)/1000000,(VLOOKUP(E27,$A$12:$B$52,2,0))),0)</f>
        <v>0.43642291</v>
      </c>
      <c r="G27" s="128">
        <f>F27*1000000</f>
        <v>436422.91</v>
      </c>
      <c r="H27" s="64"/>
      <c r="I27" s="80">
        <f>E27</f>
        <v>40909</v>
      </c>
      <c r="J27" s="205">
        <f>$M$12*$N$7</f>
        <v>40476.199999999997</v>
      </c>
      <c r="K27" s="88">
        <f>($F$7/360)*($O$2/100)*M26</f>
        <v>19683.124261239773</v>
      </c>
      <c r="L27" s="90">
        <f>J27-K27</f>
        <v>20793.075738760224</v>
      </c>
      <c r="M27" s="79">
        <f>M26-L27</f>
        <v>737708.82257491129</v>
      </c>
      <c r="N27" s="126">
        <f>L27/M26</f>
        <v>2.7413347000169851E-2</v>
      </c>
      <c r="O27" s="52"/>
      <c r="P27" s="80">
        <f>I27</f>
        <v>40909</v>
      </c>
      <c r="Q27" s="97">
        <f ca="1">S26*N27</f>
        <v>12828.869591845261</v>
      </c>
      <c r="R27" s="98">
        <f ca="1">S26*$C$2/2</f>
        <v>11699.473975000001</v>
      </c>
      <c r="S27" s="99">
        <f ca="1">IF(P27&lt;$A$4,(VLOOKUP(P27,$A$11:$B$52,2,0)*$S$12),(S26-(Q27+R27)))</f>
        <v>436422.91</v>
      </c>
      <c r="U27" s="80">
        <f>P27</f>
        <v>40909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39448</v>
      </c>
      <c r="B28" s="50">
        <v>0.74460965199999996</v>
      </c>
      <c r="C28" s="52"/>
      <c r="D28" s="70" t="str">
        <f ca="1">IF(E28&lt;$A$4,"Actual","Model Num")</f>
        <v>Actual</v>
      </c>
      <c r="E28" s="71">
        <f>DATE(YEAR(E27),MONTH(E27)+6,DAY(E27))</f>
        <v>41091</v>
      </c>
      <c r="F28" s="74">
        <f>MAX(IF(ISERROR(VLOOKUP(E28,$A$12:$B$52,2,0)),VLOOKUP(E28,$P$11:$S$52,4,0)/1000000,(VLOOKUP(E28,$A$12:$B$52,2,0))),0)</f>
        <v>0.40127469900000001</v>
      </c>
      <c r="G28" s="128">
        <f>F28*1000000</f>
        <v>401274.69900000002</v>
      </c>
      <c r="H28" s="64"/>
      <c r="I28" s="80">
        <f>E28</f>
        <v>41091</v>
      </c>
      <c r="J28" s="205">
        <f>$M$12*$N$7</f>
        <v>40476.199999999997</v>
      </c>
      <c r="K28" s="88">
        <f>($F$7/360)*($O$2/100)*M27</f>
        <v>19143.543945818947</v>
      </c>
      <c r="L28" s="90">
        <f>J28-K28</f>
        <v>21332.65605418105</v>
      </c>
      <c r="M28" s="79">
        <f>M27-L28</f>
        <v>716376.16652073024</v>
      </c>
      <c r="N28" s="126">
        <f>L28/M27</f>
        <v>2.8917447374048191E-2</v>
      </c>
      <c r="O28" s="52"/>
      <c r="P28" s="80">
        <f>I28</f>
        <v>41091</v>
      </c>
      <c r="Q28" s="97">
        <f ca="1">S27*N28</f>
        <v>12620.236532753968</v>
      </c>
      <c r="R28" s="98">
        <f ca="1">S27*$C$2/2</f>
        <v>10910.572749999999</v>
      </c>
      <c r="S28" s="99">
        <f ca="1">IF(P28&lt;$A$4,(VLOOKUP(P28,$A$11:$B$52,2,0)*$S$12),(S27-(Q28+R28)))</f>
        <v>401274.69900000002</v>
      </c>
      <c r="U28" s="80">
        <f>P28</f>
        <v>41091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39264</v>
      </c>
      <c r="B29" s="50">
        <v>0.79073824599999998</v>
      </c>
      <c r="C29" s="52"/>
      <c r="D29" s="70" t="str">
        <f ca="1">IF(E29&lt;$A$4,"Actual","Model Num")</f>
        <v>Actual</v>
      </c>
      <c r="E29" s="71">
        <f>DATE(YEAR(E28),MONTH(E28)+6,DAY(E28))</f>
        <v>41275</v>
      </c>
      <c r="F29" s="74">
        <f>MAX(IF(ISERROR(VLOOKUP(E29,$A$12:$B$52,2,0)),VLOOKUP(E29,$P$11:$S$52,4,0)/1000000,(VLOOKUP(E29,$A$12:$B$52,2,0))),0)</f>
        <v>0.35109248900000001</v>
      </c>
      <c r="G29" s="128">
        <f>F29*1000000</f>
        <v>351092.489</v>
      </c>
      <c r="H29" s="64"/>
      <c r="I29" s="80">
        <f>E29</f>
        <v>41275</v>
      </c>
      <c r="J29" s="205">
        <f>$M$12*$N$7</f>
        <v>40476.199999999997</v>
      </c>
      <c r="K29" s="88">
        <f>($F$7/360)*($O$2/100)*M28</f>
        <v>18589.961521212947</v>
      </c>
      <c r="L29" s="90">
        <f>J29-K29</f>
        <v>21886.238478787051</v>
      </c>
      <c r="M29" s="79">
        <f>M28-L29</f>
        <v>694489.92804194323</v>
      </c>
      <c r="N29" s="126">
        <f>L29/M28</f>
        <v>3.0551321361071151E-2</v>
      </c>
      <c r="O29" s="52"/>
      <c r="P29" s="80">
        <f>I29</f>
        <v>41275</v>
      </c>
      <c r="Q29" s="97">
        <f ca="1">S28*N29</f>
        <v>12259.472283216097</v>
      </c>
      <c r="R29" s="98">
        <f ca="1">S28*$C$2/2</f>
        <v>10031.867475000001</v>
      </c>
      <c r="S29" s="99">
        <f ca="1">IF(P29&lt;$A$4,(VLOOKUP(P29,$A$11:$B$52,2,0)*$S$12),(S28-(Q29+R29)))</f>
        <v>351092.489</v>
      </c>
      <c r="U29" s="80">
        <f>P29</f>
        <v>41275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39083</v>
      </c>
      <c r="B30" s="50">
        <v>0.83621211900000003</v>
      </c>
      <c r="C30" s="52"/>
      <c r="D30" s="70" t="str">
        <f ca="1">IF(E30&lt;$A$4,"Actual","Model Num")</f>
        <v>Actual</v>
      </c>
      <c r="E30" s="71">
        <f>DATE(YEAR(E29),MONTH(E29)+6,DAY(E29))</f>
        <v>41456</v>
      </c>
      <c r="F30" s="74">
        <f>MAX(IF(ISERROR(VLOOKUP(E30,$A$12:$B$52,2,0)),VLOOKUP(E30,$P$11:$S$52,4,0)/1000000,(VLOOKUP(E30,$A$12:$B$52,2,0))),0)</f>
        <v>0.29575514400000003</v>
      </c>
      <c r="G30" s="128">
        <f>F30*1000000</f>
        <v>295755.14400000003</v>
      </c>
      <c r="H30" s="64"/>
      <c r="I30" s="80">
        <f>E30</f>
        <v>41456</v>
      </c>
      <c r="J30" s="205">
        <f>$M$12*$N$7</f>
        <v>40476.199999999997</v>
      </c>
      <c r="K30" s="88">
        <f>($F$7/360)*($O$2/100)*M29</f>
        <v>18022.013632688424</v>
      </c>
      <c r="L30" s="90">
        <f>J30-K30</f>
        <v>22454.186367311573</v>
      </c>
      <c r="M30" s="79">
        <f>M29-L30</f>
        <v>672035.7416746316</v>
      </c>
      <c r="N30" s="126">
        <f>L30/M29</f>
        <v>3.2331910745803459E-2</v>
      </c>
      <c r="O30" s="52"/>
      <c r="P30" s="80">
        <f>I30</f>
        <v>41456</v>
      </c>
      <c r="Q30" s="97">
        <f ca="1">S29*N30</f>
        <v>11351.491017869983</v>
      </c>
      <c r="R30" s="98">
        <f ca="1">S29*$C$2/2</f>
        <v>8777.3122249999997</v>
      </c>
      <c r="S30" s="99">
        <f ca="1">IF(P30&lt;$A$4,(VLOOKUP(P30,$A$11:$B$52,2,0)*$S$12),(S29-(Q30+R30)))</f>
        <v>295755.14400000003</v>
      </c>
      <c r="U30" s="80">
        <f>P30</f>
        <v>41456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38899</v>
      </c>
      <c r="B31" s="50">
        <v>0.87016104699999997</v>
      </c>
      <c r="C31" s="52"/>
      <c r="D31" s="70" t="str">
        <f ca="1">IF(E31&lt;$A$4,"Actual","Model Num")</f>
        <v>Actual</v>
      </c>
      <c r="E31" s="71">
        <f>DATE(YEAR(E30),MONTH(E30)+6,DAY(E30))</f>
        <v>41640</v>
      </c>
      <c r="F31" s="74">
        <f>MAX(IF(ISERROR(VLOOKUP(E31,$A$12:$B$52,2,0)),VLOOKUP(E31,$P$11:$S$52,4,0)/1000000,(VLOOKUP(E31,$A$12:$B$52,2,0))),0)</f>
        <v>0.246911505</v>
      </c>
      <c r="G31" s="128">
        <f>F31*1000000</f>
        <v>246911.505</v>
      </c>
      <c r="H31" s="64"/>
      <c r="I31" s="80">
        <f>E31</f>
        <v>41640</v>
      </c>
      <c r="J31" s="205">
        <f>$M$12*$N$7</f>
        <v>40476.199999999997</v>
      </c>
      <c r="K31" s="88">
        <f>($F$7/360)*($O$2/100)*M30</f>
        <v>17439.327496456688</v>
      </c>
      <c r="L31" s="90">
        <f>J31-K31</f>
        <v>23036.872503543309</v>
      </c>
      <c r="M31" s="79">
        <f>M30-L31</f>
        <v>648998.86917108833</v>
      </c>
      <c r="N31" s="126">
        <f>L31/M30</f>
        <v>3.4279237062805938E-2</v>
      </c>
      <c r="O31" s="52"/>
      <c r="P31" s="80">
        <f>I31</f>
        <v>41640</v>
      </c>
      <c r="Q31" s="97">
        <f ca="1">S30*N31</f>
        <v>10138.260693720309</v>
      </c>
      <c r="R31" s="98">
        <f ca="1">S30*$C$2/2</f>
        <v>7393.8786000000009</v>
      </c>
      <c r="S31" s="99">
        <f ca="1">IF(P31&lt;$A$4,(VLOOKUP(P31,$A$11:$B$52,2,0)*$S$12),(S30-(Q31+R31)))</f>
        <v>246911.505</v>
      </c>
      <c r="U31" s="80">
        <f>P31</f>
        <v>41640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38718</v>
      </c>
      <c r="B32" s="50">
        <v>0.90573879099999999</v>
      </c>
      <c r="C32" s="52"/>
      <c r="D32" s="70" t="str">
        <f ca="1">IF(E32&lt;$A$4,"Actual","Model Num")</f>
        <v>Actual</v>
      </c>
      <c r="E32" s="71">
        <f>DATE(YEAR(E31),MONTH(E31)+6,DAY(E31))</f>
        <v>41821</v>
      </c>
      <c r="F32" s="74">
        <f>MAX(IF(ISERROR(VLOOKUP(E32,$A$12:$B$52,2,0)),VLOOKUP(E32,$P$11:$S$52,4,0)/1000000,(VLOOKUP(E32,$A$12:$B$52,2,0))),0)</f>
        <v>0.212464657</v>
      </c>
      <c r="G32" s="128">
        <f>F32*1000000</f>
        <v>212464.65700000001</v>
      </c>
      <c r="H32" s="64"/>
      <c r="I32" s="80">
        <f>E32</f>
        <v>41821</v>
      </c>
      <c r="J32" s="205">
        <f>$M$12*$N$7</f>
        <v>40476.199999999997</v>
      </c>
      <c r="K32" s="88">
        <f>($F$7/360)*($O$2/100)*M31</f>
        <v>16841.520654989741</v>
      </c>
      <c r="L32" s="90">
        <f>J32-K32</f>
        <v>23634.679345010256</v>
      </c>
      <c r="M32" s="79">
        <f>M31-L32</f>
        <v>625364.18982607801</v>
      </c>
      <c r="N32" s="126">
        <f>L32/M31</f>
        <v>3.6417134863727642E-2</v>
      </c>
      <c r="O32" s="52"/>
      <c r="P32" s="80">
        <f>I32</f>
        <v>41821</v>
      </c>
      <c r="Q32" s="97">
        <f ca="1">S31*N32</f>
        <v>8991.8095769909614</v>
      </c>
      <c r="R32" s="98">
        <f ca="1">S31*$C$2/2</f>
        <v>6172.7876250000008</v>
      </c>
      <c r="S32" s="99">
        <f ca="1">IF(P32&lt;$A$4,(VLOOKUP(P32,$A$11:$B$52,2,0)*$S$12),(S31-(Q32+R32)))</f>
        <v>212464.65700000001</v>
      </c>
      <c r="U32" s="80">
        <f>P32</f>
        <v>41821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49">
        <v>38534</v>
      </c>
      <c r="B33" s="50">
        <v>0.95647422599999998</v>
      </c>
      <c r="C33" s="52"/>
      <c r="D33" s="70" t="str">
        <f ca="1">IF(E33&lt;$A$4,"Actual","Model Num")</f>
        <v>Actual</v>
      </c>
      <c r="E33" s="71">
        <f>DATE(YEAR(E32),MONTH(E32)+6,DAY(E32))</f>
        <v>42005</v>
      </c>
      <c r="F33" s="74">
        <f>MAX(IF(ISERROR(VLOOKUP(E33,$A$12:$B$52,2,0)),VLOOKUP(E33,$P$11:$S$52,4,0)/1000000,(VLOOKUP(E33,$A$12:$B$52,2,0))),0)</f>
        <v>0.17664524200000001</v>
      </c>
      <c r="G33" s="128">
        <f>F33*1000000</f>
        <v>176645.242</v>
      </c>
      <c r="H33" s="64"/>
      <c r="I33" s="80">
        <f>E33</f>
        <v>42005</v>
      </c>
      <c r="J33" s="205">
        <f>$M$12*$N$7</f>
        <v>40476.199999999997</v>
      </c>
      <c r="K33" s="88">
        <f>($F$7/360)*($O$2/100)*M32</f>
        <v>16228.200725986722</v>
      </c>
      <c r="L33" s="90">
        <f>J33-K33</f>
        <v>24247.999274013273</v>
      </c>
      <c r="M33" s="79">
        <f>M32-L33</f>
        <v>601116.19055206468</v>
      </c>
      <c r="N33" s="126">
        <f>L33/M32</f>
        <v>3.8774204964881279E-2</v>
      </c>
      <c r="O33" s="52"/>
      <c r="P33" s="80">
        <f>I33</f>
        <v>42005</v>
      </c>
      <c r="Q33" s="97">
        <f ca="1">S32*N33</f>
        <v>8238.1481583111981</v>
      </c>
      <c r="R33" s="98">
        <f ca="1">S32*$C$2/2</f>
        <v>5311.6164250000002</v>
      </c>
      <c r="S33" s="99">
        <f ca="1">IF(P33&lt;$A$4,(VLOOKUP(P33,$A$11:$B$52,2,0)*$S$12),(S32-(Q33+R33)))</f>
        <v>176645.242</v>
      </c>
      <c r="U33" s="80">
        <f>P33</f>
        <v>42005</v>
      </c>
      <c r="V33" s="97">
        <f ca="1">IF(U33&lt;$A$4,0,(YEARFRAC($A$4,U33,1)))</f>
        <v>0</v>
      </c>
      <c r="W33" s="141">
        <f ca="1">V33*(S32-S33)</f>
        <v>0</v>
      </c>
    </row>
    <row r="34" spans="1:23">
      <c r="A34" s="49">
        <v>38353</v>
      </c>
      <c r="B34" s="50">
        <v>0.97961667299999999</v>
      </c>
      <c r="C34" s="52"/>
      <c r="D34" s="70" t="str">
        <f ca="1">IF(E34&lt;$A$4,"Actual","Model Num")</f>
        <v>Actual</v>
      </c>
      <c r="E34" s="71">
        <f>DATE(YEAR(E33),MONTH(E33)+6,DAY(E33))</f>
        <v>42186</v>
      </c>
      <c r="F34" s="74">
        <f>MAX(IF(ISERROR(VLOOKUP(E34,$A$12:$B$52,2,0)),VLOOKUP(E34,$P$11:$S$52,4,0)/1000000,(VLOOKUP(E34,$A$12:$B$52,2,0))),0)</f>
        <v>0.150004156</v>
      </c>
      <c r="G34" s="128">
        <f>F34*1000000</f>
        <v>150004.15599999999</v>
      </c>
      <c r="H34" s="64"/>
      <c r="I34" s="80">
        <f>E34</f>
        <v>42186</v>
      </c>
      <c r="J34" s="205">
        <f>$M$12*$N$7</f>
        <v>40476.199999999997</v>
      </c>
      <c r="K34" s="88">
        <f>($F$7/360)*($O$2/100)*M33</f>
        <v>15598.965144826077</v>
      </c>
      <c r="L34" s="90">
        <f>J34-K34</f>
        <v>24877.23485517392</v>
      </c>
      <c r="M34" s="79">
        <f>M33-L34</f>
        <v>576238.95569689071</v>
      </c>
      <c r="N34" s="126">
        <f>L34/M33</f>
        <v>4.1385068720785387E-2</v>
      </c>
      <c r="O34" s="52"/>
      <c r="P34" s="80">
        <f>I34</f>
        <v>42186</v>
      </c>
      <c r="Q34" s="97">
        <f ca="1">S33*N34</f>
        <v>7310.4754793697648</v>
      </c>
      <c r="R34" s="98">
        <f ca="1">S33*$C$2/2</f>
        <v>4416.13105</v>
      </c>
      <c r="S34" s="99">
        <f ca="1">IF(P34&lt;$A$4,(VLOOKUP(P34,$A$11:$B$52,2,0)*$S$12),(S33-(Q34+R34)))</f>
        <v>150004.15599999999</v>
      </c>
      <c r="U34" s="80">
        <f>P34</f>
        <v>42186</v>
      </c>
      <c r="V34" s="97">
        <f ca="1">IF(U34&lt;$A$4,0,(YEARFRAC($A$4,U34,1)))</f>
        <v>0</v>
      </c>
      <c r="W34" s="141">
        <f ca="1">V34*(S33-S34)</f>
        <v>0</v>
      </c>
    </row>
    <row r="35" spans="1:23">
      <c r="A35" s="213">
        <v>38182</v>
      </c>
      <c r="B35" s="31">
        <v>1</v>
      </c>
      <c r="D35" s="70" t="str">
        <f ca="1">IF(E35&lt;$A$4,"Actual","Model Num")</f>
        <v>Actual</v>
      </c>
      <c r="E35" s="71">
        <f>DATE(YEAR(E34),MONTH(E34)+6,DAY(E34))</f>
        <v>42370</v>
      </c>
      <c r="F35" s="74">
        <f>MAX(IF(ISERROR(VLOOKUP(E35,$A$12:$B$52,2,0)),VLOOKUP(E35,$P$11:$S$52,4,0)/1000000,(VLOOKUP(E35,$A$12:$B$52,2,0))),0)</f>
        <v>0.12166788100000001</v>
      </c>
      <c r="G35" s="128">
        <f>F35*1000000</f>
        <v>121667.88100000001</v>
      </c>
      <c r="I35" s="80">
        <f>E35</f>
        <v>42370</v>
      </c>
      <c r="J35" s="205">
        <f>$M$12*$N$7</f>
        <v>40476.199999999997</v>
      </c>
      <c r="K35" s="88">
        <f>($F$7/360)*($O$2/100)*M34</f>
        <v>14953.400900334313</v>
      </c>
      <c r="L35" s="90">
        <f>J35-K35</f>
        <v>25522.799099665684</v>
      </c>
      <c r="M35" s="79">
        <f>M34-L35</f>
        <v>550716.156597225</v>
      </c>
      <c r="N35" s="126">
        <f>L35/M34</f>
        <v>4.4292040389388415E-2</v>
      </c>
      <c r="O35" s="52"/>
      <c r="P35" s="80">
        <f>I35</f>
        <v>42370</v>
      </c>
      <c r="Q35" s="97">
        <f ca="1">S34*N35</f>
        <v>6643.99013612812</v>
      </c>
      <c r="R35" s="98">
        <f ca="1">S34*$C$2/2</f>
        <v>3750.1039000000001</v>
      </c>
      <c r="S35" s="99">
        <f ca="1">IF(P35&lt;$A$4,(VLOOKUP(P35,$A$11:$B$52,2,0)*$S$12),(S34-(Q35+R35)))</f>
        <v>121667.88100000001</v>
      </c>
      <c r="U35" s="80">
        <f>P35</f>
        <v>42370</v>
      </c>
      <c r="V35" s="97">
        <f ca="1">IF(U35&lt;$A$4,0,(YEARFRAC($A$4,U35,1)))</f>
        <v>0</v>
      </c>
      <c r="W35" s="141">
        <f ca="1">V35*(S34-S35)</f>
        <v>0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42552</v>
      </c>
      <c r="F36" s="74">
        <f ca="1">MAX(IF(ISERROR(VLOOKUP(E36,$A$12:$B$52,2,0)),VLOOKUP(E36,$P$11:$S$52,4,0)/1000000,(VLOOKUP(E36,$A$12:$B$52,2,0))),0)</f>
        <v>0.11284119381770984</v>
      </c>
      <c r="G36" s="128">
        <f ca="1">F36*1000000</f>
        <v>112841.19381770983</v>
      </c>
      <c r="I36" s="80">
        <f>E36</f>
        <v>42552</v>
      </c>
      <c r="J36" s="205">
        <f>$M$12*$N$7</f>
        <v>40476.199999999997</v>
      </c>
      <c r="K36" s="88">
        <f>($F$7/360)*($O$2/100)*M35</f>
        <v>14291.084263697987</v>
      </c>
      <c r="L36" s="90">
        <f>J36-K36</f>
        <v>26185.11573630201</v>
      </c>
      <c r="M36" s="79">
        <f>M35-L36</f>
        <v>524531.04086092301</v>
      </c>
      <c r="N36" s="126">
        <f>L36/M35</f>
        <v>4.7547389744464881E-2</v>
      </c>
      <c r="O36" s="52"/>
      <c r="P36" s="80">
        <f>I36</f>
        <v>42552</v>
      </c>
      <c r="Q36" s="97">
        <f ca="1">S35*N36</f>
        <v>5784.9901572901736</v>
      </c>
      <c r="R36" s="98">
        <f ca="1">S35*$C$2/2</f>
        <v>3041.6970250000004</v>
      </c>
      <c r="S36" s="99">
        <f ca="1">IF(P36&lt;$A$4,(VLOOKUP(P36,$A$11:$B$52,2,0)*$S$12),(S35-(Q36+R36)))</f>
        <v>112841.19381770983</v>
      </c>
      <c r="U36" s="80">
        <f>P36</f>
        <v>42552</v>
      </c>
      <c r="V36" s="97">
        <f ca="1">IF(U36&lt;$A$4,0,(YEARFRAC($A$4,U36,1)))</f>
        <v>0.22950819672131148</v>
      </c>
      <c r="W36" s="141">
        <f ca="1">V36*(S35-S36)</f>
        <v>2025.7970582305318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42736</v>
      </c>
      <c r="F37" s="74">
        <f ca="1">MAX(IF(ISERROR(VLOOKUP(E37,$A$12:$B$52,2,0)),VLOOKUP(E37,$P$11:$S$52,4,0)/1000000,(VLOOKUP(E37,$A$12:$B$52,2,0))),0)</f>
        <v>0.1042408382536288</v>
      </c>
      <c r="G37" s="128">
        <f ca="1">F37*1000000</f>
        <v>104240.8382536288</v>
      </c>
      <c r="I37" s="80">
        <f>E37</f>
        <v>42736</v>
      </c>
      <c r="J37" s="205">
        <f>$M$12*$N$7</f>
        <v>40476.199999999997</v>
      </c>
      <c r="K37" s="88">
        <f>($F$7/360)*($O$2/100)*M36</f>
        <v>13611.580510340951</v>
      </c>
      <c r="L37" s="90">
        <f>J37-K37</f>
        <v>26864.619489659046</v>
      </c>
      <c r="M37" s="79">
        <f>M36-L37</f>
        <v>497666.42137126398</v>
      </c>
      <c r="N37" s="126">
        <f>L37/M36</f>
        <v>5.1216453168463821E-2</v>
      </c>
      <c r="O37" s="52"/>
      <c r="P37" s="80">
        <f>I37</f>
        <v>42736</v>
      </c>
      <c r="Q37" s="97">
        <f ca="1">S36*N37</f>
        <v>5779.3257186382853</v>
      </c>
      <c r="R37" s="98">
        <f ca="1">S36*$C$2/2</f>
        <v>2821.0298454427461</v>
      </c>
      <c r="S37" s="99">
        <f ca="1">IF(P37&lt;$A$4,(VLOOKUP(P37,$A$11:$B$52,2,0)*$S$12),(S36-(Q37+R37)))</f>
        <v>104240.8382536288</v>
      </c>
      <c r="U37" s="80">
        <f>P37</f>
        <v>42736</v>
      </c>
      <c r="V37" s="97">
        <f ca="1">IF(U37&lt;$A$4,0,(YEARFRAC($A$4,U37,1)))</f>
        <v>0.73424657534246573</v>
      </c>
      <c r="W37" s="141">
        <f ca="1">V37*(S36-S37)</f>
        <v>6314.7816196540216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42917</v>
      </c>
      <c r="F38" s="74">
        <f ca="1">MAX(IF(ISERROR(VLOOKUP(E38,$A$12:$B$52,2,0)),VLOOKUP(E38,$P$11:$S$52,4,0)/1000000,(VLOOKUP(E38,$A$12:$B$52,2,0))),0)</f>
        <v>9.5861752320637997E-2</v>
      </c>
      <c r="G38" s="128">
        <f ca="1">F38*1000000</f>
        <v>95861.752320637999</v>
      </c>
      <c r="I38" s="80">
        <f>E38</f>
        <v>42917</v>
      </c>
      <c r="J38" s="205">
        <f>$M$12*$N$7</f>
        <v>40476.199999999997</v>
      </c>
      <c r="K38" s="88">
        <f>($F$7/360)*($O$2/100)*M37</f>
        <v>12914.443634584299</v>
      </c>
      <c r="L38" s="90">
        <f>J38-K38</f>
        <v>27561.756365415698</v>
      </c>
      <c r="M38" s="79">
        <f>M37-L38</f>
        <v>470104.66500584828</v>
      </c>
      <c r="N38" s="126">
        <f>L38/M37</f>
        <v>5.5381989183582794E-2</v>
      </c>
      <c r="O38" s="52"/>
      <c r="P38" s="80">
        <f>I38</f>
        <v>42917</v>
      </c>
      <c r="Q38" s="97">
        <f ca="1">S37*N38</f>
        <v>5773.0649766500737</v>
      </c>
      <c r="R38" s="98">
        <f ca="1">S37*$C$2/2</f>
        <v>2606.0209563407202</v>
      </c>
      <c r="S38" s="99">
        <f ca="1">IF(P38&lt;$A$4,(VLOOKUP(P38,$A$11:$B$52,2,0)*$S$12),(S37-(Q38+R38)))</f>
        <v>95861.752320637999</v>
      </c>
      <c r="U38" s="80">
        <f>P38</f>
        <v>42917</v>
      </c>
      <c r="V38" s="97">
        <f ca="1">IF(U38&lt;$A$4,0,(YEARFRAC($A$4,U38,1)))</f>
        <v>1.2284541723666211</v>
      </c>
      <c r="W38" s="141">
        <f ca="1">V38*(S37-S38)</f>
        <v>10293.323075001008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43101</v>
      </c>
      <c r="F39" s="74">
        <f ca="1">MAX(IF(ISERROR(VLOOKUP(E39,$A$12:$B$52,2,0)),VLOOKUP(E39,$P$11:$S$52,4,0)/1000000,(VLOOKUP(E39,$A$12:$B$52,2,0))),0)</f>
        <v>8.7699085704429497E-2</v>
      </c>
      <c r="G39" s="128">
        <f ca="1">F39*1000000</f>
        <v>87699.085704429497</v>
      </c>
      <c r="I39" s="80">
        <f>E39</f>
        <v>43101</v>
      </c>
      <c r="J39" s="205">
        <f>$M$12*$N$7</f>
        <v>40476.199999999997</v>
      </c>
      <c r="K39" s="88">
        <f>($F$7/360)*($O$2/100)*M38</f>
        <v>12199.216056901761</v>
      </c>
      <c r="L39" s="90">
        <f>J39-K39</f>
        <v>28276.983943098236</v>
      </c>
      <c r="M39" s="79">
        <f>M38-L39</f>
        <v>441827.68106275005</v>
      </c>
      <c r="N39" s="126">
        <f>L39/M38</f>
        <v>6.0150400640560459E-2</v>
      </c>
      <c r="O39" s="52"/>
      <c r="P39" s="80">
        <f>I39</f>
        <v>43101</v>
      </c>
      <c r="Q39" s="97">
        <f ca="1">S38*N39</f>
        <v>5766.1228081925519</v>
      </c>
      <c r="R39" s="98">
        <f ca="1">S38*$C$2/2</f>
        <v>2396.5438080159502</v>
      </c>
      <c r="S39" s="99">
        <f ca="1">IF(P39&lt;$A$4,(VLOOKUP(P39,$A$11:$B$52,2,0)*$S$12),(S38-(Q39+R39)))</f>
        <v>87699.085704429497</v>
      </c>
      <c r="U39" s="80">
        <f>P39</f>
        <v>43101</v>
      </c>
      <c r="V39" s="97">
        <f ca="1">IF(U39&lt;$A$4,0,(YEARFRAC($A$4,U39,1)))</f>
        <v>1.7326642335766425</v>
      </c>
      <c r="W39" s="141">
        <f ca="1">V39*(S38-S39)</f>
        <v>14143.160496514549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43282</v>
      </c>
      <c r="F40" s="74">
        <f ca="1">MAX(IF(ISERROR(VLOOKUP(E40,$A$12:$B$52,2,0)),VLOOKUP(E40,$P$11:$S$52,4,0)/1000000,(VLOOKUP(E40,$A$12:$B$52,2,0))),0)</f>
        <v>7.9748213919177982E-2</v>
      </c>
      <c r="G40" s="128">
        <f ca="1">F40*1000000</f>
        <v>79748.213919177986</v>
      </c>
      <c r="I40" s="80">
        <f>E40</f>
        <v>43282</v>
      </c>
      <c r="J40" s="205">
        <f>$M$12*$N$7</f>
        <v>40476.199999999997</v>
      </c>
      <c r="K40" s="88">
        <f>($F$7/360)*($O$2/100)*M39</f>
        <v>11465.428323578362</v>
      </c>
      <c r="L40" s="90">
        <f>J40-K40</f>
        <v>29010.771676421635</v>
      </c>
      <c r="M40" s="79">
        <f>M39-L40</f>
        <v>412816.90938632842</v>
      </c>
      <c r="N40" s="126">
        <f>L40/M39</f>
        <v>6.5660828689231482E-2</v>
      </c>
      <c r="O40" s="52"/>
      <c r="P40" s="80">
        <f>I40</f>
        <v>43282</v>
      </c>
      <c r="Q40" s="97">
        <f ca="1">S39*N40</f>
        <v>5758.3946426407747</v>
      </c>
      <c r="R40" s="98">
        <f ca="1">S39*$C$2/2</f>
        <v>2192.4771426107377</v>
      </c>
      <c r="S40" s="99">
        <f ca="1">IF(P40&lt;$A$4,(VLOOKUP(P40,$A$11:$B$52,2,0)*$S$12),(S39-(Q40+R40)))</f>
        <v>79748.213919177986</v>
      </c>
      <c r="U40" s="80">
        <f>P40</f>
        <v>43282</v>
      </c>
      <c r="V40" s="97">
        <f ca="1">IF(U40&lt;$A$4,0,(YEARFRAC($A$4,U40,1)))</f>
        <v>2.2281021897810218</v>
      </c>
      <c r="W40" s="141">
        <f ca="1">V40*(S39-S40)</f>
        <v>17715.354835387036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43466</v>
      </c>
      <c r="F41" s="74">
        <f ca="1">MAX(IF(ISERROR(VLOOKUP(E41,$A$12:$B$52,2,0)),VLOOKUP(E41,$P$11:$S$52,4,0)/1000000,(VLOOKUP(E41,$A$12:$B$52,2,0))),0)</f>
        <v>7.2004758544861713E-2</v>
      </c>
      <c r="G41" s="128">
        <f ca="1">F41*1000000</f>
        <v>72004.758544861717</v>
      </c>
      <c r="I41" s="80">
        <f>E41</f>
        <v>43466</v>
      </c>
      <c r="J41" s="205">
        <f>$M$12*$N$7</f>
        <v>40476.199999999997</v>
      </c>
      <c r="K41" s="88">
        <f>($F$7/360)*($O$2/100)*M40</f>
        <v>10712.598798575222</v>
      </c>
      <c r="L41" s="90">
        <f>J41-K41</f>
        <v>29763.601201424775</v>
      </c>
      <c r="M41" s="79">
        <f>M40-L41</f>
        <v>383053.30818490364</v>
      </c>
      <c r="N41" s="126">
        <f>L41/M40</f>
        <v>7.2098793738051462E-2</v>
      </c>
      <c r="O41" s="52"/>
      <c r="P41" s="80">
        <f>I41</f>
        <v>43466</v>
      </c>
      <c r="Q41" s="97">
        <f ca="1">S40*N41</f>
        <v>5749.7500263368183</v>
      </c>
      <c r="R41" s="98">
        <f ca="1">S40*$C$2/2</f>
        <v>1993.7053479794497</v>
      </c>
      <c r="S41" s="99">
        <f ca="1">IF(P41&lt;$A$4,(VLOOKUP(P41,$A$11:$B$52,2,0)*$S$12),(S40-(Q41+R41)))</f>
        <v>72004.758544861717</v>
      </c>
      <c r="U41" s="80">
        <f>P41</f>
        <v>43466</v>
      </c>
      <c r="V41" s="97">
        <f ca="1">IF(U41&lt;$A$4,0,(YEARFRAC($A$4,U41,1)))</f>
        <v>2.732375085557837</v>
      </c>
      <c r="W41" s="141">
        <f ca="1">V41*(S40-S41)</f>
        <v>21158.024540910708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43647</v>
      </c>
      <c r="F42" s="74">
        <f ca="1">MAX(IF(ISERROR(VLOOKUP(E42,$A$12:$B$52,2,0)),VLOOKUP(E42,$P$11:$S$52,4,0)/1000000,(VLOOKUP(E42,$A$12:$B$52,2,0))),0)</f>
        <v>6.4464616303088015E-2</v>
      </c>
      <c r="G42" s="128">
        <f ca="1">F42*1000000</f>
        <v>64464.616303088013</v>
      </c>
      <c r="I42" s="80">
        <f>E42</f>
        <v>43647</v>
      </c>
      <c r="J42" s="205">
        <f>$M$12*$N$7</f>
        <v>40476.199999999997</v>
      </c>
      <c r="K42" s="88">
        <f>($F$7/360)*($O$2/100)*M41</f>
        <v>9940.233347398249</v>
      </c>
      <c r="L42" s="90">
        <f>J42-K42</f>
        <v>30535.966652601746</v>
      </c>
      <c r="M42" s="79">
        <f>M41-L42</f>
        <v>352517.34153230191</v>
      </c>
      <c r="N42" s="126">
        <f>L42/M41</f>
        <v>7.9717276943243973E-2</v>
      </c>
      <c r="O42" s="52"/>
      <c r="P42" s="80">
        <f>I42</f>
        <v>43647</v>
      </c>
      <c r="Q42" s="97">
        <f ca="1">S41*N42</f>
        <v>5740.0232781521545</v>
      </c>
      <c r="R42" s="98">
        <f ca="1">S41*$C$2/2</f>
        <v>1800.1189636215431</v>
      </c>
      <c r="S42" s="99">
        <f ca="1">IF(P42&lt;$A$4,(VLOOKUP(P42,$A$11:$B$52,2,0)*$S$12),(S41-(Q42+R42)))</f>
        <v>64464.61630308802</v>
      </c>
      <c r="U42" s="80">
        <f>P42</f>
        <v>43647</v>
      </c>
      <c r="V42" s="97">
        <f ca="1">IF(U42&lt;$A$4,0,(YEARFRAC($A$4,U42,1)))</f>
        <v>3.2279260780287475</v>
      </c>
      <c r="W42" s="141">
        <f ca="1">V42*(S41-S42)</f>
        <v>24339.021774267461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43831</v>
      </c>
      <c r="F43" s="74">
        <f ca="1">MAX(IF(ISERROR(VLOOKUP(E43,$A$12:$B$52,2,0)),VLOOKUP(E43,$P$11:$S$52,4,0)/1000000,(VLOOKUP(E43,$A$12:$B$52,2,0))),0)</f>
        <v>5.7124001396726104E-2</v>
      </c>
      <c r="G43" s="128">
        <f ca="1">F43*1000000</f>
        <v>57124.001396726104</v>
      </c>
      <c r="I43" s="80">
        <f>E43</f>
        <v>43831</v>
      </c>
      <c r="J43" s="205">
        <f>$M$12*$N$7</f>
        <v>40476.199999999997</v>
      </c>
      <c r="K43" s="88">
        <f>($F$7/360)*($O$2/100)*M42</f>
        <v>9147.8250127632346</v>
      </c>
      <c r="L43" s="90">
        <f>J43-K43</f>
        <v>31328.374987236763</v>
      </c>
      <c r="M43" s="79">
        <f>M42-L43</f>
        <v>321188.96654506517</v>
      </c>
      <c r="N43" s="126">
        <f>L43/M42</f>
        <v>8.8870450602686391E-2</v>
      </c>
      <c r="O43" s="52"/>
      <c r="P43" s="80">
        <f>I43</f>
        <v>43831</v>
      </c>
      <c r="Q43" s="97">
        <f ca="1">S42*N43</f>
        <v>5728.9994987847158</v>
      </c>
      <c r="R43" s="98">
        <f ca="1">S42*$C$2/2</f>
        <v>1611.6154075772006</v>
      </c>
      <c r="S43" s="99">
        <f ca="1">IF(P43&lt;$A$4,(VLOOKUP(P43,$A$11:$B$52,2,0)*$S$12),(S42-(Q43+R43)))</f>
        <v>57124.001396726104</v>
      </c>
      <c r="U43" s="80">
        <f>P43</f>
        <v>43831</v>
      </c>
      <c r="V43" s="97">
        <f ca="1">IF(U43&lt;$A$4,0,(YEARFRAC($A$4,U43,1)))</f>
        <v>3.7301587301587302</v>
      </c>
      <c r="W43" s="141">
        <f ca="1">V43*(S42-S43)</f>
        <v>27381.658777699209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44013</v>
      </c>
      <c r="F44" s="74">
        <f ca="1">MAX(IF(ISERROR(VLOOKUP(E44,$A$12:$B$52,2,0)),VLOOKUP(E44,$P$11:$S$52,4,0)/1000000,(VLOOKUP(E44,$A$12:$B$52,2,0))),0)</f>
        <v>4.9979508511453406E-2</v>
      </c>
      <c r="G44" s="128">
        <f ca="1">F44*1000000</f>
        <v>49979.508511453409</v>
      </c>
      <c r="I44" s="80">
        <f>E44</f>
        <v>44013</v>
      </c>
      <c r="J44" s="205">
        <f>$M$12*$N$7</f>
        <v>40476.199999999997</v>
      </c>
      <c r="K44" s="88">
        <f>($F$7/360)*($O$2/100)*M43</f>
        <v>8334.8536818444409</v>
      </c>
      <c r="L44" s="90">
        <f>J44-K44</f>
        <v>32141.346318155556</v>
      </c>
      <c r="M44" s="79">
        <f>M43-L44</f>
        <v>289047.62022690964</v>
      </c>
      <c r="N44" s="126">
        <f>L44/M43</f>
        <v>0.10006989550074065</v>
      </c>
      <c r="O44" s="52"/>
      <c r="P44" s="80">
        <f>I44</f>
        <v>44013</v>
      </c>
      <c r="Q44" s="97">
        <f ca="1">S43*N44</f>
        <v>5716.392850354544</v>
      </c>
      <c r="R44" s="98">
        <f ca="1">S43*$C$2/2</f>
        <v>1428.1000349181527</v>
      </c>
      <c r="S44" s="99">
        <f ca="1">IF(P44&lt;$A$4,(VLOOKUP(P44,$A$11:$B$52,2,0)*$S$12),(S43-(Q44+R44)))</f>
        <v>49979.508511453409</v>
      </c>
      <c r="U44" s="80">
        <f>P44</f>
        <v>44013</v>
      </c>
      <c r="V44" s="97">
        <f ca="1">IF(U44&lt;$A$4,0,(YEARFRAC($A$4,U44,1)))</f>
        <v>4.2282430213464695</v>
      </c>
      <c r="W44" s="141">
        <f ca="1">V44*(S43-S44)</f>
        <v>30208.652183213777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44197</v>
      </c>
      <c r="F45" s="74">
        <f ca="1">MAX(IF(ISERROR(VLOOKUP(E45,$A$12:$B$52,2,0)),VLOOKUP(E45,$P$11:$S$52,4,0)/1000000,(VLOOKUP(E45,$A$12:$B$52,2,0))),0)</f>
        <v>4.3028209463433588E-2</v>
      </c>
      <c r="G45" s="128">
        <f ca="1">F45*1000000</f>
        <v>43028.209463433588</v>
      </c>
      <c r="I45" s="80">
        <f>E45</f>
        <v>44197</v>
      </c>
      <c r="J45" s="205">
        <f>$M$12*$N$7</f>
        <v>40476.199999999997</v>
      </c>
      <c r="K45" s="88">
        <f>($F$7/360)*($O$2/100)*M44</f>
        <v>7500.7857448883042</v>
      </c>
      <c r="L45" s="90">
        <f>J45-K45</f>
        <v>32975.414255111697</v>
      </c>
      <c r="M45" s="79">
        <f>M44-L45</f>
        <v>256072.20597179793</v>
      </c>
      <c r="N45" s="126">
        <f>L45/M44</f>
        <v>0.11408298130676588</v>
      </c>
      <c r="O45" s="52"/>
      <c r="P45" s="80">
        <f>I45</f>
        <v>44197</v>
      </c>
      <c r="Q45" s="97">
        <f ca="1">S44*N45</f>
        <v>5701.8113352334849</v>
      </c>
      <c r="R45" s="98">
        <f ca="1">S44*$C$2/2</f>
        <v>1249.4877127863354</v>
      </c>
      <c r="S45" s="99">
        <f ca="1">IF(P45&lt;$A$4,(VLOOKUP(P45,$A$11:$B$52,2,0)*$S$12),(S44-(Q45+R45)))</f>
        <v>43028.209463433588</v>
      </c>
      <c r="U45" s="80">
        <f>P45</f>
        <v>44197</v>
      </c>
      <c r="V45" s="97">
        <f ca="1">IF(U45&lt;$A$4,0,(YEARFRAC($A$4,U45,1)))</f>
        <v>4.7326642335766422</v>
      </c>
      <c r="W45" s="141">
        <f ca="1">V45*(S44-S45)</f>
        <v>32898.164381458766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44378</v>
      </c>
      <c r="F46" s="74">
        <f ca="1">MAX(IF(ISERROR(VLOOKUP(E46,$A$12:$B$52,2,0)),VLOOKUP(E46,$P$11:$S$52,4,0)/1000000,(VLOOKUP(E46,$A$12:$B$52,2,0))),0)</f>
        <v>3.6267807672760589E-2</v>
      </c>
      <c r="G46" s="128">
        <f ca="1">F46*1000000</f>
        <v>36267.807672760588</v>
      </c>
      <c r="I46" s="80">
        <f>E46</f>
        <v>44378</v>
      </c>
      <c r="J46" s="205">
        <f>$M$12*$N$7</f>
        <v>40476.199999999997</v>
      </c>
      <c r="K46" s="88">
        <f>($F$7/360)*($O$2/100)*M45</f>
        <v>6645.0737449681556</v>
      </c>
      <c r="L46" s="90">
        <f>J46-K46</f>
        <v>33831.126255031842</v>
      </c>
      <c r="M46" s="79">
        <f>M45-L46</f>
        <v>222241.07971676608</v>
      </c>
      <c r="N46" s="126">
        <f>L46/M45</f>
        <v>0.13211557313157904</v>
      </c>
      <c r="O46" s="52"/>
      <c r="P46" s="80">
        <f>I46</f>
        <v>44378</v>
      </c>
      <c r="Q46" s="97">
        <f ca="1">S45*N46</f>
        <v>5684.6965540871615</v>
      </c>
      <c r="R46" s="98">
        <f ca="1">S45*$C$2/2</f>
        <v>1075.7052365858397</v>
      </c>
      <c r="S46" s="99">
        <f ca="1">IF(P46&lt;$A$4,(VLOOKUP(P46,$A$11:$B$52,2,0)*$S$12),(S45-(Q46+R46)))</f>
        <v>36267.807672760588</v>
      </c>
      <c r="U46" s="80">
        <f>P46</f>
        <v>44378</v>
      </c>
      <c r="V46" s="97">
        <f ca="1">IF(U46&lt;$A$4,0,(YEARFRAC($A$4,U46,1)))</f>
        <v>5.2281021897810218</v>
      </c>
      <c r="W46" s="141">
        <f ca="1">V46*(S45-S46)</f>
        <v>35344.071405617055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44562</v>
      </c>
      <c r="F47" s="74">
        <f ca="1">MAX(IF(ISERROR(VLOOKUP(E47,$A$12:$B$52,2,0)),VLOOKUP(E47,$P$11:$S$52,4,0)/1000000,(VLOOKUP(E47,$A$12:$B$52,2,0))),0)</f>
        <v>2.9696898946588317E-2</v>
      </c>
      <c r="G47" s="128">
        <f ca="1">F47*1000000</f>
        <v>29696.898946588317</v>
      </c>
      <c r="I47" s="80">
        <f>E47</f>
        <v>44562</v>
      </c>
      <c r="J47" s="205">
        <f>$M$12*$N$7</f>
        <v>40476.199999999997</v>
      </c>
      <c r="K47" s="88">
        <f>($F$7/360)*($O$2/100)*M46</f>
        <v>5767.1560186500792</v>
      </c>
      <c r="L47" s="90">
        <f>J47-K47</f>
        <v>34709.043981349918</v>
      </c>
      <c r="M47" s="79">
        <f>M46-L47</f>
        <v>187532.03573541617</v>
      </c>
      <c r="N47" s="126">
        <f>L47/M46</f>
        <v>0.15617744489715704</v>
      </c>
      <c r="O47" s="52"/>
      <c r="P47" s="80">
        <f>I47</f>
        <v>44562</v>
      </c>
      <c r="Q47" s="97">
        <f ca="1">S46*N47</f>
        <v>5664.2135343532564</v>
      </c>
      <c r="R47" s="98">
        <f ca="1">S46*$C$2/2</f>
        <v>906.69519181901478</v>
      </c>
      <c r="S47" s="99">
        <f ca="1">IF(P47&lt;$A$4,(VLOOKUP(P47,$A$11:$B$52,2,0)*$S$12),(S46-(Q47+R47)))</f>
        <v>29696.898946588317</v>
      </c>
      <c r="U47" s="80">
        <f>P47</f>
        <v>44562</v>
      </c>
      <c r="V47" s="97">
        <f ca="1">IF(U47&lt;$A$4,0,(YEARFRAC($A$4,U47,1)))</f>
        <v>5.7324990222917487</v>
      </c>
      <c r="W47" s="141">
        <f ca="1">V47*(S46-S47)</f>
        <v>37667.727848350863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44743</v>
      </c>
      <c r="F48" s="74">
        <f ca="1">MAX(IF(ISERROR(VLOOKUP(E48,$A$12:$B$52,2,0)),VLOOKUP(E48,$P$11:$S$52,4,0)/1000000,(VLOOKUP(E48,$A$12:$B$52,2,0))),0)</f>
        <v>2.3315445492355202E-2</v>
      </c>
      <c r="G48" s="128">
        <f ca="1">F48*1000000</f>
        <v>23315.445492355204</v>
      </c>
      <c r="I48" s="80">
        <f>E48</f>
        <v>44743</v>
      </c>
      <c r="J48" s="205">
        <f>$M$12*$N$7</f>
        <v>40476.199999999997</v>
      </c>
      <c r="K48" s="88">
        <f>($F$7/360)*($O$2/100)*M47</f>
        <v>4866.4563273340491</v>
      </c>
      <c r="L48" s="90">
        <f>J48-K48</f>
        <v>35609.743672665951</v>
      </c>
      <c r="M48" s="79">
        <f>M47-L48</f>
        <v>151922.2920627502</v>
      </c>
      <c r="N48" s="126">
        <f>L48/M47</f>
        <v>0.18988618948768179</v>
      </c>
      <c r="O48" s="52"/>
      <c r="P48" s="80">
        <f>I48</f>
        <v>44743</v>
      </c>
      <c r="Q48" s="97">
        <f ca="1">S47*N48</f>
        <v>5639.0309805684074</v>
      </c>
      <c r="R48" s="98">
        <f ca="1">S47*$C$2/2</f>
        <v>742.42247366470792</v>
      </c>
      <c r="S48" s="99">
        <f ca="1">IF(P48&lt;$A$4,(VLOOKUP(P48,$A$11:$B$52,2,0)*$S$12),(S47-(Q48+R48)))</f>
        <v>23315.445492355204</v>
      </c>
      <c r="U48" s="80">
        <f>P48</f>
        <v>44743</v>
      </c>
      <c r="V48" s="97">
        <f ca="1">IF(U48&lt;$A$4,0,(YEARFRAC($A$4,U48,1)))</f>
        <v>6.2280015643332032</v>
      </c>
      <c r="W48" s="141">
        <f ca="1">V48*(S47-S48)</f>
        <v>39743.702095683351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44927</v>
      </c>
      <c r="F49" s="74">
        <f ca="1">MAX(IF(ISERROR(VLOOKUP(E49,$A$12:$B$52,2,0)),VLOOKUP(E49,$P$11:$S$52,4,0)/1000000,(VLOOKUP(E49,$A$12:$B$52,2,0))),0)</f>
        <v>1.712573104725203E-2</v>
      </c>
      <c r="G49" s="128">
        <f ca="1">F49*1000000</f>
        <v>17125.731047252029</v>
      </c>
      <c r="I49" s="80">
        <f>E49</f>
        <v>44927</v>
      </c>
      <c r="J49" s="205">
        <f>$M$12*$N$7</f>
        <v>40476.199999999997</v>
      </c>
      <c r="K49" s="88">
        <f>($F$7/360)*($O$2/100)*M48</f>
        <v>3942.3834790283672</v>
      </c>
      <c r="L49" s="90">
        <f>J49-K49</f>
        <v>36533.816520971632</v>
      </c>
      <c r="M49" s="79">
        <f>M48-L49</f>
        <v>115388.47554177858</v>
      </c>
      <c r="N49" s="126">
        <f>L49/M48</f>
        <v>0.24047699666011918</v>
      </c>
      <c r="O49" s="52"/>
      <c r="P49" s="80">
        <f>I49</f>
        <v>44927</v>
      </c>
      <c r="Q49" s="97">
        <f ca="1">S48*N49</f>
        <v>5606.8283077942933</v>
      </c>
      <c r="R49" s="98">
        <f ca="1">S48*$C$2/2</f>
        <v>582.88613730888017</v>
      </c>
      <c r="S49" s="99">
        <f ca="1">IF(P49&lt;$A$4,(VLOOKUP(P49,$A$11:$B$52,2,0)*$S$12),(S48-(Q49+R49)))</f>
        <v>17125.731047252029</v>
      </c>
      <c r="U49" s="80">
        <f>P49</f>
        <v>44927</v>
      </c>
      <c r="V49" s="97">
        <f ca="1">IF(U49&lt;$A$4,0,(YEARFRAC($A$4,U49,1)))</f>
        <v>6.7323750855578375</v>
      </c>
      <c r="W49" s="141">
        <f ca="1">V49*(S48-S49)</f>
        <v>41671.479316930068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45108</v>
      </c>
      <c r="F50" s="74">
        <f ca="1">MAX(IF(ISERROR(VLOOKUP(E50,$A$12:$B$52,2,0)),VLOOKUP(E50,$P$11:$S$52,4,0)/1000000,(VLOOKUP(E50,$A$12:$B$52,2,0))),0)</f>
        <v>1.1134602337294294E-2</v>
      </c>
      <c r="G50" s="128">
        <f ca="1">F50*1000000</f>
        <v>11134.602337294293</v>
      </c>
      <c r="I50" s="80">
        <f>E50</f>
        <v>45108</v>
      </c>
      <c r="J50" s="205">
        <f>$M$12*$N$7</f>
        <v>40476.199999999997</v>
      </c>
      <c r="K50" s="88">
        <f>($F$7/360)*($O$2/100)*M49</f>
        <v>2994.3309403091539</v>
      </c>
      <c r="L50" s="90">
        <f>J50-K50</f>
        <v>37481.869059690842</v>
      </c>
      <c r="M50" s="79">
        <f>M49-L50</f>
        <v>77906.606482087736</v>
      </c>
      <c r="N50" s="126">
        <f>L50/M49</f>
        <v>0.32483199802843243</v>
      </c>
      <c r="O50" s="52"/>
      <c r="P50" s="80">
        <f>I50</f>
        <v>45108</v>
      </c>
      <c r="Q50" s="97">
        <f ca="1">S49*N50</f>
        <v>5562.9854337764355</v>
      </c>
      <c r="R50" s="98">
        <f ca="1">S49*$C$2/2</f>
        <v>428.14327618130073</v>
      </c>
      <c r="S50" s="99">
        <f ca="1">IF(P50&lt;$A$4,(VLOOKUP(P50,$A$11:$B$52,2,0)*$S$12),(S49-(Q50+R50)))</f>
        <v>11134.602337294293</v>
      </c>
      <c r="U50" s="80">
        <f>P50</f>
        <v>45108</v>
      </c>
      <c r="V50" s="97">
        <f ca="1">IF(U50&lt;$A$4,0,(YEARFRAC($A$4,U50,1)))</f>
        <v>7.2279260780287471</v>
      </c>
      <c r="W50" s="141">
        <f ca="1">V50*(S49-S50)</f>
        <v>43303.435439530251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45292</v>
      </c>
      <c r="F51" s="74">
        <f ca="1">MAX(IF(ISERROR(VLOOKUP(E51,$A$12:$B$52,2,0)),VLOOKUP(E51,$P$11:$S$52,4,0)/1000000,(VLOOKUP(E51,$A$12:$B$52,2,0))),0)</f>
        <v>5.360222919295529E-3</v>
      </c>
      <c r="G51" s="128">
        <f ca="1">F51*1000000</f>
        <v>5360.2229192955292</v>
      </c>
      <c r="I51" s="80">
        <f>E51</f>
        <v>45292</v>
      </c>
      <c r="J51" s="205">
        <f>$M$12*$N$7</f>
        <v>40476.199999999997</v>
      </c>
      <c r="K51" s="88">
        <f>($F$7/360)*($O$2/100)*M50</f>
        <v>2021.6764382101765</v>
      </c>
      <c r="L51" s="90">
        <f>J51-K51</f>
        <v>38454.523561789822</v>
      </c>
      <c r="M51" s="79">
        <f>M50-L51</f>
        <v>39452.082920297915</v>
      </c>
      <c r="N51" s="126">
        <f>L51/M50</f>
        <v>0.49359772294319193</v>
      </c>
      <c r="O51" s="52"/>
      <c r="P51" s="80">
        <f>I51</f>
        <v>45292</v>
      </c>
      <c r="Q51" s="97">
        <f ca="1">S50*N51</f>
        <v>5496.0143595664058</v>
      </c>
      <c r="R51" s="98">
        <f ca="1">S50*$C$2/2</f>
        <v>278.36505843235733</v>
      </c>
      <c r="S51" s="99">
        <f ca="1">IF(P51&lt;$A$4,(VLOOKUP(P51,$A$11:$B$52,2,0)*$S$12),(S50-(Q51+R51)))</f>
        <v>5360.2229192955292</v>
      </c>
      <c r="U51" s="80">
        <f>P51</f>
        <v>45292</v>
      </c>
      <c r="V51" s="97">
        <f ca="1">IF(U51&lt;$A$4,0,(YEARFRAC($A$4,U51,1)))</f>
        <v>7.7299270072992705</v>
      </c>
      <c r="W51" s="141">
        <f ca="1">V51*(S50-S51)</f>
        <v>44635.531413581688</v>
      </c>
    </row>
    <row r="52" spans="1:23" s="82" customFormat="1" ht="13.5" thickBot="1">
      <c r="A52" s="81"/>
      <c r="B52" s="81"/>
      <c r="D52" s="70" t="str">
        <f ca="1">IF(E52&lt;$A$4,"Actual","Model Num")</f>
        <v>Model Num</v>
      </c>
      <c r="E52" s="71">
        <f>DATE(YEAR(E51),MONTH(E51)+6,DAY(E51))</f>
        <v>45474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45474</v>
      </c>
      <c r="J52" s="206">
        <f>$M$12*$N$7</f>
        <v>40476.199999999997</v>
      </c>
      <c r="K52" s="89">
        <f>($F$7/360)*($O$2/100)*M51</f>
        <v>1023.7815517817307</v>
      </c>
      <c r="L52" s="91">
        <f>J52-K52</f>
        <v>39452.418448218268</v>
      </c>
      <c r="M52" s="85">
        <f>M51-L52</f>
        <v>-0.33552792035334278</v>
      </c>
      <c r="N52" s="127">
        <f>L52/M51</f>
        <v>1.0000085046946958</v>
      </c>
      <c r="O52" s="86"/>
      <c r="P52" s="84">
        <f>I52</f>
        <v>45474</v>
      </c>
      <c r="Q52" s="100">
        <f ca="1">S51*N52</f>
        <v>5360.2685063549598</v>
      </c>
      <c r="R52" s="101">
        <v>0.23673602391681925</v>
      </c>
      <c r="S52" s="102">
        <v>0</v>
      </c>
      <c r="U52" s="142">
        <f>P52</f>
        <v>45474</v>
      </c>
      <c r="V52" s="143">
        <f ca="1">IF(U52&lt;$A$4,0,(YEARFRAC($A$4,U52,1)))</f>
        <v>8.2281021897810227</v>
      </c>
      <c r="W52" s="141">
        <f ca="1">V52*(S51-S52)</f>
        <v>44104.461939969973</v>
      </c>
    </row>
    <row r="53" spans="1:23">
      <c r="A53" s="31"/>
      <c r="B53" s="31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43" priority="1" stopIfTrue="1">
      <formula>$D1="Actual"</formula>
    </cfRule>
  </conditionalFormatting>
  <conditionalFormatting sqref="A4">
    <cfRule type="expression" dxfId="42" priority="2" stopIfTrue="1">
      <formula>#REF!="Actual"</formula>
    </cfRule>
  </conditionalFormatting>
  <conditionalFormatting sqref="C6:C9">
    <cfRule type="cellIs" dxfId="41" priority="3" stopIfTrue="1" operator="equal">
      <formula>"PROB!!"</formula>
    </cfRule>
  </conditionalFormatting>
  <conditionalFormatting sqref="A7">
    <cfRule type="expression" dxfId="40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indexed="14"/>
  </sheetPr>
  <dimension ref="A1:W53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0" width="10.28515625" style="53" bestFit="1" customWidth="1"/>
    <col min="21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202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6" t="s">
        <v>8</v>
      </c>
      <c r="B2" s="67" t="str">
        <f>MID(A2,3,9)</f>
        <v>83162CQL0</v>
      </c>
      <c r="C2" s="131">
        <v>0.05</v>
      </c>
      <c r="D2" s="67">
        <f>IF(ISERROR(VLOOKUP(A2,'Bond Position per Summit'!$C$42:$E$56,3,0)),0,VLOOKUP(A2,'Bond Position per Summit'!$C$42:$E$56,3,0))</f>
        <v>3389743.3</v>
      </c>
      <c r="E2" s="67">
        <f>IF(ISERROR(VLOOKUP(A2,'Bond Position per Summit'!$C$65:$E$73,3,0)),0,VLOOKUP(A2,'Bond Position per Summit'!$C$65:$E$73,3,0))</f>
        <v>0</v>
      </c>
      <c r="F2" s="67" t="str">
        <f>_xll.BDP($B2&amp;" Mtge Cusip",F$1)</f>
        <v>SBAP 2006-20H 1</v>
      </c>
      <c r="G2" s="67">
        <f>VLOOKUP(A2,'Bond Position per Summit'!$C$10:$D$32,2,0)</f>
        <v>5000000</v>
      </c>
      <c r="H2" s="67">
        <f>VLOOKUP(A2,'Bond Position per Summit'!$C$10:$E$32,3,0)</f>
        <v>3389743.3</v>
      </c>
      <c r="I2" s="67" t="str">
        <f>_xll.BDP($B2&amp;" Mtge Cusip",I$1)</f>
        <v>16/08/2006</v>
      </c>
      <c r="J2" s="67" t="str">
        <f>_xll.BDP($B2&amp;" Mtge Cusip",J$1)</f>
        <v>16/08/2006</v>
      </c>
      <c r="K2" s="67" t="str">
        <f>_xll.BDP($B2&amp;" Mtge Cusip",K$1)</f>
        <v>01/02/2007</v>
      </c>
      <c r="L2" s="67" t="str">
        <f>_xll.BDP($B2&amp;" Mtge Cusip",L$1)</f>
        <v>01/08/2026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5.7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5000000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0.20872089019400003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165</v>
      </c>
      <c r="I6" s="108" t="s">
        <v>81</v>
      </c>
      <c r="J6" s="118">
        <v>39845</v>
      </c>
      <c r="K6" s="113">
        <f>ROUND(J6/J5,8)</f>
        <v>3.9844999999999998E-2</v>
      </c>
      <c r="L6" s="108" t="s">
        <v>81</v>
      </c>
      <c r="M6" s="112">
        <v>199223</v>
      </c>
      <c r="N6" s="123">
        <f>ROUND(M6/M5,8)</f>
        <v>3.9844600000000001E-2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42220</v>
      </c>
      <c r="K7" s="115">
        <f>ROUND(J7/J5,8)</f>
        <v>4.2220000000000001E-2</v>
      </c>
      <c r="L7" s="109" t="s">
        <v>82</v>
      </c>
      <c r="M7" s="114">
        <v>211098</v>
      </c>
      <c r="N7" s="124">
        <f>ROUND(M7/M5,8)</f>
        <v>4.2219600000000003E-2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74"/>
      <c r="V11" s="175" t="s">
        <v>108</v>
      </c>
      <c r="W11" s="176">
        <f ca="1">SUM(W12:W52)/(1000000*$B$6)</f>
        <v>4.8425124968657602</v>
      </c>
    </row>
    <row r="12" spans="1:23">
      <c r="A12" s="49">
        <f>_xll.BDS($B2&amp;" Mtge Cusip",A11,"cols=2;rows=20")</f>
        <v>42401</v>
      </c>
      <c r="B12" s="50">
        <v>0.20872088999999999</v>
      </c>
      <c r="C12" s="52"/>
      <c r="D12" s="70" t="str">
        <f ca="1">IF(E12&lt;$A$4,"Actual","Model Num")</f>
        <v>Actual</v>
      </c>
      <c r="E12" s="71">
        <v>38945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38945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38945</v>
      </c>
      <c r="Q12" s="94"/>
      <c r="R12" s="95"/>
      <c r="S12" s="96">
        <f>M12</f>
        <v>1000000</v>
      </c>
      <c r="U12" s="80">
        <f>P12</f>
        <v>38945</v>
      </c>
      <c r="V12" s="97">
        <f ca="1">IF(U12&lt;$A$4,0,(YEARFRAC($A$4,U12,1)))</f>
        <v>0</v>
      </c>
      <c r="W12" s="141">
        <f ca="1">V12*(S12-S13)</f>
        <v>0</v>
      </c>
    </row>
    <row r="13" spans="1:23">
      <c r="A13" s="49">
        <v>42217</v>
      </c>
      <c r="B13" s="50">
        <v>0.25138965299999999</v>
      </c>
      <c r="C13" s="52"/>
      <c r="D13" s="70" t="str">
        <f ca="1">IF(E13&lt;$A$4,"Actual","Model Num")</f>
        <v>Actual</v>
      </c>
      <c r="E13" s="71">
        <v>39114</v>
      </c>
      <c r="F13" s="74">
        <f>MAX(IF(ISERROR(VLOOKUP(E13,$A$12:$B$52,2,0)),VLOOKUP(E13,$P$11:$S$52,4,0)/1000000,(VLOOKUP(E13,$A$12:$B$52,2,0))),0)</f>
        <v>0.982154097</v>
      </c>
      <c r="G13" s="128">
        <f>F13*1000000</f>
        <v>982154.09699999995</v>
      </c>
      <c r="H13" s="64"/>
      <c r="I13" s="80">
        <f>E13</f>
        <v>39114</v>
      </c>
      <c r="J13" s="125">
        <f>$M$12*$N$6</f>
        <v>39844.6</v>
      </c>
      <c r="K13" s="88">
        <f>($F$6/360)*($O$2/100)*M12</f>
        <v>26125</v>
      </c>
      <c r="L13" s="90">
        <f>J13-K13</f>
        <v>13719.599999999999</v>
      </c>
      <c r="M13" s="79">
        <f>M12-L13</f>
        <v>986280.4</v>
      </c>
      <c r="N13" s="126">
        <f>L13/M12</f>
        <v>1.3719599999999998E-2</v>
      </c>
      <c r="O13" s="52"/>
      <c r="P13" s="80">
        <f>I13</f>
        <v>39114</v>
      </c>
      <c r="Q13" s="97">
        <f>S12*N13</f>
        <v>13719.599999999999</v>
      </c>
      <c r="R13" s="98">
        <f>S12*$C$2/2</f>
        <v>25000</v>
      </c>
      <c r="S13" s="99">
        <f ca="1">IF(P13&lt;$A$4,(VLOOKUP(P13,$A$11:$B$52,2,0)*$S$12),(S12-(Q13+R13)))</f>
        <v>982154.09699999995</v>
      </c>
      <c r="U13" s="80">
        <f>P13</f>
        <v>39114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42036</v>
      </c>
      <c r="B14" s="50">
        <v>0.288996696</v>
      </c>
      <c r="C14" s="52"/>
      <c r="D14" s="70" t="str">
        <f ca="1">IF(E14&lt;$A$4,"Actual","Model Num")</f>
        <v>Actual</v>
      </c>
      <c r="E14" s="71">
        <f>DATE(YEAR(E13),MONTH(E13)+6,DAY(E13))</f>
        <v>39295</v>
      </c>
      <c r="F14" s="74">
        <f>MAX(IF(ISERROR(VLOOKUP(E14,$A$12:$B$52,2,0)),VLOOKUP(E14,$P$11:$S$52,4,0)/1000000,(VLOOKUP(E14,$A$12:$B$52,2,0))),0)</f>
        <v>0.95458417200000001</v>
      </c>
      <c r="G14" s="128">
        <f>F14*1000000</f>
        <v>954584.17200000002</v>
      </c>
      <c r="H14" s="64"/>
      <c r="I14" s="80">
        <f>E14</f>
        <v>39295</v>
      </c>
      <c r="J14" s="205">
        <f>$M$12*$N$7</f>
        <v>42219.600000000006</v>
      </c>
      <c r="K14" s="88">
        <f>($F$7/360)*($O$2/100)*M13</f>
        <v>28108.991400000003</v>
      </c>
      <c r="L14" s="90">
        <f>J14-K14</f>
        <v>14110.608600000003</v>
      </c>
      <c r="M14" s="79">
        <f>M13-L14</f>
        <v>972169.79139999999</v>
      </c>
      <c r="N14" s="126">
        <f>L14/M13</f>
        <v>1.4306893455451414E-2</v>
      </c>
      <c r="O14" s="52"/>
      <c r="P14" s="80">
        <f>I14</f>
        <v>39295</v>
      </c>
      <c r="Q14" s="97">
        <f ca="1">S13*N14</f>
        <v>14051.574022614092</v>
      </c>
      <c r="R14" s="98">
        <f ca="1">S13*$C$2/2</f>
        <v>24553.852425000001</v>
      </c>
      <c r="S14" s="99">
        <f ca="1">IF(P14&lt;$A$4,(VLOOKUP(P14,$A$11:$B$52,2,0)*$S$12),(S13-(Q14+R14)))</f>
        <v>954584.17200000002</v>
      </c>
      <c r="U14" s="80">
        <f>P14</f>
        <v>39295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41852</v>
      </c>
      <c r="B15" s="50">
        <v>0.32344041800000001</v>
      </c>
      <c r="C15" s="52"/>
      <c r="D15" s="70" t="str">
        <f ca="1">IF(E15&lt;$A$4,"Actual","Model Num")</f>
        <v>Actual</v>
      </c>
      <c r="E15" s="71">
        <f>DATE(YEAR(E14),MONTH(E14)+6,DAY(E14))</f>
        <v>39479</v>
      </c>
      <c r="F15" s="74">
        <f>MAX(IF(ISERROR(VLOOKUP(E15,$A$12:$B$52,2,0)),VLOOKUP(E15,$P$11:$S$52,4,0)/1000000,(VLOOKUP(E15,$A$12:$B$52,2,0))),0)</f>
        <v>0.90941963800000003</v>
      </c>
      <c r="G15" s="128">
        <f>F15*1000000</f>
        <v>909419.63800000004</v>
      </c>
      <c r="H15" s="64"/>
      <c r="I15" s="80">
        <f>E15</f>
        <v>39479</v>
      </c>
      <c r="J15" s="205">
        <f>$M$12*$N$7</f>
        <v>42219.600000000006</v>
      </c>
      <c r="K15" s="88">
        <f>($F$7/360)*($O$2/100)*M14</f>
        <v>27706.8390549</v>
      </c>
      <c r="L15" s="90">
        <f>J15-K15</f>
        <v>14512.760945100006</v>
      </c>
      <c r="M15" s="79">
        <f>M14-L15</f>
        <v>957657.0304549</v>
      </c>
      <c r="N15" s="126">
        <f>L15/M14</f>
        <v>1.4928216319291822E-2</v>
      </c>
      <c r="O15" s="52"/>
      <c r="P15" s="80">
        <f>I15</f>
        <v>39479</v>
      </c>
      <c r="Q15" s="97">
        <f ca="1">S14*N15</f>
        <v>14250.239014588071</v>
      </c>
      <c r="R15" s="98">
        <f ca="1">S14*$C$2/2</f>
        <v>23864.604300000003</v>
      </c>
      <c r="S15" s="99">
        <f ca="1">IF(P15&lt;$A$4,(VLOOKUP(P15,$A$11:$B$52,2,0)*$S$12),(S14-(Q15+R15)))</f>
        <v>909419.63800000004</v>
      </c>
      <c r="U15" s="80">
        <f>P15</f>
        <v>39479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41671</v>
      </c>
      <c r="B16" s="50">
        <v>0.35952666700000002</v>
      </c>
      <c r="C16" s="52"/>
      <c r="D16" s="70" t="str">
        <f ca="1">IF(E16&lt;$A$4,"Actual","Model Num")</f>
        <v>Actual</v>
      </c>
      <c r="E16" s="71">
        <f>DATE(YEAR(E15),MONTH(E15)+6,DAY(E15))</f>
        <v>39661</v>
      </c>
      <c r="F16" s="74">
        <f>MAX(IF(ISERROR(VLOOKUP(E16,$A$12:$B$52,2,0)),VLOOKUP(E16,$P$11:$S$52,4,0)/1000000,(VLOOKUP(E16,$A$12:$B$52,2,0))),0)</f>
        <v>0.86086922600000004</v>
      </c>
      <c r="G16" s="128">
        <f>F16*1000000</f>
        <v>860869.22600000002</v>
      </c>
      <c r="H16" s="64"/>
      <c r="I16" s="80">
        <f>E16</f>
        <v>39661</v>
      </c>
      <c r="J16" s="205">
        <f>$M$12*$N$7</f>
        <v>42219.600000000006</v>
      </c>
      <c r="K16" s="88">
        <f>($F$7/360)*($O$2/100)*M15</f>
        <v>27293.225367964649</v>
      </c>
      <c r="L16" s="90">
        <f>J16-K16</f>
        <v>14926.374632035357</v>
      </c>
      <c r="M16" s="79">
        <f>M15-L16</f>
        <v>942730.65582286462</v>
      </c>
      <c r="N16" s="126">
        <f>L16/M15</f>
        <v>1.5586346841671624E-2</v>
      </c>
      <c r="O16" s="52"/>
      <c r="P16" s="80">
        <f>I16</f>
        <v>39661</v>
      </c>
      <c r="Q16" s="97">
        <f ca="1">S15*N16</f>
        <v>14174.529902495453</v>
      </c>
      <c r="R16" s="98">
        <f ca="1">S15*$C$2/2</f>
        <v>22735.490950000003</v>
      </c>
      <c r="S16" s="99">
        <f ca="1">IF(P16&lt;$A$4,(VLOOKUP(P16,$A$11:$B$52,2,0)*$S$12),(S15-(Q16+R16)))</f>
        <v>860869.22600000002</v>
      </c>
      <c r="U16" s="80">
        <f>P16</f>
        <v>39661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41487</v>
      </c>
      <c r="B17" s="50">
        <v>0.398361509</v>
      </c>
      <c r="C17" s="52"/>
      <c r="D17" s="70" t="str">
        <f ca="1">IF(E17&lt;$A$4,"Actual","Model Num")</f>
        <v>Actual</v>
      </c>
      <c r="E17" s="71">
        <f>DATE(YEAR(E16),MONTH(E16)+6,DAY(E16))</f>
        <v>39845</v>
      </c>
      <c r="F17" s="74">
        <f>MAX(IF(ISERROR(VLOOKUP(E17,$A$12:$B$52,2,0)),VLOOKUP(E17,$P$11:$S$52,4,0)/1000000,(VLOOKUP(E17,$A$12:$B$52,2,0))),0)</f>
        <v>0.81212876700000003</v>
      </c>
      <c r="G17" s="128">
        <f>F17*1000000</f>
        <v>812128.76699999999</v>
      </c>
      <c r="H17" s="64"/>
      <c r="I17" s="80">
        <f>E17</f>
        <v>39845</v>
      </c>
      <c r="J17" s="205">
        <f>$M$12*$N$7</f>
        <v>42219.600000000006</v>
      </c>
      <c r="K17" s="88">
        <f>($F$7/360)*($O$2/100)*M16</f>
        <v>26867.823690951642</v>
      </c>
      <c r="L17" s="90">
        <f>J17-K17</f>
        <v>15351.776309048364</v>
      </c>
      <c r="M17" s="79">
        <f>M16-L17</f>
        <v>927378.87951381621</v>
      </c>
      <c r="N17" s="126">
        <f>L17/M16</f>
        <v>1.6284371590365363E-2</v>
      </c>
      <c r="O17" s="52"/>
      <c r="P17" s="80">
        <f>I17</f>
        <v>39845</v>
      </c>
      <c r="Q17" s="97">
        <f ca="1">S16*N17</f>
        <v>14018.714366894219</v>
      </c>
      <c r="R17" s="98">
        <f ca="1">S16*$C$2/2</f>
        <v>21521.730650000001</v>
      </c>
      <c r="S17" s="99">
        <f ca="1">IF(P17&lt;$A$4,(VLOOKUP(P17,$A$11:$B$52,2,0)*$S$12),(S16-(Q17+R17)))</f>
        <v>812128.76699999999</v>
      </c>
      <c r="U17" s="80">
        <f>P17</f>
        <v>39845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41306</v>
      </c>
      <c r="B18" s="50">
        <v>0.44466103099999998</v>
      </c>
      <c r="C18" s="52"/>
      <c r="D18" s="70" t="str">
        <f ca="1">IF(E18&lt;$A$4,"Actual","Model Num")</f>
        <v>Actual</v>
      </c>
      <c r="E18" s="71">
        <f>DATE(YEAR(E17),MONTH(E17)+6,DAY(E17))</f>
        <v>40026</v>
      </c>
      <c r="F18" s="74">
        <f>MAX(IF(ISERROR(VLOOKUP(E18,$A$12:$B$52,2,0)),VLOOKUP(E18,$P$11:$S$52,4,0)/1000000,(VLOOKUP(E18,$A$12:$B$52,2,0))),0)</f>
        <v>0.77414913100000005</v>
      </c>
      <c r="G18" s="128">
        <f>F18*1000000</f>
        <v>774149.13100000005</v>
      </c>
      <c r="H18" s="64"/>
      <c r="I18" s="80">
        <f>E18</f>
        <v>40026</v>
      </c>
      <c r="J18" s="205">
        <f>$M$12*$N$7</f>
        <v>42219.600000000006</v>
      </c>
      <c r="K18" s="88">
        <f>($F$7/360)*($O$2/100)*M17</f>
        <v>26430.298066143761</v>
      </c>
      <c r="L18" s="90">
        <f>J18-K18</f>
        <v>15789.301933856244</v>
      </c>
      <c r="M18" s="79">
        <f>M17-L18</f>
        <v>911589.57757995999</v>
      </c>
      <c r="N18" s="126">
        <f>L18/M17</f>
        <v>1.7025729486241779E-2</v>
      </c>
      <c r="O18" s="52"/>
      <c r="P18" s="80">
        <f>I18</f>
        <v>40026</v>
      </c>
      <c r="Q18" s="97">
        <f ca="1">S17*N18</f>
        <v>13827.084694937079</v>
      </c>
      <c r="R18" s="98">
        <f ca="1">S17*$C$2/2</f>
        <v>20303.219175000002</v>
      </c>
      <c r="S18" s="99">
        <f ca="1">IF(P18&lt;$A$4,(VLOOKUP(P18,$A$11:$B$52,2,0)*$S$12),(S17-(Q18+R18)))</f>
        <v>774149.13100000005</v>
      </c>
      <c r="U18" s="80">
        <f>P18</f>
        <v>40026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41122</v>
      </c>
      <c r="B19" s="50">
        <v>0.48720159800000001</v>
      </c>
      <c r="C19" s="52"/>
      <c r="D19" s="70" t="str">
        <f ca="1">IF(E19&lt;$A$4,"Actual","Model Num")</f>
        <v>Actual</v>
      </c>
      <c r="E19" s="71">
        <f>DATE(YEAR(E18),MONTH(E18)+6,DAY(E18))</f>
        <v>40210</v>
      </c>
      <c r="F19" s="74">
        <f>MAX(IF(ISERROR(VLOOKUP(E19,$A$12:$B$52,2,0)),VLOOKUP(E19,$P$11:$S$52,4,0)/1000000,(VLOOKUP(E19,$A$12:$B$52,2,0))),0)</f>
        <v>0.720800055</v>
      </c>
      <c r="G19" s="128">
        <f>F19*1000000</f>
        <v>720800.05500000005</v>
      </c>
      <c r="H19" s="64"/>
      <c r="I19" s="80">
        <f>E19</f>
        <v>40210</v>
      </c>
      <c r="J19" s="205">
        <f>$M$12*$N$7</f>
        <v>42219.600000000006</v>
      </c>
      <c r="K19" s="88">
        <f>($F$7/360)*($O$2/100)*M18</f>
        <v>25980.302961028861</v>
      </c>
      <c r="L19" s="90">
        <f>J19-K19</f>
        <v>16239.297038971145</v>
      </c>
      <c r="M19" s="79">
        <f>M18-L19</f>
        <v>895350.2805409889</v>
      </c>
      <c r="N19" s="126">
        <f>L19/M18</f>
        <v>1.7814263609817013E-2</v>
      </c>
      <c r="O19" s="52"/>
      <c r="P19" s="80">
        <f>I19</f>
        <v>40210</v>
      </c>
      <c r="Q19" s="97">
        <f ca="1">S18*N19</f>
        <v>13790.896692944765</v>
      </c>
      <c r="R19" s="98">
        <f ca="1">S18*$C$2/2</f>
        <v>19353.728275000001</v>
      </c>
      <c r="S19" s="99">
        <f ca="1">IF(P19&lt;$A$4,(VLOOKUP(P19,$A$11:$B$52,2,0)*$S$12),(S18-(Q19+R19)))</f>
        <v>720800.05500000005</v>
      </c>
      <c r="U19" s="80">
        <f>P19</f>
        <v>40210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40940</v>
      </c>
      <c r="B20" s="50">
        <v>0.541294846</v>
      </c>
      <c r="C20" s="52"/>
      <c r="D20" s="70" t="str">
        <f ca="1">IF(E20&lt;$A$4,"Actual","Model Num")</f>
        <v>Actual</v>
      </c>
      <c r="E20" s="71">
        <f>DATE(YEAR(E19),MONTH(E19)+6,DAY(E19))</f>
        <v>40391</v>
      </c>
      <c r="F20" s="74">
        <f>MAX(IF(ISERROR(VLOOKUP(E20,$A$12:$B$52,2,0)),VLOOKUP(E20,$P$11:$S$52,4,0)/1000000,(VLOOKUP(E20,$A$12:$B$52,2,0))),0)</f>
        <v>0.67794865999999998</v>
      </c>
      <c r="G20" s="128">
        <f>F20*1000000</f>
        <v>677948.66</v>
      </c>
      <c r="H20" s="64"/>
      <c r="I20" s="80">
        <f>E20</f>
        <v>40391</v>
      </c>
      <c r="J20" s="205">
        <f>$M$12*$N$7</f>
        <v>42219.600000000006</v>
      </c>
      <c r="K20" s="88">
        <f>($F$7/360)*($O$2/100)*M19</f>
        <v>25517.482995418184</v>
      </c>
      <c r="L20" s="90">
        <f>J20-K20</f>
        <v>16702.117004581822</v>
      </c>
      <c r="M20" s="79">
        <f>M19-L20</f>
        <v>878648.16353640705</v>
      </c>
      <c r="N20" s="126">
        <f>L20/M19</f>
        <v>1.8654282427308853E-2</v>
      </c>
      <c r="O20" s="52"/>
      <c r="P20" s="80">
        <f>I20</f>
        <v>40391</v>
      </c>
      <c r="Q20" s="97">
        <f ca="1">S19*N20</f>
        <v>13446.007799589755</v>
      </c>
      <c r="R20" s="98">
        <f ca="1">S19*$C$2/2</f>
        <v>18020.001375000003</v>
      </c>
      <c r="S20" s="99">
        <f ca="1">IF(P20&lt;$A$4,(VLOOKUP(P20,$A$11:$B$52,2,0)*$S$12),(S19-(Q20+R20)))</f>
        <v>677948.66</v>
      </c>
      <c r="T20" s="138"/>
      <c r="U20" s="80">
        <f>P20</f>
        <v>40391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40756</v>
      </c>
      <c r="B21" s="50">
        <v>0.59778840899999997</v>
      </c>
      <c r="C21" s="52"/>
      <c r="D21" s="70" t="str">
        <f ca="1">IF(E21&lt;$A$4,"Actual","Model Num")</f>
        <v>Actual</v>
      </c>
      <c r="E21" s="71">
        <f>DATE(YEAR(E20),MONTH(E20)+6,DAY(E20))</f>
        <v>40575</v>
      </c>
      <c r="F21" s="74">
        <f>MAX(IF(ISERROR(VLOOKUP(E21,$A$12:$B$52,2,0)),VLOOKUP(E21,$P$11:$S$52,4,0)/1000000,(VLOOKUP(E21,$A$12:$B$52,2,0))),0)</f>
        <v>0.63799977699999999</v>
      </c>
      <c r="G21" s="128">
        <f>F21*1000000</f>
        <v>637999.777</v>
      </c>
      <c r="H21" s="64"/>
      <c r="I21" s="80">
        <f>E21</f>
        <v>40575</v>
      </c>
      <c r="J21" s="205">
        <f>$M$12*$N$7</f>
        <v>42219.600000000006</v>
      </c>
      <c r="K21" s="88">
        <f>($F$7/360)*($O$2/100)*M20</f>
        <v>25041.472660787604</v>
      </c>
      <c r="L21" s="90">
        <f>J21-K21</f>
        <v>17178.127339212402</v>
      </c>
      <c r="M21" s="79">
        <f>M20-L21</f>
        <v>861470.0361971946</v>
      </c>
      <c r="N21" s="126">
        <f>L21/M20</f>
        <v>1.955063249671337E-2</v>
      </c>
      <c r="O21" s="52"/>
      <c r="P21" s="80">
        <f>I21</f>
        <v>40575</v>
      </c>
      <c r="Q21" s="97">
        <f ca="1">S20*N21</f>
        <v>13254.325103299285</v>
      </c>
      <c r="R21" s="98">
        <f ca="1">S20*$C$2/2</f>
        <v>16948.716500000002</v>
      </c>
      <c r="S21" s="99">
        <f ca="1">IF(P21&lt;$A$4,(VLOOKUP(P21,$A$11:$B$52,2,0)*$S$12),(S20-(Q21+R21)))</f>
        <v>637999.777</v>
      </c>
      <c r="U21" s="80">
        <f>P21</f>
        <v>40575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40575</v>
      </c>
      <c r="B22" s="50">
        <v>0.63799977699999999</v>
      </c>
      <c r="C22" s="52"/>
      <c r="D22" s="70" t="str">
        <f ca="1">IF(E22&lt;$A$4,"Actual","Model Num")</f>
        <v>Actual</v>
      </c>
      <c r="E22" s="71">
        <f>DATE(YEAR(E21),MONTH(E21)+6,DAY(E21))</f>
        <v>40756</v>
      </c>
      <c r="F22" s="74">
        <f>MAX(IF(ISERROR(VLOOKUP(E22,$A$12:$B$52,2,0)),VLOOKUP(E22,$P$11:$S$52,4,0)/1000000,(VLOOKUP(E22,$A$12:$B$52,2,0))),0)</f>
        <v>0.59778840899999997</v>
      </c>
      <c r="G22" s="128">
        <f>F22*1000000</f>
        <v>597788.40899999999</v>
      </c>
      <c r="H22" s="64"/>
      <c r="I22" s="80">
        <f>E22</f>
        <v>40756</v>
      </c>
      <c r="J22" s="205">
        <f>$M$12*$N$7</f>
        <v>42219.600000000006</v>
      </c>
      <c r="K22" s="88">
        <f>($F$7/360)*($O$2/100)*M21</f>
        <v>24551.896031620046</v>
      </c>
      <c r="L22" s="90">
        <f>J22-K22</f>
        <v>17667.703968379959</v>
      </c>
      <c r="M22" s="79">
        <f>M21-L22</f>
        <v>843802.3322288146</v>
      </c>
      <c r="N22" s="126">
        <f>L22/M21</f>
        <v>2.0508785246171623E-2</v>
      </c>
      <c r="O22" s="52"/>
      <c r="P22" s="80">
        <f>I22</f>
        <v>40756</v>
      </c>
      <c r="Q22" s="97">
        <f ca="1">S21*N22</f>
        <v>13084.600413598386</v>
      </c>
      <c r="R22" s="98">
        <f ca="1">S21*$C$2/2</f>
        <v>15949.994425000001</v>
      </c>
      <c r="S22" s="99">
        <f ca="1">IF(P22&lt;$A$4,(VLOOKUP(P22,$A$11:$B$52,2,0)*$S$12),(S21-(Q22+R22)))</f>
        <v>597788.40899999999</v>
      </c>
      <c r="U22" s="80">
        <f>P22</f>
        <v>40756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40391</v>
      </c>
      <c r="B23" s="50">
        <v>0.67794865999999998</v>
      </c>
      <c r="C23" s="52"/>
      <c r="D23" s="70" t="str">
        <f ca="1">IF(E23&lt;$A$4,"Actual","Model Num")</f>
        <v>Actual</v>
      </c>
      <c r="E23" s="71">
        <f>DATE(YEAR(E22),MONTH(E22)+6,DAY(E22))</f>
        <v>40940</v>
      </c>
      <c r="F23" s="74">
        <f>MAX(IF(ISERROR(VLOOKUP(E23,$A$12:$B$52,2,0)),VLOOKUP(E23,$P$11:$S$52,4,0)/1000000,(VLOOKUP(E23,$A$12:$B$52,2,0))),0)</f>
        <v>0.541294846</v>
      </c>
      <c r="G23" s="128">
        <f>F23*1000000</f>
        <v>541294.84600000002</v>
      </c>
      <c r="H23" s="64"/>
      <c r="I23" s="80">
        <f>E23</f>
        <v>40940</v>
      </c>
      <c r="J23" s="205">
        <f>$M$12*$N$7</f>
        <v>42219.600000000006</v>
      </c>
      <c r="K23" s="88">
        <f>($F$7/360)*($O$2/100)*M22</f>
        <v>24048.366468521217</v>
      </c>
      <c r="L23" s="90">
        <f>J23-K23</f>
        <v>18171.233531478789</v>
      </c>
      <c r="M23" s="79">
        <f>M22-L23</f>
        <v>825631.09869733581</v>
      </c>
      <c r="N23" s="126">
        <f>L23/M22</f>
        <v>2.1534941108163803E-2</v>
      </c>
      <c r="O23" s="52"/>
      <c r="P23" s="80">
        <f>I23</f>
        <v>40940</v>
      </c>
      <c r="Q23" s="97">
        <f ca="1">S22*N23</f>
        <v>12873.338182957936</v>
      </c>
      <c r="R23" s="98">
        <f ca="1">S22*$C$2/2</f>
        <v>14944.710225000001</v>
      </c>
      <c r="S23" s="99">
        <f ca="1">IF(P23&lt;$A$4,(VLOOKUP(P23,$A$11:$B$52,2,0)*$S$12),(S22-(Q23+R23)))</f>
        <v>541294.84600000002</v>
      </c>
      <c r="U23" s="80">
        <f>P23</f>
        <v>40940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40210</v>
      </c>
      <c r="B24" s="50">
        <v>0.720800055</v>
      </c>
      <c r="C24" s="52"/>
      <c r="D24" s="70" t="str">
        <f ca="1">IF(E24&lt;$A$4,"Actual","Model Num")</f>
        <v>Actual</v>
      </c>
      <c r="E24" s="71">
        <f>DATE(YEAR(E23),MONTH(E23)+6,DAY(E23))</f>
        <v>41122</v>
      </c>
      <c r="F24" s="74">
        <f>MAX(IF(ISERROR(VLOOKUP(E24,$A$12:$B$52,2,0)),VLOOKUP(E24,$P$11:$S$52,4,0)/1000000,(VLOOKUP(E24,$A$12:$B$52,2,0))),0)</f>
        <v>0.48720159800000001</v>
      </c>
      <c r="G24" s="128">
        <f>F24*1000000</f>
        <v>487201.598</v>
      </c>
      <c r="H24" s="64"/>
      <c r="I24" s="80">
        <f>E24</f>
        <v>41122</v>
      </c>
      <c r="J24" s="205">
        <f>$M$12*$N$7</f>
        <v>42219.600000000006</v>
      </c>
      <c r="K24" s="88">
        <f>($F$7/360)*($O$2/100)*M23</f>
        <v>23530.486312874073</v>
      </c>
      <c r="L24" s="90">
        <f>J24-K24</f>
        <v>18689.113687125933</v>
      </c>
      <c r="M24" s="79">
        <f>M23-L24</f>
        <v>806941.98501020984</v>
      </c>
      <c r="N24" s="126">
        <f>L24/M23</f>
        <v>2.2636155198869377E-2</v>
      </c>
      <c r="O24" s="52"/>
      <c r="P24" s="80">
        <f>I24</f>
        <v>41122</v>
      </c>
      <c r="Q24" s="97">
        <f ca="1">S23*N24</f>
        <v>12252.834142404099</v>
      </c>
      <c r="R24" s="98">
        <f ca="1">S23*$C$2/2</f>
        <v>13532.371150000001</v>
      </c>
      <c r="S24" s="99">
        <f ca="1">IF(P24&lt;$A$4,(VLOOKUP(P24,$A$11:$B$52,2,0)*$S$12),(S23-(Q24+R24)))</f>
        <v>487201.598</v>
      </c>
      <c r="U24" s="80">
        <f>P24</f>
        <v>41122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40026</v>
      </c>
      <c r="B25" s="50">
        <v>0.77414913100000005</v>
      </c>
      <c r="C25" s="52"/>
      <c r="D25" s="70" t="str">
        <f ca="1">IF(E25&lt;$A$4,"Actual","Model Num")</f>
        <v>Actual</v>
      </c>
      <c r="E25" s="71">
        <f>DATE(YEAR(E24),MONTH(E24)+6,DAY(E24))</f>
        <v>41306</v>
      </c>
      <c r="F25" s="74">
        <f>MAX(IF(ISERROR(VLOOKUP(E25,$A$12:$B$52,2,0)),VLOOKUP(E25,$P$11:$S$52,4,0)/1000000,(VLOOKUP(E25,$A$12:$B$52,2,0))),0)</f>
        <v>0.44466103099999998</v>
      </c>
      <c r="G25" s="128">
        <f>F25*1000000</f>
        <v>444661.03099999996</v>
      </c>
      <c r="H25" s="64"/>
      <c r="I25" s="80">
        <f>E25</f>
        <v>41306</v>
      </c>
      <c r="J25" s="205">
        <f>$M$12*$N$7</f>
        <v>42219.600000000006</v>
      </c>
      <c r="K25" s="88">
        <f>($F$7/360)*($O$2/100)*M24</f>
        <v>22997.846572790982</v>
      </c>
      <c r="L25" s="90">
        <f>J25-K25</f>
        <v>19221.753427209023</v>
      </c>
      <c r="M25" s="79">
        <f>M24-L25</f>
        <v>787720.23158300086</v>
      </c>
      <c r="N25" s="126">
        <f>L25/M24</f>
        <v>2.3820489928982714E-2</v>
      </c>
      <c r="O25" s="52"/>
      <c r="P25" s="80">
        <f>I25</f>
        <v>41306</v>
      </c>
      <c r="Q25" s="97">
        <f ca="1">S24*N25</f>
        <v>11605.380758543284</v>
      </c>
      <c r="R25" s="98">
        <f ca="1">S24*$C$2/2</f>
        <v>12180.03995</v>
      </c>
      <c r="S25" s="99">
        <f ca="1">IF(P25&lt;$A$4,(VLOOKUP(P25,$A$11:$B$52,2,0)*$S$12),(S24-(Q25+R25)))</f>
        <v>444661.03099999996</v>
      </c>
      <c r="U25" s="80">
        <f>P25</f>
        <v>41306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39845</v>
      </c>
      <c r="B26" s="50">
        <v>0.81212876700000003</v>
      </c>
      <c r="C26" s="52"/>
      <c r="D26" s="70" t="str">
        <f ca="1">IF(E26&lt;$A$4,"Actual","Model Num")</f>
        <v>Actual</v>
      </c>
      <c r="E26" s="71">
        <f>DATE(YEAR(E25),MONTH(E25)+6,DAY(E25))</f>
        <v>41487</v>
      </c>
      <c r="F26" s="74">
        <f>MAX(IF(ISERROR(VLOOKUP(E26,$A$12:$B$52,2,0)),VLOOKUP(E26,$P$11:$S$52,4,0)/1000000,(VLOOKUP(E26,$A$12:$B$52,2,0))),0)</f>
        <v>0.398361509</v>
      </c>
      <c r="G26" s="128">
        <f>F26*1000000</f>
        <v>398361.50900000002</v>
      </c>
      <c r="H26" s="64"/>
      <c r="I26" s="80">
        <f>E26</f>
        <v>41487</v>
      </c>
      <c r="J26" s="205">
        <f>$M$12*$N$7</f>
        <v>42219.600000000006</v>
      </c>
      <c r="K26" s="88">
        <f>($F$7/360)*($O$2/100)*M25</f>
        <v>22450.026600115525</v>
      </c>
      <c r="L26" s="90">
        <f>J26-K26</f>
        <v>19769.573399884481</v>
      </c>
      <c r="M26" s="79">
        <f>M25-L26</f>
        <v>767950.65818311635</v>
      </c>
      <c r="N26" s="126">
        <f>L26/M25</f>
        <v>2.5097201528207026E-2</v>
      </c>
      <c r="O26" s="52"/>
      <c r="P26" s="80">
        <f>I26</f>
        <v>41487</v>
      </c>
      <c r="Q26" s="97">
        <f ca="1">S25*N26</f>
        <v>11159.747506747311</v>
      </c>
      <c r="R26" s="98">
        <f ca="1">S25*$C$2/2</f>
        <v>11116.525775</v>
      </c>
      <c r="S26" s="99">
        <f ca="1">IF(P26&lt;$A$4,(VLOOKUP(P26,$A$11:$B$52,2,0)*$S$12),(S25-(Q26+R26)))</f>
        <v>398361.50900000002</v>
      </c>
      <c r="U26" s="80">
        <f>P26</f>
        <v>41487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39661</v>
      </c>
      <c r="B27" s="50">
        <v>0.86086922600000004</v>
      </c>
      <c r="C27" s="52"/>
      <c r="D27" s="70" t="str">
        <f ca="1">IF(E27&lt;$A$4,"Actual","Model Num")</f>
        <v>Actual</v>
      </c>
      <c r="E27" s="71">
        <f>DATE(YEAR(E26),MONTH(E26)+6,DAY(E26))</f>
        <v>41671</v>
      </c>
      <c r="F27" s="74">
        <f>MAX(IF(ISERROR(VLOOKUP(E27,$A$12:$B$52,2,0)),VLOOKUP(E27,$P$11:$S$52,4,0)/1000000,(VLOOKUP(E27,$A$12:$B$52,2,0))),0)</f>
        <v>0.35952666700000002</v>
      </c>
      <c r="G27" s="128">
        <f>F27*1000000</f>
        <v>359526.66700000002</v>
      </c>
      <c r="H27" s="64"/>
      <c r="I27" s="80">
        <f>E27</f>
        <v>41671</v>
      </c>
      <c r="J27" s="205">
        <f>$M$12*$N$7</f>
        <v>42219.600000000006</v>
      </c>
      <c r="K27" s="88">
        <f>($F$7/360)*($O$2/100)*M26</f>
        <v>21886.593758218816</v>
      </c>
      <c r="L27" s="90">
        <f>J27-K27</f>
        <v>20333.00624178119</v>
      </c>
      <c r="M27" s="79">
        <f>M26-L27</f>
        <v>747617.65194133518</v>
      </c>
      <c r="N27" s="126">
        <f>L27/M26</f>
        <v>2.6476969614020206E-2</v>
      </c>
      <c r="O27" s="52"/>
      <c r="P27" s="80">
        <f>I27</f>
        <v>41671</v>
      </c>
      <c r="Q27" s="97">
        <f ca="1">S26*N27</f>
        <v>10547.405569188237</v>
      </c>
      <c r="R27" s="98">
        <f ca="1">S26*$C$2/2</f>
        <v>9959.037725000002</v>
      </c>
      <c r="S27" s="99">
        <f ca="1">IF(P27&lt;$A$4,(VLOOKUP(P27,$A$11:$B$52,2,0)*$S$12),(S26-(Q27+R27)))</f>
        <v>359526.66700000002</v>
      </c>
      <c r="U27" s="80">
        <f>P27</f>
        <v>41671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39479</v>
      </c>
      <c r="B28" s="50">
        <v>0.90941963800000003</v>
      </c>
      <c r="C28" s="52"/>
      <c r="D28" s="70" t="str">
        <f ca="1">IF(E28&lt;$A$4,"Actual","Model Num")</f>
        <v>Actual</v>
      </c>
      <c r="E28" s="71">
        <f>DATE(YEAR(E27),MONTH(E27)+6,DAY(E27))</f>
        <v>41852</v>
      </c>
      <c r="F28" s="74">
        <f>MAX(IF(ISERROR(VLOOKUP(E28,$A$12:$B$52,2,0)),VLOOKUP(E28,$P$11:$S$52,4,0)/1000000,(VLOOKUP(E28,$A$12:$B$52,2,0))),0)</f>
        <v>0.32344041800000001</v>
      </c>
      <c r="G28" s="128">
        <f>F28*1000000</f>
        <v>323440.41800000001</v>
      </c>
      <c r="H28" s="64"/>
      <c r="I28" s="80">
        <f>E28</f>
        <v>41852</v>
      </c>
      <c r="J28" s="205">
        <f>$M$12*$N$7</f>
        <v>42219.600000000006</v>
      </c>
      <c r="K28" s="88">
        <f>($F$7/360)*($O$2/100)*M27</f>
        <v>21307.103080328052</v>
      </c>
      <c r="L28" s="90">
        <f>J28-K28</f>
        <v>20912.496919671954</v>
      </c>
      <c r="M28" s="79">
        <f>M27-L28</f>
        <v>726705.15502166317</v>
      </c>
      <c r="N28" s="126">
        <f>L28/M27</f>
        <v>2.7972181857087743E-2</v>
      </c>
      <c r="O28" s="52"/>
      <c r="P28" s="80">
        <f>I28</f>
        <v>41852</v>
      </c>
      <c r="Q28" s="97">
        <f ca="1">S27*N28</f>
        <v>10056.745311796627</v>
      </c>
      <c r="R28" s="98">
        <f ca="1">S27*$C$2/2</f>
        <v>8988.1666750000004</v>
      </c>
      <c r="S28" s="99">
        <f ca="1">IF(P28&lt;$A$4,(VLOOKUP(P28,$A$11:$B$52,2,0)*$S$12),(S27-(Q28+R28)))</f>
        <v>323440.41800000001</v>
      </c>
      <c r="U28" s="80">
        <f>P28</f>
        <v>41852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39295</v>
      </c>
      <c r="B29" s="50">
        <v>0.95458417200000001</v>
      </c>
      <c r="C29" s="52"/>
      <c r="D29" s="70" t="str">
        <f ca="1">IF(E29&lt;$A$4,"Actual","Model Num")</f>
        <v>Actual</v>
      </c>
      <c r="E29" s="71">
        <f>DATE(YEAR(E28),MONTH(E28)+6,DAY(E28))</f>
        <v>42036</v>
      </c>
      <c r="F29" s="74">
        <f>MAX(IF(ISERROR(VLOOKUP(E29,$A$12:$B$52,2,0)),VLOOKUP(E29,$P$11:$S$52,4,0)/1000000,(VLOOKUP(E29,$A$12:$B$52,2,0))),0)</f>
        <v>0.288996696</v>
      </c>
      <c r="G29" s="128">
        <f>F29*1000000</f>
        <v>288996.696</v>
      </c>
      <c r="H29" s="64"/>
      <c r="I29" s="80">
        <f>E29</f>
        <v>42036</v>
      </c>
      <c r="J29" s="205">
        <f>$M$12*$N$7</f>
        <v>42219.600000000006</v>
      </c>
      <c r="K29" s="88">
        <f>($F$7/360)*($O$2/100)*M28</f>
        <v>20711.0969181174</v>
      </c>
      <c r="L29" s="90">
        <f>J29-K29</f>
        <v>21508.503081882605</v>
      </c>
      <c r="M29" s="79">
        <f>M28-L29</f>
        <v>705196.65193978057</v>
      </c>
      <c r="N29" s="126">
        <f>L29/M28</f>
        <v>2.9597289813144967E-2</v>
      </c>
      <c r="O29" s="52"/>
      <c r="P29" s="80">
        <f>I29</f>
        <v>42036</v>
      </c>
      <c r="Q29" s="97">
        <f ca="1">S28*N29</f>
        <v>9572.9597888307508</v>
      </c>
      <c r="R29" s="98">
        <f ca="1">S28*$C$2/2</f>
        <v>8086.0104500000007</v>
      </c>
      <c r="S29" s="99">
        <f ca="1">IF(P29&lt;$A$4,(VLOOKUP(P29,$A$11:$B$52,2,0)*$S$12),(S28-(Q29+R29)))</f>
        <v>288996.696</v>
      </c>
      <c r="U29" s="80">
        <f>P29</f>
        <v>42036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39114</v>
      </c>
      <c r="B30" s="50">
        <v>0.982154097</v>
      </c>
      <c r="C30" s="52"/>
      <c r="D30" s="70" t="str">
        <f ca="1">IF(E30&lt;$A$4,"Actual","Model Num")</f>
        <v>Actual</v>
      </c>
      <c r="E30" s="71">
        <f>DATE(YEAR(E29),MONTH(E29)+6,DAY(E29))</f>
        <v>42217</v>
      </c>
      <c r="F30" s="74">
        <f>MAX(IF(ISERROR(VLOOKUP(E30,$A$12:$B$52,2,0)),VLOOKUP(E30,$P$11:$S$52,4,0)/1000000,(VLOOKUP(E30,$A$12:$B$52,2,0))),0)</f>
        <v>0.25138965299999999</v>
      </c>
      <c r="G30" s="128">
        <f>F30*1000000</f>
        <v>251389.65299999999</v>
      </c>
      <c r="H30" s="64"/>
      <c r="I30" s="80">
        <f>E30</f>
        <v>42217</v>
      </c>
      <c r="J30" s="205">
        <f>$M$12*$N$7</f>
        <v>42219.600000000006</v>
      </c>
      <c r="K30" s="88">
        <f>($F$7/360)*($O$2/100)*M29</f>
        <v>20098.104580283747</v>
      </c>
      <c r="L30" s="90">
        <f>J30-K30</f>
        <v>22121.495419716259</v>
      </c>
      <c r="M30" s="79">
        <f>M29-L30</f>
        <v>683075.15652006434</v>
      </c>
      <c r="N30" s="126">
        <f>L30/M29</f>
        <v>3.1369257580657513E-2</v>
      </c>
      <c r="O30" s="52"/>
      <c r="P30" s="80">
        <f>I30</f>
        <v>42217</v>
      </c>
      <c r="Q30" s="97">
        <f ca="1">S29*N30</f>
        <v>9065.6117967829741</v>
      </c>
      <c r="R30" s="98">
        <f ca="1">S29*$C$2/2</f>
        <v>7224.9174000000003</v>
      </c>
      <c r="S30" s="99">
        <f ca="1">IF(P30&lt;$A$4,(VLOOKUP(P30,$A$11:$B$52,2,0)*$S$12),(S29-(Q30+R30)))</f>
        <v>251389.65299999999</v>
      </c>
      <c r="U30" s="80">
        <f>P30</f>
        <v>42217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38945</v>
      </c>
      <c r="B31" s="50">
        <v>1</v>
      </c>
      <c r="C31" s="52"/>
      <c r="D31" s="70" t="str">
        <f ca="1">IF(E31&lt;$A$4,"Actual","Model Num")</f>
        <v>Actual</v>
      </c>
      <c r="E31" s="71">
        <f>DATE(YEAR(E30),MONTH(E30)+6,DAY(E30))</f>
        <v>42401</v>
      </c>
      <c r="F31" s="74">
        <f>MAX(IF(ISERROR(VLOOKUP(E31,$A$12:$B$52,2,0)),VLOOKUP(E31,$P$11:$S$52,4,0)/1000000,(VLOOKUP(E31,$A$12:$B$52,2,0))),0)</f>
        <v>0.20872088999999999</v>
      </c>
      <c r="G31" s="128">
        <f>F31*1000000</f>
        <v>208720.88999999998</v>
      </c>
      <c r="H31" s="64"/>
      <c r="I31" s="80">
        <f>E31</f>
        <v>42401</v>
      </c>
      <c r="J31" s="205">
        <f>$M$12*$N$7</f>
        <v>42219.600000000006</v>
      </c>
      <c r="K31" s="88">
        <f>($F$7/360)*($O$2/100)*M30</f>
        <v>19467.641960821835</v>
      </c>
      <c r="L31" s="90">
        <f>J31-K31</f>
        <v>22751.958039178171</v>
      </c>
      <c r="M31" s="79">
        <f>M30-L31</f>
        <v>660323.19848088617</v>
      </c>
      <c r="N31" s="126">
        <f>L31/M30</f>
        <v>3.3308132819656812E-2</v>
      </c>
      <c r="O31" s="52"/>
      <c r="P31" s="80">
        <f>I31</f>
        <v>42401</v>
      </c>
      <c r="Q31" s="97">
        <f ca="1">S30*N31</f>
        <v>8373.3199516114364</v>
      </c>
      <c r="R31" s="98">
        <f ca="1">S30*$C$2/2</f>
        <v>6284.741325</v>
      </c>
      <c r="S31" s="99">
        <f ca="1">IF(P31&lt;$A$4,(VLOOKUP(P31,$A$11:$B$52,2,0)*$S$12),(S30-(Q31+R31)))</f>
        <v>208720.88999999998</v>
      </c>
      <c r="U31" s="80">
        <f>P31</f>
        <v>42401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50"/>
      <c r="B32" s="50"/>
      <c r="C32" s="52"/>
      <c r="D32" s="70" t="str">
        <f ca="1">IF(E32&lt;$A$4,"Actual","Model Num")</f>
        <v>Model Num</v>
      </c>
      <c r="E32" s="71">
        <f>DATE(YEAR(E31),MONTH(E31)+6,DAY(E31))</f>
        <v>42583</v>
      </c>
      <c r="F32" s="74">
        <f ca="1">MAX(IF(ISERROR(VLOOKUP(E32,$A$12:$B$52,2,0)),VLOOKUP(E32,$P$11:$S$52,4,0)/1000000,(VLOOKUP(E32,$A$12:$B$52,2,0))),0)</f>
        <v>0.19610626257702585</v>
      </c>
      <c r="G32" s="128">
        <f ca="1">F32*1000000</f>
        <v>196106.26257702586</v>
      </c>
      <c r="H32" s="64"/>
      <c r="I32" s="80">
        <f>E32</f>
        <v>42583</v>
      </c>
      <c r="J32" s="205">
        <f>$M$12*$N$7</f>
        <v>42219.600000000006</v>
      </c>
      <c r="K32" s="88">
        <f>($F$7/360)*($O$2/100)*M31</f>
        <v>18819.211156705256</v>
      </c>
      <c r="L32" s="90">
        <f>J32-K32</f>
        <v>23400.38884329475</v>
      </c>
      <c r="M32" s="79">
        <f>M31-L32</f>
        <v>636922.80963759148</v>
      </c>
      <c r="N32" s="126">
        <f>L32/M31</f>
        <v>3.5437780918690681E-2</v>
      </c>
      <c r="O32" s="52"/>
      <c r="P32" s="80">
        <f>I32</f>
        <v>42583</v>
      </c>
      <c r="Q32" s="97">
        <f ca="1">S31*N32</f>
        <v>7396.6051729741357</v>
      </c>
      <c r="R32" s="98">
        <f ca="1">S31*$C$2/2</f>
        <v>5218.02225</v>
      </c>
      <c r="S32" s="99">
        <f ca="1">IF(P32&lt;$A$4,(VLOOKUP(P32,$A$11:$B$52,2,0)*$S$12),(S31-(Q32+R32)))</f>
        <v>196106.26257702586</v>
      </c>
      <c r="U32" s="80">
        <f>P32</f>
        <v>42583</v>
      </c>
      <c r="V32" s="97">
        <f ca="1">IF(U32&lt;$A$4,0,(YEARFRAC($A$4,U32,1)))</f>
        <v>0.31420765027322406</v>
      </c>
      <c r="W32" s="141">
        <f ca="1">V32*(S31-S32)</f>
        <v>3963.6124416448756</v>
      </c>
    </row>
    <row r="33" spans="1:23">
      <c r="A33" s="50"/>
      <c r="B33" s="50"/>
      <c r="C33" s="52"/>
      <c r="D33" s="70" t="str">
        <f ca="1">IF(E33&lt;$A$4,"Actual","Model Num")</f>
        <v>Model Num</v>
      </c>
      <c r="E33" s="71">
        <f>DATE(YEAR(E32),MONTH(E32)+6,DAY(E32))</f>
        <v>42767</v>
      </c>
      <c r="F33" s="74">
        <f ca="1">MAX(IF(ISERROR(VLOOKUP(E33,$A$12:$B$52,2,0)),VLOOKUP(E33,$P$11:$S$52,4,0)/1000000,(VLOOKUP(E33,$A$12:$B$52,2,0))),0)</f>
        <v>0.18379337016100297</v>
      </c>
      <c r="G33" s="128">
        <f ca="1">F33*1000000</f>
        <v>183793.37016100297</v>
      </c>
      <c r="H33" s="64"/>
      <c r="I33" s="80">
        <f>E33</f>
        <v>42767</v>
      </c>
      <c r="J33" s="205">
        <f>$M$12*$N$7</f>
        <v>42219.600000000006</v>
      </c>
      <c r="K33" s="88">
        <f>($F$7/360)*($O$2/100)*M32</f>
        <v>18152.300074671359</v>
      </c>
      <c r="L33" s="90">
        <f>J33-K33</f>
        <v>24067.299925328647</v>
      </c>
      <c r="M33" s="79">
        <f>M32-L33</f>
        <v>612855.50971226278</v>
      </c>
      <c r="N33" s="126">
        <f>L33/M32</f>
        <v>3.7786839411549603E-2</v>
      </c>
      <c r="O33" s="52"/>
      <c r="P33" s="80">
        <f>I33</f>
        <v>42767</v>
      </c>
      <c r="Q33" s="97">
        <f ca="1">S32*N33</f>
        <v>7410.2358515972555</v>
      </c>
      <c r="R33" s="98">
        <f ca="1">S32*$C$2/2</f>
        <v>4902.656564425647</v>
      </c>
      <c r="S33" s="99">
        <f ca="1">IF(P33&lt;$A$4,(VLOOKUP(P33,$A$11:$B$52,2,0)*$S$12),(S32-(Q33+R33)))</f>
        <v>183793.37016100297</v>
      </c>
      <c r="U33" s="80">
        <f>P33</f>
        <v>42767</v>
      </c>
      <c r="V33" s="97">
        <f ca="1">IF(U33&lt;$A$4,0,(YEARFRAC($A$4,U33,1)))</f>
        <v>0.81917808219178079</v>
      </c>
      <c r="W33" s="141">
        <f ca="1">V33*(S32-S33)</f>
        <v>10086.451595591356</v>
      </c>
    </row>
    <row r="34" spans="1:23">
      <c r="A34" s="50"/>
      <c r="B34" s="50"/>
      <c r="C34" s="52"/>
      <c r="D34" s="70" t="str">
        <f ca="1">IF(E34&lt;$A$4,"Actual","Model Num")</f>
        <v>Model Num</v>
      </c>
      <c r="E34" s="71">
        <f>DATE(YEAR(E33),MONTH(E33)+6,DAY(E33))</f>
        <v>42948</v>
      </c>
      <c r="F34" s="74">
        <f ca="1">MAX(IF(ISERROR(VLOOKUP(E34,$A$12:$B$52,2,0)),VLOOKUP(E34,$P$11:$S$52,4,0)/1000000,(VLOOKUP(E34,$A$12:$B$52,2,0))),0)</f>
        <v>0.17177512650373958</v>
      </c>
      <c r="G34" s="128">
        <f ca="1">F34*1000000</f>
        <v>171775.12650373956</v>
      </c>
      <c r="H34" s="64"/>
      <c r="I34" s="80">
        <f>E34</f>
        <v>42948</v>
      </c>
      <c r="J34" s="205">
        <f>$M$12*$N$7</f>
        <v>42219.600000000006</v>
      </c>
      <c r="K34" s="88">
        <f>($F$7/360)*($O$2/100)*M33</f>
        <v>17466.382026799489</v>
      </c>
      <c r="L34" s="90">
        <f>J34-K34</f>
        <v>24753.217973200517</v>
      </c>
      <c r="M34" s="79">
        <f>M33-L34</f>
        <v>588102.29173906229</v>
      </c>
      <c r="N34" s="126">
        <f>L34/M33</f>
        <v>4.038997378814823E-2</v>
      </c>
      <c r="O34" s="52"/>
      <c r="P34" s="80">
        <f>I34</f>
        <v>42948</v>
      </c>
      <c r="Q34" s="97">
        <f ca="1">S33*N34</f>
        <v>7423.4094032383346</v>
      </c>
      <c r="R34" s="98">
        <f ca="1">S33*$C$2/2</f>
        <v>4594.8342540250742</v>
      </c>
      <c r="S34" s="99">
        <f ca="1">IF(P34&lt;$A$4,(VLOOKUP(P34,$A$11:$B$52,2,0)*$S$12),(S33-(Q34+R34)))</f>
        <v>171775.12650373956</v>
      </c>
      <c r="U34" s="80">
        <f>P34</f>
        <v>42948</v>
      </c>
      <c r="V34" s="97">
        <f ca="1">IF(U34&lt;$A$4,0,(YEARFRAC($A$4,U34,1)))</f>
        <v>1.3132694938440492</v>
      </c>
      <c r="W34" s="141">
        <f ca="1">V34*(S33-S34)</f>
        <v>15783.192764668765</v>
      </c>
    </row>
    <row r="35" spans="1:23">
      <c r="A35" s="31"/>
      <c r="B35" s="31"/>
      <c r="D35" s="70" t="str">
        <f ca="1">IF(E35&lt;$A$4,"Actual","Model Num")</f>
        <v>Model Num</v>
      </c>
      <c r="E35" s="71">
        <f>DATE(YEAR(E34),MONTH(E34)+6,DAY(E34))</f>
        <v>43132</v>
      </c>
      <c r="F35" s="74">
        <f ca="1">MAX(IF(ISERROR(VLOOKUP(E35,$A$12:$B$52,2,0)),VLOOKUP(E35,$P$11:$S$52,4,0)/1000000,(VLOOKUP(E35,$A$12:$B$52,2,0))),0)</f>
        <v>0.16004468008586359</v>
      </c>
      <c r="G35" s="128">
        <f ca="1">F35*1000000</f>
        <v>160044.6800858636</v>
      </c>
      <c r="I35" s="80">
        <f>E35</f>
        <v>43132</v>
      </c>
      <c r="J35" s="205">
        <f>$M$12*$N$7</f>
        <v>42219.600000000006</v>
      </c>
      <c r="K35" s="88">
        <f>($F$7/360)*($O$2/100)*M34</f>
        <v>16760.915314563277</v>
      </c>
      <c r="L35" s="90">
        <f>J35-K35</f>
        <v>25458.684685436729</v>
      </c>
      <c r="M35" s="79">
        <f>M34-L35</f>
        <v>562643.60705362551</v>
      </c>
      <c r="N35" s="126">
        <f>L35/M34</f>
        <v>4.3289551907974205E-2</v>
      </c>
      <c r="O35" s="52"/>
      <c r="P35" s="80">
        <f>I35</f>
        <v>43132</v>
      </c>
      <c r="Q35" s="97">
        <f ca="1">S34*N35</f>
        <v>7436.0682552824692</v>
      </c>
      <c r="R35" s="98">
        <f ca="1">S34*$C$2/2</f>
        <v>4294.3781625934889</v>
      </c>
      <c r="S35" s="99">
        <f ca="1">IF(P35&lt;$A$4,(VLOOKUP(P35,$A$11:$B$52,2,0)*$S$12),(S34-(Q35+R35)))</f>
        <v>160044.6800858636</v>
      </c>
      <c r="U35" s="80">
        <f>P35</f>
        <v>43132</v>
      </c>
      <c r="V35" s="97">
        <f ca="1">IF(U35&lt;$A$4,0,(YEARFRAC($A$4,U35,1)))</f>
        <v>1.8175182481751826</v>
      </c>
      <c r="W35" s="141">
        <f ca="1">V35*(S34-S35)</f>
        <v>21320.300423730772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43313</v>
      </c>
      <c r="F36" s="74">
        <f ca="1">MAX(IF(ISERROR(VLOOKUP(E36,$A$12:$B$52,2,0)),VLOOKUP(E36,$P$11:$S$52,4,0)/1000000,(VLOOKUP(E36,$A$12:$B$52,2,0))),0)</f>
        <v>0.14859541826493836</v>
      </c>
      <c r="G36" s="128">
        <f ca="1">F36*1000000</f>
        <v>148595.41826493834</v>
      </c>
      <c r="I36" s="80">
        <f>E36</f>
        <v>43313</v>
      </c>
      <c r="J36" s="205">
        <f>$M$12*$N$7</f>
        <v>42219.600000000006</v>
      </c>
      <c r="K36" s="88">
        <f>($F$7/360)*($O$2/100)*M35</f>
        <v>16035.342801028328</v>
      </c>
      <c r="L36" s="90">
        <f>J36-K36</f>
        <v>26184.257198971678</v>
      </c>
      <c r="M36" s="79">
        <f>M35-L36</f>
        <v>536459.34985465382</v>
      </c>
      <c r="N36" s="126">
        <f>L36/M35</f>
        <v>4.653790938119743E-2</v>
      </c>
      <c r="O36" s="52"/>
      <c r="P36" s="80">
        <f>I36</f>
        <v>43313</v>
      </c>
      <c r="Q36" s="97">
        <f ca="1">S35*N36</f>
        <v>7448.1448187786527</v>
      </c>
      <c r="R36" s="98">
        <f ca="1">S35*$C$2/2</f>
        <v>4001.11700214659</v>
      </c>
      <c r="S36" s="99">
        <f ca="1">IF(P36&lt;$A$4,(VLOOKUP(P36,$A$11:$B$52,2,0)*$S$12),(S35-(Q36+R36)))</f>
        <v>148595.41826493834</v>
      </c>
      <c r="U36" s="80">
        <f>P36</f>
        <v>43313</v>
      </c>
      <c r="V36" s="97">
        <f ca="1">IF(U36&lt;$A$4,0,(YEARFRAC($A$4,U36,1)))</f>
        <v>2.312956204379562</v>
      </c>
      <c r="W36" s="141">
        <f ca="1">V36*(S35-S36)</f>
        <v>26481.641164275108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43497</v>
      </c>
      <c r="F37" s="74">
        <f ca="1">MAX(IF(ISERROR(VLOOKUP(E37,$A$12:$B$52,2,0)),VLOOKUP(E37,$P$11:$S$52,4,0)/1000000,(VLOOKUP(E37,$A$12:$B$52,2,0))),0)</f>
        <v>0.13742097379408647</v>
      </c>
      <c r="G37" s="128">
        <f ca="1">F37*1000000</f>
        <v>137420.97379408646</v>
      </c>
      <c r="I37" s="80">
        <f>E37</f>
        <v>43497</v>
      </c>
      <c r="J37" s="205">
        <f>$M$12*$N$7</f>
        <v>42219.600000000006</v>
      </c>
      <c r="K37" s="88">
        <f>($F$7/360)*($O$2/100)*M36</f>
        <v>15289.091470857635</v>
      </c>
      <c r="L37" s="90">
        <f>J37-K37</f>
        <v>26930.508529142371</v>
      </c>
      <c r="M37" s="79">
        <f>M36-L37</f>
        <v>509528.84132551146</v>
      </c>
      <c r="N37" s="126">
        <f>L37/M36</f>
        <v>5.0200464464714462E-2</v>
      </c>
      <c r="O37" s="52"/>
      <c r="P37" s="80">
        <f>I37</f>
        <v>43497</v>
      </c>
      <c r="Q37" s="97">
        <f ca="1">S36*N37</f>
        <v>7459.55901422842</v>
      </c>
      <c r="R37" s="98">
        <f ca="1">S36*$C$2/2</f>
        <v>3714.8854566234586</v>
      </c>
      <c r="S37" s="99">
        <f ca="1">IF(P37&lt;$A$4,(VLOOKUP(P37,$A$11:$B$52,2,0)*$S$12),(S36-(Q37+R37)))</f>
        <v>137420.97379408646</v>
      </c>
      <c r="U37" s="80">
        <f>P37</f>
        <v>43497</v>
      </c>
      <c r="V37" s="97">
        <f ca="1">IF(U37&lt;$A$4,0,(YEARFRAC($A$4,U37,1)))</f>
        <v>2.817248459958932</v>
      </c>
      <c r="W37" s="141">
        <f ca="1">V37*(S36-S37)</f>
        <v>31481.18647640408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43678</v>
      </c>
      <c r="F38" s="74">
        <f ca="1">MAX(IF(ISERROR(VLOOKUP(E38,$A$12:$B$52,2,0)),VLOOKUP(E38,$P$11:$S$52,4,0)/1000000,(VLOOKUP(E38,$A$12:$B$52,2,0))),0)</f>
        <v>0.1265152344696702</v>
      </c>
      <c r="G38" s="128">
        <f ca="1">F38*1000000</f>
        <v>126515.23446967019</v>
      </c>
      <c r="I38" s="80">
        <f>E38</f>
        <v>43678</v>
      </c>
      <c r="J38" s="205">
        <f>$M$12*$N$7</f>
        <v>42219.600000000006</v>
      </c>
      <c r="K38" s="88">
        <f>($F$7/360)*($O$2/100)*M37</f>
        <v>14521.571977777077</v>
      </c>
      <c r="L38" s="90">
        <f>J38-K38</f>
        <v>27698.028022222927</v>
      </c>
      <c r="M38" s="79">
        <f>M37-L38</f>
        <v>481830.81330328854</v>
      </c>
      <c r="N38" s="126">
        <f>L38/M37</f>
        <v>5.4360078911662821E-2</v>
      </c>
      <c r="O38" s="52"/>
      <c r="P38" s="80">
        <f>I38</f>
        <v>43678</v>
      </c>
      <c r="Q38" s="97">
        <f ca="1">S37*N38</f>
        <v>7470.214979564088</v>
      </c>
      <c r="R38" s="98">
        <f ca="1">S37*$C$2/2</f>
        <v>3435.5243448521614</v>
      </c>
      <c r="S38" s="99">
        <f ca="1">IF(P38&lt;$A$4,(VLOOKUP(P38,$A$11:$B$52,2,0)*$S$12),(S37-(Q38+R38)))</f>
        <v>126515.23446967021</v>
      </c>
      <c r="U38" s="80">
        <f>P38</f>
        <v>43678</v>
      </c>
      <c r="V38" s="97">
        <f ca="1">IF(U38&lt;$A$4,0,(YEARFRAC($A$4,U38,1)))</f>
        <v>3.3127994524298425</v>
      </c>
      <c r="W38" s="141">
        <f ca="1">V38*(S37-S38)</f>
        <v>36128.527262268763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43862</v>
      </c>
      <c r="F39" s="74">
        <f ca="1">MAX(IF(ISERROR(VLOOKUP(E39,$A$12:$B$52,2,0)),VLOOKUP(E39,$P$11:$S$52,4,0)/1000000,(VLOOKUP(E39,$A$12:$B$52,2,0))),0)</f>
        <v>0.11587235699585326</v>
      </c>
      <c r="G39" s="128">
        <f ca="1">F39*1000000</f>
        <v>115872.35699585326</v>
      </c>
      <c r="I39" s="80">
        <f>E39</f>
        <v>43862</v>
      </c>
      <c r="J39" s="205">
        <f>$M$12*$N$7</f>
        <v>42219.600000000006</v>
      </c>
      <c r="K39" s="88">
        <f>($F$7/360)*($O$2/100)*M38</f>
        <v>13732.178179143724</v>
      </c>
      <c r="L39" s="90">
        <f>J39-K39</f>
        <v>28487.421820856282</v>
      </c>
      <c r="M39" s="79">
        <f>M38-L39</f>
        <v>453343.39148243226</v>
      </c>
      <c r="N39" s="126">
        <f>L39/M38</f>
        <v>5.9123287748151683E-2</v>
      </c>
      <c r="O39" s="52"/>
      <c r="P39" s="80">
        <f>I39</f>
        <v>43862</v>
      </c>
      <c r="Q39" s="97">
        <f ca="1">S38*N39</f>
        <v>7479.9966120751897</v>
      </c>
      <c r="R39" s="98">
        <f ca="1">S38*$C$2/2</f>
        <v>3162.8808617417553</v>
      </c>
      <c r="S39" s="99">
        <f ca="1">IF(P39&lt;$A$4,(VLOOKUP(P39,$A$11:$B$52,2,0)*$S$12),(S38-(Q39+R39)))</f>
        <v>115872.35699585326</v>
      </c>
      <c r="U39" s="80">
        <f>P39</f>
        <v>43862</v>
      </c>
      <c r="V39" s="97">
        <f ca="1">IF(U39&lt;$A$4,0,(YEARFRAC($A$4,U39,1)))</f>
        <v>3.8149972632731255</v>
      </c>
      <c r="W39" s="141">
        <f ca="1">V39*(S38-S39)</f>
        <v>40602.548435962839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44044</v>
      </c>
      <c r="F40" s="74">
        <f ca="1">MAX(IF(ISERROR(VLOOKUP(E40,$A$12:$B$52,2,0)),VLOOKUP(E40,$P$11:$S$52,4,0)/1000000,(VLOOKUP(E40,$A$12:$B$52,2,0))),0)</f>
        <v>0.10548678666145894</v>
      </c>
      <c r="G40" s="128">
        <f ca="1">F40*1000000</f>
        <v>105486.78666145894</v>
      </c>
      <c r="I40" s="80">
        <f>E40</f>
        <v>44044</v>
      </c>
      <c r="J40" s="205">
        <f>$M$12*$N$7</f>
        <v>42219.600000000006</v>
      </c>
      <c r="K40" s="88">
        <f>($F$7/360)*($O$2/100)*M39</f>
        <v>12920.28665724932</v>
      </c>
      <c r="L40" s="90">
        <f>J40-K40</f>
        <v>29299.313342750684</v>
      </c>
      <c r="M40" s="79">
        <f>M39-L40</f>
        <v>424044.0781396816</v>
      </c>
      <c r="N40" s="126">
        <f>L40/M39</f>
        <v>6.4629404317424741E-2</v>
      </c>
      <c r="O40" s="52"/>
      <c r="P40" s="80">
        <f>I40</f>
        <v>44044</v>
      </c>
      <c r="Q40" s="97">
        <f ca="1">S39*N40</f>
        <v>7488.7614094979799</v>
      </c>
      <c r="R40" s="98">
        <f ca="1">S39*$C$2/2</f>
        <v>2896.8089248963315</v>
      </c>
      <c r="S40" s="99">
        <f ca="1">IF(P40&lt;$A$4,(VLOOKUP(P40,$A$11:$B$52,2,0)*$S$12),(S39-(Q40+R40)))</f>
        <v>105486.78666145894</v>
      </c>
      <c r="U40" s="80">
        <f>P40</f>
        <v>44044</v>
      </c>
      <c r="V40" s="97">
        <f ca="1">IF(U40&lt;$A$4,0,(YEARFRAC($A$4,U40,1)))</f>
        <v>4.3130815544608652</v>
      </c>
      <c r="W40" s="141">
        <f ca="1">V40*(S39-S40)</f>
        <v>44793.811841832088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44228</v>
      </c>
      <c r="F41" s="74">
        <f ca="1">MAX(IF(ISERROR(VLOOKUP(E41,$A$12:$B$52,2,0)),VLOOKUP(E41,$P$11:$S$52,4,0)/1000000,(VLOOKUP(E41,$A$12:$B$52,2,0))),0)</f>
        <v>9.5353285229807183E-2</v>
      </c>
      <c r="G41" s="128">
        <f ca="1">F41*1000000</f>
        <v>95353.285229807181</v>
      </c>
      <c r="I41" s="80">
        <f>E41</f>
        <v>44228</v>
      </c>
      <c r="J41" s="205">
        <f>$M$12*$N$7</f>
        <v>42219.600000000006</v>
      </c>
      <c r="K41" s="88">
        <f>($F$7/360)*($O$2/100)*M40</f>
        <v>12085.256226980926</v>
      </c>
      <c r="L41" s="90">
        <f>J41-K41</f>
        <v>30134.343773019078</v>
      </c>
      <c r="M41" s="79">
        <f>M40-L41</f>
        <v>393909.73436666251</v>
      </c>
      <c r="N41" s="126">
        <f>L41/M40</f>
        <v>7.1064177821374308E-2</v>
      </c>
      <c r="O41" s="52"/>
      <c r="P41" s="80">
        <f>I41</f>
        <v>44228</v>
      </c>
      <c r="Q41" s="97">
        <f ca="1">S40*N41</f>
        <v>7496.3317651152938</v>
      </c>
      <c r="R41" s="98">
        <f ca="1">S40*$C$2/2</f>
        <v>2637.1696665364739</v>
      </c>
      <c r="S41" s="99">
        <f ca="1">IF(P41&lt;$A$4,(VLOOKUP(P41,$A$11:$B$52,2,0)*$S$12),(S40-(Q41+R41)))</f>
        <v>95353.285229807181</v>
      </c>
      <c r="U41" s="80">
        <f>P41</f>
        <v>44228</v>
      </c>
      <c r="V41" s="97">
        <f ca="1">IF(U41&lt;$A$4,0,(YEARFRAC($A$4,U41,1)))</f>
        <v>4.8175182481751824</v>
      </c>
      <c r="W41" s="141">
        <f ca="1">V41*(S40-S41)</f>
        <v>48818.328064891699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44409</v>
      </c>
      <c r="F42" s="74">
        <f ca="1">MAX(IF(ISERROR(VLOOKUP(E42,$A$12:$B$52,2,0)),VLOOKUP(E42,$P$11:$S$52,4,0)/1000000,(VLOOKUP(E42,$A$12:$B$52,2,0))),0)</f>
        <v>8.546697076247313E-2</v>
      </c>
      <c r="G42" s="128">
        <f ca="1">F42*1000000</f>
        <v>85466.970762473124</v>
      </c>
      <c r="I42" s="80">
        <f>E42</f>
        <v>44409</v>
      </c>
      <c r="J42" s="205">
        <f>$M$12*$N$7</f>
        <v>42219.600000000006</v>
      </c>
      <c r="K42" s="88">
        <f>($F$7/360)*($O$2/100)*M41</f>
        <v>11226.427429449883</v>
      </c>
      <c r="L42" s="90">
        <f>J42-K42</f>
        <v>30993.172570550123</v>
      </c>
      <c r="M42" s="79">
        <f>M41-L42</f>
        <v>362916.56179611239</v>
      </c>
      <c r="N42" s="126">
        <f>L42/M41</f>
        <v>7.8680900385418723E-2</v>
      </c>
      <c r="O42" s="52"/>
      <c r="P42" s="80">
        <f>I42</f>
        <v>44409</v>
      </c>
      <c r="Q42" s="97">
        <f ca="1">S41*N42</f>
        <v>7502.4823365888769</v>
      </c>
      <c r="R42" s="98">
        <f ca="1">S41*$C$2/2</f>
        <v>2383.8321307451797</v>
      </c>
      <c r="S42" s="99">
        <f ca="1">IF(P42&lt;$A$4,(VLOOKUP(P42,$A$11:$B$52,2,0)*$S$12),(S41-(Q42+R42)))</f>
        <v>85466.970762473124</v>
      </c>
      <c r="U42" s="80">
        <f>P42</f>
        <v>44409</v>
      </c>
      <c r="V42" s="97">
        <f ca="1">IF(U42&lt;$A$4,0,(YEARFRAC($A$4,U42,1)))</f>
        <v>5.312956204379562</v>
      </c>
      <c r="W42" s="141">
        <f ca="1">V42*(S41-S42)</f>
        <v>52525.555787669902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44593</v>
      </c>
      <c r="F43" s="74">
        <f ca="1">MAX(IF(ISERROR(VLOOKUP(E43,$A$12:$B$52,2,0)),VLOOKUP(E43,$P$11:$S$52,4,0)/1000000,(VLOOKUP(E43,$A$12:$B$52,2,0))),0)</f>
        <v>7.5823375346586147E-2</v>
      </c>
      <c r="G43" s="128">
        <f ca="1">F43*1000000</f>
        <v>75823.375346586152</v>
      </c>
      <c r="I43" s="80">
        <f>E43</f>
        <v>44593</v>
      </c>
      <c r="J43" s="205">
        <f>$M$12*$N$7</f>
        <v>42219.600000000006</v>
      </c>
      <c r="K43" s="88">
        <f>($F$7/360)*($O$2/100)*M42</f>
        <v>10343.122011189203</v>
      </c>
      <c r="L43" s="90">
        <f>J43-K43</f>
        <v>31876.477988810802</v>
      </c>
      <c r="M43" s="79">
        <f>M42-L43</f>
        <v>331040.08380730159</v>
      </c>
      <c r="N43" s="126">
        <f>L43/M42</f>
        <v>8.7834178277923572E-2</v>
      </c>
      <c r="O43" s="52"/>
      <c r="P43" s="80">
        <f>I43</f>
        <v>44593</v>
      </c>
      <c r="Q43" s="97">
        <f ca="1">S42*N43</f>
        <v>7506.921146825146</v>
      </c>
      <c r="R43" s="98">
        <f ca="1">S42*$C$2/2</f>
        <v>2136.674269061828</v>
      </c>
      <c r="S43" s="99">
        <f ca="1">IF(P43&lt;$A$4,(VLOOKUP(P43,$A$11:$B$52,2,0)*$S$12),(S42-(Q43+R43)))</f>
        <v>75823.375346586152</v>
      </c>
      <c r="U43" s="80">
        <f>P43</f>
        <v>44593</v>
      </c>
      <c r="V43" s="97">
        <f ca="1">IF(U43&lt;$A$4,0,(YEARFRAC($A$4,U43,1)))</f>
        <v>5.817364098552992</v>
      </c>
      <c r="W43" s="141">
        <f ca="1">V43*(S42-S43)</f>
        <v>56100.30575335108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44774</v>
      </c>
      <c r="F44" s="74">
        <f ca="1">MAX(IF(ISERROR(VLOOKUP(E44,$A$12:$B$52,2,0)),VLOOKUP(E44,$P$11:$S$52,4,0)/1000000,(VLOOKUP(E44,$A$12:$B$52,2,0))),0)</f>
        <v>6.6418530700212378E-2</v>
      </c>
      <c r="G44" s="128">
        <f ca="1">F44*1000000</f>
        <v>66418.530700212374</v>
      </c>
      <c r="I44" s="80">
        <f>E44</f>
        <v>44774</v>
      </c>
      <c r="J44" s="205">
        <f>$M$12*$N$7</f>
        <v>42219.600000000006</v>
      </c>
      <c r="K44" s="88">
        <f>($F$7/360)*($O$2/100)*M43</f>
        <v>9434.6423885080949</v>
      </c>
      <c r="L44" s="90">
        <f>J44-K44</f>
        <v>32784.957611491911</v>
      </c>
      <c r="M44" s="79">
        <f>M43-L44</f>
        <v>298255.12619580969</v>
      </c>
      <c r="N44" s="126">
        <f>L44/M43</f>
        <v>9.903621710830654E-2</v>
      </c>
      <c r="O44" s="52"/>
      <c r="P44" s="80">
        <f>I44</f>
        <v>44774</v>
      </c>
      <c r="Q44" s="97">
        <f ca="1">S43*N44</f>
        <v>7509.2602627091237</v>
      </c>
      <c r="R44" s="98">
        <f ca="1">S43*$C$2/2</f>
        <v>1895.5843836646538</v>
      </c>
      <c r="S44" s="99">
        <f ca="1">IF(P44&lt;$A$4,(VLOOKUP(P44,$A$11:$B$52,2,0)*$S$12),(S43-(Q44+R44)))</f>
        <v>66418.530700212374</v>
      </c>
      <c r="U44" s="80">
        <f>P44</f>
        <v>44774</v>
      </c>
      <c r="V44" s="97">
        <f ca="1">IF(U44&lt;$A$4,0,(YEARFRAC($A$4,U44,1)))</f>
        <v>6.3128666405944465</v>
      </c>
      <c r="W44" s="141">
        <f ca="1">V44*(S43-S44)</f>
        <v>59371.5300280663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44958</v>
      </c>
      <c r="F45" s="74">
        <f ca="1">MAX(IF(ISERROR(VLOOKUP(E45,$A$12:$B$52,2,0)),VLOOKUP(E45,$P$11:$S$52,4,0)/1000000,(VLOOKUP(E45,$A$12:$B$52,2,0))),0)</f>
        <v>5.7249099152671561E-2</v>
      </c>
      <c r="G45" s="128">
        <f ca="1">F45*1000000</f>
        <v>57249.099152671559</v>
      </c>
      <c r="I45" s="80">
        <f>E45</f>
        <v>44958</v>
      </c>
      <c r="J45" s="205">
        <f>$M$12*$N$7</f>
        <v>42219.600000000006</v>
      </c>
      <c r="K45" s="88">
        <f>($F$7/360)*($O$2/100)*M44</f>
        <v>8500.2710965805763</v>
      </c>
      <c r="L45" s="90">
        <f>J45-K45</f>
        <v>33719.328903419431</v>
      </c>
      <c r="M45" s="79">
        <f>M44-L45</f>
        <v>264535.79729239026</v>
      </c>
      <c r="N45" s="126">
        <f>L45/M44</f>
        <v>0.11305532056901549</v>
      </c>
      <c r="O45" s="52"/>
      <c r="P45" s="80">
        <f>I45</f>
        <v>44958</v>
      </c>
      <c r="Q45" s="97">
        <f ca="1">S44*N45</f>
        <v>7508.9682800355067</v>
      </c>
      <c r="R45" s="98">
        <f ca="1">S44*$C$2/2</f>
        <v>1660.4632675053094</v>
      </c>
      <c r="S45" s="99">
        <f ca="1">IF(P45&lt;$A$4,(VLOOKUP(P45,$A$11:$B$52,2,0)*$S$12),(S44-(Q45+R45)))</f>
        <v>57249.099152671559</v>
      </c>
      <c r="U45" s="80">
        <f>P45</f>
        <v>44958</v>
      </c>
      <c r="V45" s="97">
        <f ca="1">IF(U45&lt;$A$4,0,(YEARFRAC($A$4,U45,1)))</f>
        <v>6.8172484599589325</v>
      </c>
      <c r="W45" s="141">
        <f ca="1">V45*(S44-S45)</f>
        <v>62510.293096171474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45139</v>
      </c>
      <c r="F46" s="74">
        <f ca="1">MAX(IF(ISERROR(VLOOKUP(E46,$A$12:$B$52,2,0)),VLOOKUP(E46,$P$11:$S$52,4,0)/1000000,(VLOOKUP(E46,$A$12:$B$52,2,0))),0)</f>
        <v>4.8312582565984419E-2</v>
      </c>
      <c r="G46" s="128">
        <f ca="1">F46*1000000</f>
        <v>48312.582565984419</v>
      </c>
      <c r="I46" s="80">
        <f>E46</f>
        <v>45139</v>
      </c>
      <c r="J46" s="205">
        <f>$M$12*$N$7</f>
        <v>42219.600000000006</v>
      </c>
      <c r="K46" s="88">
        <f>($F$7/360)*($O$2/100)*M45</f>
        <v>7539.2702228331227</v>
      </c>
      <c r="L46" s="90">
        <f>J46-K46</f>
        <v>34680.32977716688</v>
      </c>
      <c r="M46" s="79">
        <f>M45-L46</f>
        <v>229855.46751522337</v>
      </c>
      <c r="N46" s="126">
        <f>L46/M45</f>
        <v>0.13109881585831223</v>
      </c>
      <c r="O46" s="52"/>
      <c r="P46" s="80">
        <f>I46</f>
        <v>45139</v>
      </c>
      <c r="Q46" s="97">
        <f ca="1">S45*N46</f>
        <v>7505.2891078703478</v>
      </c>
      <c r="R46" s="98">
        <f ca="1">S45*$C$2/2</f>
        <v>1431.227478816789</v>
      </c>
      <c r="S46" s="99">
        <f ca="1">IF(P46&lt;$A$4,(VLOOKUP(P46,$A$11:$B$52,2,0)*$S$12),(S45-(Q46+R46)))</f>
        <v>48312.582565984419</v>
      </c>
      <c r="U46" s="80">
        <f>P46</f>
        <v>45139</v>
      </c>
      <c r="V46" s="97">
        <f ca="1">IF(U46&lt;$A$4,0,(YEARFRAC($A$4,U46,1)))</f>
        <v>7.312799452429843</v>
      </c>
      <c r="W46" s="141">
        <f ca="1">V46*(S45-S46)</f>
        <v>65350.953601755922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45323</v>
      </c>
      <c r="F47" s="74">
        <f ca="1">MAX(IF(ISERROR(VLOOKUP(E47,$A$12:$B$52,2,0)),VLOOKUP(E47,$P$11:$S$52,4,0)/1000000,(VLOOKUP(E47,$A$12:$B$52,2,0))),0)</f>
        <v>3.9607674463738314E-2</v>
      </c>
      <c r="G47" s="128">
        <f ca="1">F47*1000000</f>
        <v>39607.674463738316</v>
      </c>
      <c r="I47" s="80">
        <f>E47</f>
        <v>45323</v>
      </c>
      <c r="J47" s="205">
        <f>$M$12*$N$7</f>
        <v>42219.600000000006</v>
      </c>
      <c r="K47" s="88">
        <f>($F$7/360)*($O$2/100)*M46</f>
        <v>6550.880824183866</v>
      </c>
      <c r="L47" s="90">
        <f>J47-K47</f>
        <v>35668.719175816143</v>
      </c>
      <c r="M47" s="79">
        <f>M46-L47</f>
        <v>194186.74833940723</v>
      </c>
      <c r="N47" s="126">
        <f>L47/M46</f>
        <v>0.15517890247032648</v>
      </c>
      <c r="O47" s="52"/>
      <c r="P47" s="80">
        <f>I47</f>
        <v>45323</v>
      </c>
      <c r="Q47" s="97">
        <f ca="1">S46*N47</f>
        <v>7497.093538096492</v>
      </c>
      <c r="R47" s="98">
        <f ca="1">S46*$C$2/2</f>
        <v>1207.8145641496105</v>
      </c>
      <c r="S47" s="99">
        <f ca="1">IF(P47&lt;$A$4,(VLOOKUP(P47,$A$11:$B$52,2,0)*$S$12),(S46-(Q47+R47)))</f>
        <v>39607.674463738316</v>
      </c>
      <c r="U47" s="80">
        <f>P47</f>
        <v>45323</v>
      </c>
      <c r="V47" s="97">
        <f ca="1">IF(U47&lt;$A$4,0,(YEARFRAC($A$4,U47,1)))</f>
        <v>7.8147810218978107</v>
      </c>
      <c r="W47" s="141">
        <f ca="1">V47*(S46-S47)</f>
        <v>68026.950634797337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45505</v>
      </c>
      <c r="F48" s="74">
        <f ca="1">MAX(IF(ISERROR(VLOOKUP(E48,$A$12:$B$52,2,0)),VLOOKUP(E48,$P$11:$S$52,4,0)/1000000,(VLOOKUP(E48,$A$12:$B$52,2,0))),0)</f>
        <v>3.1134899222573929E-2</v>
      </c>
      <c r="G48" s="128">
        <f ca="1">F48*1000000</f>
        <v>31134.899222573928</v>
      </c>
      <c r="I48" s="80">
        <f>E48</f>
        <v>45505</v>
      </c>
      <c r="J48" s="205">
        <f>$M$12*$N$7</f>
        <v>42219.600000000006</v>
      </c>
      <c r="K48" s="88">
        <f>($F$7/360)*($O$2/100)*M47</f>
        <v>5534.322327673106</v>
      </c>
      <c r="L48" s="90">
        <f>J48-K48</f>
        <v>36685.277672326898</v>
      </c>
      <c r="M48" s="79">
        <f>M47-L48</f>
        <v>157501.47066708034</v>
      </c>
      <c r="N48" s="126">
        <f>L48/M47</f>
        <v>0.18891751361018172</v>
      </c>
      <c r="O48" s="52"/>
      <c r="P48" s="80">
        <f>I48</f>
        <v>45505</v>
      </c>
      <c r="Q48" s="97">
        <f ca="1">S47*N48</f>
        <v>7482.5833795709304</v>
      </c>
      <c r="R48" s="98">
        <f ca="1">S47*$C$2/2</f>
        <v>990.19186159345793</v>
      </c>
      <c r="S48" s="99">
        <f ca="1">IF(P48&lt;$A$4,(VLOOKUP(P48,$A$11:$B$52,2,0)*$S$12),(S47-(Q48+R48)))</f>
        <v>31134.899222573928</v>
      </c>
      <c r="U48" s="80">
        <f>P48</f>
        <v>45505</v>
      </c>
      <c r="V48" s="97">
        <f ca="1">IF(U48&lt;$A$4,0,(YEARFRAC($A$4,U48,1)))</f>
        <v>8.312956204379562</v>
      </c>
      <c r="W48" s="141">
        <f ca="1">V48*(S47-S48)</f>
        <v>70433.809509351049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45689</v>
      </c>
      <c r="F49" s="74">
        <f ca="1">MAX(IF(ISERROR(VLOOKUP(E49,$A$12:$B$52,2,0)),VLOOKUP(E49,$P$11:$S$52,4,0)/1000000,(VLOOKUP(E49,$A$12:$B$52,2,0))),0)</f>
        <v>2.2897898563059783E-2</v>
      </c>
      <c r="G49" s="128">
        <f ca="1">F49*1000000</f>
        <v>22897.898563059782</v>
      </c>
      <c r="I49" s="80">
        <f>E49</f>
        <v>45689</v>
      </c>
      <c r="J49" s="205">
        <f>$M$12*$N$7</f>
        <v>42219.600000000006</v>
      </c>
      <c r="K49" s="88">
        <f>($F$7/360)*($O$2/100)*M48</f>
        <v>4488.7919140117901</v>
      </c>
      <c r="L49" s="90">
        <f>J49-K49</f>
        <v>37730.808085988217</v>
      </c>
      <c r="M49" s="79">
        <f>M48-L49</f>
        <v>119770.66258109213</v>
      </c>
      <c r="N49" s="126">
        <f>L49/M48</f>
        <v>0.23955844936674867</v>
      </c>
      <c r="O49" s="52"/>
      <c r="P49" s="80">
        <f>I49</f>
        <v>45689</v>
      </c>
      <c r="Q49" s="97">
        <f ca="1">S48*N49</f>
        <v>7458.6281789497989</v>
      </c>
      <c r="R49" s="98">
        <f ca="1">S48*$C$2/2</f>
        <v>778.37248056434828</v>
      </c>
      <c r="S49" s="99">
        <f ca="1">IF(P49&lt;$A$4,(VLOOKUP(P49,$A$11:$B$52,2,0)*$S$12),(S48-(Q49+R49)))</f>
        <v>22897.898563059782</v>
      </c>
      <c r="U49" s="80">
        <f>P49</f>
        <v>45689</v>
      </c>
      <c r="V49" s="97">
        <f ca="1">IF(U49&lt;$A$4,0,(YEARFRAC($A$4,U49,1)))</f>
        <v>8.8174103476594574</v>
      </c>
      <c r="W49" s="141">
        <f ca="1">V49*(S48-S49)</f>
        <v>72629.014848877807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45870</v>
      </c>
      <c r="F50" s="74">
        <f ca="1">MAX(IF(ISERROR(VLOOKUP(E50,$A$12:$B$52,2,0)),VLOOKUP(E50,$P$11:$S$52,4,0)/1000000,(VLOOKUP(E50,$A$12:$B$52,2,0))),0)</f>
        <v>1.4906447569493038E-2</v>
      </c>
      <c r="G50" s="128">
        <f ca="1">F50*1000000</f>
        <v>14906.447569493037</v>
      </c>
      <c r="I50" s="80">
        <f>E50</f>
        <v>45870</v>
      </c>
      <c r="J50" s="205">
        <f>$M$12*$N$7</f>
        <v>42219.600000000006</v>
      </c>
      <c r="K50" s="88">
        <f>($F$7/360)*($O$2/100)*M49</f>
        <v>3413.4638835611258</v>
      </c>
      <c r="L50" s="90">
        <f>J50-K50</f>
        <v>38806.13611643888</v>
      </c>
      <c r="M50" s="79">
        <f>M49-L50</f>
        <v>80964.526464653245</v>
      </c>
      <c r="N50" s="126">
        <f>L50/M49</f>
        <v>0.32400368571197252</v>
      </c>
      <c r="O50" s="52"/>
      <c r="P50" s="80">
        <f>I50</f>
        <v>45870</v>
      </c>
      <c r="Q50" s="97">
        <f ca="1">S49*N50</f>
        <v>7419.0035294902491</v>
      </c>
      <c r="R50" s="98">
        <f ca="1">S49*$C$2/2</f>
        <v>572.44746407649461</v>
      </c>
      <c r="S50" s="99">
        <f ca="1">IF(P50&lt;$A$4,(VLOOKUP(P50,$A$11:$B$52,2,0)*$S$12),(S49-(Q50+R50)))</f>
        <v>14906.447569493037</v>
      </c>
      <c r="U50" s="80">
        <f>P50</f>
        <v>45870</v>
      </c>
      <c r="V50" s="97">
        <f ca="1">IF(U50&lt;$A$4,0,(YEARFRAC($A$4,U50,1)))</f>
        <v>9.312893512181768</v>
      </c>
      <c r="W50" s="141">
        <f ca="1">V50*(S49-S50)</f>
        <v>74423.532110906279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46054</v>
      </c>
      <c r="F51" s="74">
        <f ca="1">MAX(IF(ISERROR(VLOOKUP(E51,$A$12:$B$52,2,0)),VLOOKUP(E51,$P$11:$S$52,4,0)/1000000,(VLOOKUP(E51,$A$12:$B$52,2,0))),0)</f>
        <v>7.1855338068798772E-3</v>
      </c>
      <c r="G51" s="128">
        <f ca="1">F51*1000000</f>
        <v>7185.5338068798774</v>
      </c>
      <c r="I51" s="80">
        <f>E51</f>
        <v>46054</v>
      </c>
      <c r="J51" s="205">
        <f>$M$12*$N$7</f>
        <v>42219.600000000006</v>
      </c>
      <c r="K51" s="88">
        <f>($F$7/360)*($O$2/100)*M50</f>
        <v>2307.4890042426177</v>
      </c>
      <c r="L51" s="90">
        <f>J51-K51</f>
        <v>39912.110995757386</v>
      </c>
      <c r="M51" s="79">
        <f>M50-L51</f>
        <v>41052.415468895859</v>
      </c>
      <c r="N51" s="126">
        <f>L51/M50</f>
        <v>0.49295799949107161</v>
      </c>
      <c r="O51" s="52"/>
      <c r="P51" s="80">
        <f>I51</f>
        <v>46054</v>
      </c>
      <c r="Q51" s="97">
        <f ca="1">S50*N51</f>
        <v>7348.2525733758339</v>
      </c>
      <c r="R51" s="98">
        <f ca="1">S50*$C$2/2</f>
        <v>372.66118923732597</v>
      </c>
      <c r="S51" s="99">
        <f ca="1">IF(P51&lt;$A$4,(VLOOKUP(P51,$A$11:$B$52,2,0)*$S$12),(S50-(Q51+R51)))</f>
        <v>7185.5338068798774</v>
      </c>
      <c r="U51" s="80">
        <f>P51</f>
        <v>46054</v>
      </c>
      <c r="V51" s="97">
        <f ca="1">IF(U51&lt;$A$4,0,(YEARFRAC($A$4,U51,1)))</f>
        <v>9.8173220507715282</v>
      </c>
      <c r="W51" s="141">
        <f ca="1">V51*(S50-S51)</f>
        <v>75798.696933807543</v>
      </c>
    </row>
    <row r="52" spans="1:23" s="82" customFormat="1" ht="13.5" thickBot="1">
      <c r="A52" s="81"/>
      <c r="B52" s="81"/>
      <c r="D52" s="70" t="str">
        <f ca="1">IF(E52&lt;$A$4,"Actual","Model Num")</f>
        <v>Model Num</v>
      </c>
      <c r="E52" s="71">
        <f>DATE(YEAR(E51),MONTH(E51)+6,DAY(E51))</f>
        <v>46235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46235</v>
      </c>
      <c r="J52" s="206">
        <f>$M$12*$N$7</f>
        <v>42219.600000000006</v>
      </c>
      <c r="K52" s="89">
        <f>($F$7/360)*($O$2/100)*M51</f>
        <v>1169.9938408635321</v>
      </c>
      <c r="L52" s="91">
        <f>J52-K52</f>
        <v>41049.606159136471</v>
      </c>
      <c r="M52" s="85">
        <f>M51-L52</f>
        <v>2.8093097593882703</v>
      </c>
      <c r="N52" s="127">
        <f>L52/M51</f>
        <v>0.99993156773536218</v>
      </c>
      <c r="O52" s="86"/>
      <c r="P52" s="84">
        <f>I52</f>
        <v>46235</v>
      </c>
      <c r="Q52" s="100">
        <f ca="1">S51*N52</f>
        <v>7185.0420845288409</v>
      </c>
      <c r="R52" s="101">
        <v>0.23673602391681925</v>
      </c>
      <c r="S52" s="102">
        <v>0</v>
      </c>
      <c r="U52" s="142">
        <f>P52</f>
        <v>46235</v>
      </c>
      <c r="V52" s="143">
        <f ca="1">IF(U52&lt;$A$4,0,(YEARFRAC($A$4,U52,1)))</f>
        <v>10.312842210054754</v>
      </c>
      <c r="W52" s="141">
        <f ca="1">V52*(S51-S52)</f>
        <v>74103.276345366219</v>
      </c>
    </row>
    <row r="53" spans="1:23">
      <c r="A53" s="31"/>
      <c r="B53" s="31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39" priority="1" stopIfTrue="1">
      <formula>$D1="Actual"</formula>
    </cfRule>
  </conditionalFormatting>
  <conditionalFormatting sqref="A4">
    <cfRule type="expression" dxfId="38" priority="2" stopIfTrue="1">
      <formula>#REF!="Actual"</formula>
    </cfRule>
  </conditionalFormatting>
  <conditionalFormatting sqref="C6:C9">
    <cfRule type="cellIs" dxfId="37" priority="3" stopIfTrue="1" operator="equal">
      <formula>"PROB!!"</formula>
    </cfRule>
  </conditionalFormatting>
  <conditionalFormatting sqref="A7">
    <cfRule type="expression" dxfId="36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indexed="14"/>
  </sheetPr>
  <dimension ref="A1:W200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202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6" t="s">
        <v>6</v>
      </c>
      <c r="B2" s="67" t="str">
        <f>MID(A2,3,9)</f>
        <v>83162CPX5</v>
      </c>
      <c r="C2" s="131">
        <v>0.05</v>
      </c>
      <c r="D2" s="67">
        <f>IF(ISERROR(VLOOKUP(A2,'Bond Position per Summit'!$C$42:$E$56,3,0)),0,VLOOKUP(A2,'Bond Position per Summit'!$C$42:$E$56,3,0))</f>
        <v>3109805.57</v>
      </c>
      <c r="E2" s="67">
        <f>IF(ISERROR(VLOOKUP(A2,'Bond Position per Summit'!$C$65:$E$73,3,0)),0,VLOOKUP(A2,'Bond Position per Summit'!$C$65:$E$73,3,0))</f>
        <v>0</v>
      </c>
      <c r="F2" s="67" t="str">
        <f>_xll.BDP($B2&amp;" Mtge Cusip",F$1)</f>
        <v>SBAP 2005-20K 1</v>
      </c>
      <c r="G2" s="67">
        <f>VLOOKUP(A2,'Bond Position per Summit'!$C$10:$D$32,2,0)</f>
        <v>4950000</v>
      </c>
      <c r="H2" s="67">
        <f>VLOOKUP(A2,'Bond Position per Summit'!$C$10:$E$32,3,0)</f>
        <v>3109805.57</v>
      </c>
      <c r="I2" s="67" t="str">
        <f>_xll.BDP($B2&amp;" Mtge Cusip",I$1)</f>
        <v>16/11/2005</v>
      </c>
      <c r="J2" s="67" t="str">
        <f>_xll.BDP($B2&amp;" Mtge Cusip",J$1)</f>
        <v>16/11/2005</v>
      </c>
      <c r="K2" s="67" t="str">
        <f>_xll.BDP($B2&amp;" Mtge Cusip",K$1)</f>
        <v>01/05/2006</v>
      </c>
      <c r="L2" s="67" t="str">
        <f>_xll.BDP($B2&amp;" Mtge Cusip",L$1)</f>
        <v>01/11/2025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5.3599999999999994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4950000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0.17514656361100001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165</v>
      </c>
      <c r="I6" s="108" t="s">
        <v>81</v>
      </c>
      <c r="J6" s="118">
        <v>38820</v>
      </c>
      <c r="K6" s="113">
        <f>ROUND(J6/J5,8)</f>
        <v>3.882E-2</v>
      </c>
      <c r="L6" s="108" t="s">
        <v>81</v>
      </c>
      <c r="M6" s="112">
        <v>192158</v>
      </c>
      <c r="N6" s="123">
        <f>ROUND(M6/M5,8)</f>
        <v>3.8819800000000002E-2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41053</v>
      </c>
      <c r="K7" s="115">
        <f>ROUND(J7/J5,8)</f>
        <v>4.1052999999999999E-2</v>
      </c>
      <c r="L7" s="109" t="s">
        <v>82</v>
      </c>
      <c r="M7" s="114">
        <v>203213</v>
      </c>
      <c r="N7" s="124">
        <f>ROUND(M7/M5,8)</f>
        <v>4.105313E-2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4.3606814356366925</v>
      </c>
    </row>
    <row r="12" spans="1:23">
      <c r="A12" s="49">
        <f>_xll.BDS($B2&amp;" Mtge Cusip",A11,"cols=2;rows=21")</f>
        <v>42309</v>
      </c>
      <c r="B12" s="50">
        <v>0.175146564</v>
      </c>
      <c r="C12" s="52"/>
      <c r="D12" s="70" t="str">
        <f ca="1">IF(E12&lt;$A$4,"Actual","Model Num")</f>
        <v>Actual</v>
      </c>
      <c r="E12" s="71">
        <v>38672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38672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38672</v>
      </c>
      <c r="Q12" s="94"/>
      <c r="R12" s="95"/>
      <c r="S12" s="96">
        <f>M12</f>
        <v>1000000</v>
      </c>
      <c r="U12" s="139">
        <f>P12</f>
        <v>38672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42125</v>
      </c>
      <c r="B13" s="50">
        <v>0.22262934700000001</v>
      </c>
      <c r="C13" s="52"/>
      <c r="D13" s="70" t="str">
        <f ca="1">IF(E13&lt;$A$4,"Actual","Model Num")</f>
        <v>Actual</v>
      </c>
      <c r="E13" s="71">
        <v>38838</v>
      </c>
      <c r="F13" s="74">
        <f>MAX(IF(ISERROR(VLOOKUP(E13,$A$12:$B$52,2,0)),VLOOKUP(E13,$P$11:$S$52,4,0)/1000000,(VLOOKUP(E13,$A$12:$B$52,2,0))),0)</f>
        <v>0.98360274700000005</v>
      </c>
      <c r="G13" s="128">
        <f>F13*1000000</f>
        <v>983602.74700000009</v>
      </c>
      <c r="H13" s="64"/>
      <c r="I13" s="80">
        <f>E13</f>
        <v>38838</v>
      </c>
      <c r="J13" s="125">
        <f>$M$12*$N$6</f>
        <v>38819.800000000003</v>
      </c>
      <c r="K13" s="88">
        <f>($F$6/360)*($O$2/100)*M12</f>
        <v>24566.666666666664</v>
      </c>
      <c r="L13" s="90">
        <f>J13-K13</f>
        <v>14253.133333333339</v>
      </c>
      <c r="M13" s="79">
        <f>M12-L13</f>
        <v>985746.8666666667</v>
      </c>
      <c r="N13" s="126">
        <f>L13/M12</f>
        <v>1.425313333333334E-2</v>
      </c>
      <c r="O13" s="52"/>
      <c r="P13" s="80">
        <f>I13</f>
        <v>38838</v>
      </c>
      <c r="Q13" s="97">
        <f>S12*N13</f>
        <v>14253.133333333339</v>
      </c>
      <c r="R13" s="98">
        <f>S12*$C$2/2</f>
        <v>25000</v>
      </c>
      <c r="S13" s="99">
        <f ca="1">IF(P13&lt;$A$4,(VLOOKUP(P13,$A$11:$B$52,2,0)*$S$12),(S12-(Q13+R13)))</f>
        <v>983602.74700000009</v>
      </c>
      <c r="U13" s="80">
        <f>P13</f>
        <v>38838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41944</v>
      </c>
      <c r="B14" s="50">
        <v>0.27624691200000001</v>
      </c>
      <c r="C14" s="52"/>
      <c r="D14" s="70" t="str">
        <f ca="1">IF(E14&lt;$A$4,"Actual","Model Num")</f>
        <v>Actual</v>
      </c>
      <c r="E14" s="71">
        <f>DATE(YEAR(E13),MONTH(E13)+6,DAY(E13))</f>
        <v>39022</v>
      </c>
      <c r="F14" s="74">
        <f>MAX(IF(ISERROR(VLOOKUP(E14,$A$12:$B$52,2,0)),VLOOKUP(E14,$P$11:$S$52,4,0)/1000000,(VLOOKUP(E14,$A$12:$B$52,2,0))),0)</f>
        <v>0.96052607300000004</v>
      </c>
      <c r="G14" s="128">
        <f>F14*1000000</f>
        <v>960526.07300000009</v>
      </c>
      <c r="H14" s="64"/>
      <c r="I14" s="80">
        <f>E14</f>
        <v>39022</v>
      </c>
      <c r="J14" s="205">
        <f>$M$12*$N$7</f>
        <v>41053.129999999997</v>
      </c>
      <c r="K14" s="88">
        <f>($F$7/360)*($O$2/100)*M13</f>
        <v>26418.016026666664</v>
      </c>
      <c r="L14" s="90">
        <f>J14-K14</f>
        <v>14635.113973333333</v>
      </c>
      <c r="M14" s="79">
        <f>M13-L14</f>
        <v>971111.75269333331</v>
      </c>
      <c r="N14" s="126">
        <f>L14/M13</f>
        <v>1.4846726343470328E-2</v>
      </c>
      <c r="O14" s="52"/>
      <c r="P14" s="80">
        <f>I14</f>
        <v>39022</v>
      </c>
      <c r="Q14" s="97">
        <f ca="1">S13*N14</f>
        <v>14603.280815394681</v>
      </c>
      <c r="R14" s="98">
        <f ca="1">S13*$C$2/2</f>
        <v>24590.068675000002</v>
      </c>
      <c r="S14" s="99">
        <f ca="1">IF(P14&lt;$A$4,(VLOOKUP(P14,$A$11:$B$52,2,0)*$S$12),(S13-(Q14+R14)))</f>
        <v>960526.07300000009</v>
      </c>
      <c r="U14" s="80">
        <f>P14</f>
        <v>39022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41760</v>
      </c>
      <c r="B15" s="50">
        <v>0.31223088700000001</v>
      </c>
      <c r="C15" s="52"/>
      <c r="D15" s="70" t="str">
        <f ca="1">IF(E15&lt;$A$4,"Actual","Model Num")</f>
        <v>Actual</v>
      </c>
      <c r="E15" s="71">
        <f>DATE(YEAR(E14),MONTH(E14)+6,DAY(E14))</f>
        <v>39203</v>
      </c>
      <c r="F15" s="74">
        <f>MAX(IF(ISERROR(VLOOKUP(E15,$A$12:$B$52,2,0)),VLOOKUP(E15,$P$11:$S$52,4,0)/1000000,(VLOOKUP(E15,$A$12:$B$52,2,0))),0)</f>
        <v>0.92151776399999996</v>
      </c>
      <c r="G15" s="128">
        <f>F15*1000000</f>
        <v>921517.76399999997</v>
      </c>
      <c r="H15" s="64"/>
      <c r="I15" s="80">
        <f>E15</f>
        <v>39203</v>
      </c>
      <c r="J15" s="205">
        <f>$M$12*$N$7</f>
        <v>41053.129999999997</v>
      </c>
      <c r="K15" s="88">
        <f>($F$7/360)*($O$2/100)*M14</f>
        <v>26025.794972181331</v>
      </c>
      <c r="L15" s="90">
        <f>J15-K15</f>
        <v>15027.335027818666</v>
      </c>
      <c r="M15" s="79">
        <f>M14-L15</f>
        <v>956084.41766551463</v>
      </c>
      <c r="N15" s="126">
        <f>L15/M14</f>
        <v>1.5474362230856594E-2</v>
      </c>
      <c r="O15" s="52"/>
      <c r="P15" s="80">
        <f>I15</f>
        <v>39203</v>
      </c>
      <c r="Q15" s="97">
        <f ca="1">S14*N15</f>
        <v>14863.528385784206</v>
      </c>
      <c r="R15" s="98">
        <f ca="1">S14*$C$2/2</f>
        <v>24013.151825000004</v>
      </c>
      <c r="S15" s="99">
        <f ca="1">IF(P15&lt;$A$4,(VLOOKUP(P15,$A$11:$B$52,2,0)*$S$12),(S14-(Q15+R15)))</f>
        <v>921517.76399999997</v>
      </c>
      <c r="U15" s="80">
        <f>P15</f>
        <v>39203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41579</v>
      </c>
      <c r="B16" s="50">
        <v>0.34829683299999997</v>
      </c>
      <c r="C16" s="52"/>
      <c r="D16" s="70" t="str">
        <f ca="1">IF(E16&lt;$A$4,"Actual","Model Num")</f>
        <v>Actual</v>
      </c>
      <c r="E16" s="71">
        <f>DATE(YEAR(E15),MONTH(E15)+6,DAY(E15))</f>
        <v>39387</v>
      </c>
      <c r="F16" s="74">
        <f>MAX(IF(ISERROR(VLOOKUP(E16,$A$12:$B$52,2,0)),VLOOKUP(E16,$P$11:$S$52,4,0)/1000000,(VLOOKUP(E16,$A$12:$B$52,2,0))),0)</f>
        <v>0.88220547100000002</v>
      </c>
      <c r="G16" s="128">
        <f>F16*1000000</f>
        <v>882205.47100000002</v>
      </c>
      <c r="H16" s="64"/>
      <c r="I16" s="80">
        <f>E16</f>
        <v>39387</v>
      </c>
      <c r="J16" s="205">
        <f>$M$12*$N$7</f>
        <v>41053.129999999997</v>
      </c>
      <c r="K16" s="88">
        <f>($F$7/360)*($O$2/100)*M15</f>
        <v>25623.06239343579</v>
      </c>
      <c r="L16" s="90">
        <f>J16-K16</f>
        <v>15430.067606564207</v>
      </c>
      <c r="M16" s="79">
        <f>M15-L16</f>
        <v>940654.35005895037</v>
      </c>
      <c r="N16" s="126">
        <f>L16/M15</f>
        <v>1.6138812976619815E-2</v>
      </c>
      <c r="O16" s="52"/>
      <c r="P16" s="80">
        <f>I16</f>
        <v>39387</v>
      </c>
      <c r="Q16" s="97">
        <f ca="1">S15*N16</f>
        <v>14872.202847828876</v>
      </c>
      <c r="R16" s="98">
        <f ca="1">S15*$C$2/2</f>
        <v>23037.944100000001</v>
      </c>
      <c r="S16" s="99">
        <f ca="1">IF(P16&lt;$A$4,(VLOOKUP(P16,$A$11:$B$52,2,0)*$S$12),(S15-(Q16+R16)))</f>
        <v>882205.47100000002</v>
      </c>
      <c r="U16" s="80">
        <f>P16</f>
        <v>39387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41395</v>
      </c>
      <c r="B17" s="50">
        <v>0.41349880999999999</v>
      </c>
      <c r="C17" s="52"/>
      <c r="D17" s="70" t="str">
        <f ca="1">IF(E17&lt;$A$4,"Actual","Model Num")</f>
        <v>Actual</v>
      </c>
      <c r="E17" s="71">
        <f>DATE(YEAR(E16),MONTH(E16)+6,DAY(E16))</f>
        <v>39569</v>
      </c>
      <c r="F17" s="74">
        <f>MAX(IF(ISERROR(VLOOKUP(E17,$A$12:$B$52,2,0)),VLOOKUP(E17,$P$11:$S$52,4,0)/1000000,(VLOOKUP(E17,$A$12:$B$52,2,0))),0)</f>
        <v>0.83279427100000003</v>
      </c>
      <c r="G17" s="128">
        <f>F17*1000000</f>
        <v>832794.27100000007</v>
      </c>
      <c r="H17" s="64"/>
      <c r="I17" s="80">
        <f>E17</f>
        <v>39569</v>
      </c>
      <c r="J17" s="205">
        <f>$M$12*$N$7</f>
        <v>41053.129999999997</v>
      </c>
      <c r="K17" s="88">
        <f>($F$7/360)*($O$2/100)*M16</f>
        <v>25209.536581579869</v>
      </c>
      <c r="L17" s="90">
        <f>J17-K17</f>
        <v>15843.593418420129</v>
      </c>
      <c r="M17" s="79">
        <f>M16-L17</f>
        <v>924810.75664053019</v>
      </c>
      <c r="N17" s="126">
        <f>L17/M16</f>
        <v>1.6843161802661325E-2</v>
      </c>
      <c r="O17" s="52"/>
      <c r="P17" s="80">
        <f>I17</f>
        <v>39569</v>
      </c>
      <c r="Q17" s="97">
        <f ca="1">S16*N17</f>
        <v>14859.129491246043</v>
      </c>
      <c r="R17" s="98">
        <f ca="1">S16*$C$2/2</f>
        <v>22055.136775000003</v>
      </c>
      <c r="S17" s="99">
        <f ca="1">IF(P17&lt;$A$4,(VLOOKUP(P17,$A$11:$B$52,2,0)*$S$12),(S16-(Q17+R17)))</f>
        <v>832794.27100000007</v>
      </c>
      <c r="U17" s="80">
        <f>P17</f>
        <v>39569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41214</v>
      </c>
      <c r="B18" s="50">
        <v>0.46796803999999997</v>
      </c>
      <c r="C18" s="52"/>
      <c r="D18" s="70" t="str">
        <f ca="1">IF(E18&lt;$A$4,"Actual","Model Num")</f>
        <v>Actual</v>
      </c>
      <c r="E18" s="71">
        <f>DATE(YEAR(E17),MONTH(E17)+6,DAY(E17))</f>
        <v>39753</v>
      </c>
      <c r="F18" s="74">
        <f>MAX(IF(ISERROR(VLOOKUP(E18,$A$12:$B$52,2,0)),VLOOKUP(E18,$P$11:$S$52,4,0)/1000000,(VLOOKUP(E18,$A$12:$B$52,2,0))),0)</f>
        <v>0.78754076299999998</v>
      </c>
      <c r="G18" s="128">
        <f>F18*1000000</f>
        <v>787540.76299999992</v>
      </c>
      <c r="H18" s="64"/>
      <c r="I18" s="80">
        <f>E18</f>
        <v>39753</v>
      </c>
      <c r="J18" s="205">
        <f>$M$12*$N$7</f>
        <v>41053.129999999997</v>
      </c>
      <c r="K18" s="88">
        <f>($F$7/360)*($O$2/100)*M17</f>
        <v>24784.928277966206</v>
      </c>
      <c r="L18" s="90">
        <f>J18-K18</f>
        <v>16268.201722033791</v>
      </c>
      <c r="M18" s="79">
        <f>M17-L18</f>
        <v>908542.5549184964</v>
      </c>
      <c r="N18" s="126">
        <f>L18/M17</f>
        <v>1.7590843970208242E-2</v>
      </c>
      <c r="O18" s="52"/>
      <c r="P18" s="80">
        <f>I18</f>
        <v>39753</v>
      </c>
      <c r="Q18" s="97">
        <f ca="1">S17*N18</f>
        <v>14649.554080444319</v>
      </c>
      <c r="R18" s="98">
        <f ca="1">S17*$C$2/2</f>
        <v>20819.856775000004</v>
      </c>
      <c r="S18" s="99">
        <f ca="1">IF(P18&lt;$A$4,(VLOOKUP(P18,$A$11:$B$52,2,0)*$S$12),(S17-(Q18+R18)))</f>
        <v>787540.76299999992</v>
      </c>
      <c r="U18" s="80">
        <f>P18</f>
        <v>39753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41030</v>
      </c>
      <c r="B19" s="50">
        <v>0.50121736500000003</v>
      </c>
      <c r="C19" s="52"/>
      <c r="D19" s="70" t="str">
        <f ca="1">IF(E19&lt;$A$4,"Actual","Model Num")</f>
        <v>Actual</v>
      </c>
      <c r="E19" s="71">
        <f>DATE(YEAR(E18),MONTH(E18)+6,DAY(E18))</f>
        <v>39934</v>
      </c>
      <c r="F19" s="74">
        <f>MAX(IF(ISERROR(VLOOKUP(E19,$A$12:$B$52,2,0)),VLOOKUP(E19,$P$11:$S$52,4,0)/1000000,(VLOOKUP(E19,$A$12:$B$52,2,0))),0)</f>
        <v>0.75930770199999997</v>
      </c>
      <c r="G19" s="128">
        <f>F19*1000000</f>
        <v>759307.70199999993</v>
      </c>
      <c r="H19" s="64"/>
      <c r="I19" s="80">
        <f>E19</f>
        <v>39934</v>
      </c>
      <c r="J19" s="205">
        <f>$M$12*$N$7</f>
        <v>41053.129999999997</v>
      </c>
      <c r="K19" s="88">
        <f>($F$7/360)*($O$2/100)*M18</f>
        <v>24348.940471815702</v>
      </c>
      <c r="L19" s="90">
        <f>J19-K19</f>
        <v>16704.189528184295</v>
      </c>
      <c r="M19" s="79">
        <f>M18-L19</f>
        <v>891838.36539031216</v>
      </c>
      <c r="N19" s="126">
        <f>L19/M18</f>
        <v>1.8385698542962355E-2</v>
      </c>
      <c r="O19" s="52"/>
      <c r="P19" s="80">
        <f>I19</f>
        <v>39934</v>
      </c>
      <c r="Q19" s="97">
        <f ca="1">S18*N19</f>
        <v>14479.48705881256</v>
      </c>
      <c r="R19" s="98">
        <f ca="1">S18*$C$2/2</f>
        <v>19688.519075</v>
      </c>
      <c r="S19" s="99">
        <f ca="1">IF(P19&lt;$A$4,(VLOOKUP(P19,$A$11:$B$52,2,0)*$S$12),(S18-(Q19+R19)))</f>
        <v>759307.70199999993</v>
      </c>
      <c r="U19" s="80">
        <f>P19</f>
        <v>39934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40848</v>
      </c>
      <c r="B20" s="50">
        <v>0.54030026600000003</v>
      </c>
      <c r="C20" s="52"/>
      <c r="D20" s="70" t="str">
        <f ca="1">IF(E20&lt;$A$4,"Actual","Model Num")</f>
        <v>Actual</v>
      </c>
      <c r="E20" s="71">
        <f>DATE(YEAR(E19),MONTH(E19)+6,DAY(E19))</f>
        <v>40118</v>
      </c>
      <c r="F20" s="74">
        <f>MAX(IF(ISERROR(VLOOKUP(E20,$A$12:$B$52,2,0)),VLOOKUP(E20,$P$11:$S$52,4,0)/1000000,(VLOOKUP(E20,$A$12:$B$52,2,0))),0)</f>
        <v>0.713265221</v>
      </c>
      <c r="G20" s="128">
        <f>F20*1000000</f>
        <v>713265.22100000002</v>
      </c>
      <c r="H20" s="64"/>
      <c r="I20" s="80">
        <f>E20</f>
        <v>40118</v>
      </c>
      <c r="J20" s="205">
        <f>$M$12*$N$7</f>
        <v>41053.129999999997</v>
      </c>
      <c r="K20" s="88">
        <f>($F$7/360)*($O$2/100)*M19</f>
        <v>23901.268192460364</v>
      </c>
      <c r="L20" s="90">
        <f>J20-K20</f>
        <v>17151.861807539633</v>
      </c>
      <c r="M20" s="79">
        <f>M19-L20</f>
        <v>874686.50358277257</v>
      </c>
      <c r="N20" s="126">
        <f>L20/M19</f>
        <v>1.923202956180646E-2</v>
      </c>
      <c r="O20" s="52"/>
      <c r="P20" s="80">
        <f>I20</f>
        <v>40118</v>
      </c>
      <c r="Q20" s="97">
        <f ca="1">S19*N20</f>
        <v>14603.028171371328</v>
      </c>
      <c r="R20" s="98">
        <f ca="1">S19*$C$2/2</f>
        <v>18982.69255</v>
      </c>
      <c r="S20" s="99">
        <f ca="1">IF(P20&lt;$A$4,(VLOOKUP(P20,$A$11:$B$52,2,0)*$S$12),(S19-(Q20+R20)))</f>
        <v>713265.22100000002</v>
      </c>
      <c r="U20" s="80">
        <f>P20</f>
        <v>40118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40664</v>
      </c>
      <c r="B21" s="50">
        <v>0.57887096500000002</v>
      </c>
      <c r="C21" s="52"/>
      <c r="D21" s="70" t="str">
        <f ca="1">IF(E21&lt;$A$4,"Actual","Model Num")</f>
        <v>Actual</v>
      </c>
      <c r="E21" s="71">
        <f>DATE(YEAR(E20),MONTH(E20)+6,DAY(E20))</f>
        <v>40299</v>
      </c>
      <c r="F21" s="74">
        <f>MAX(IF(ISERROR(VLOOKUP(E21,$A$12:$B$52,2,0)),VLOOKUP(E21,$P$11:$S$52,4,0)/1000000,(VLOOKUP(E21,$A$12:$B$52,2,0))),0)</f>
        <v>0.66544008300000002</v>
      </c>
      <c r="G21" s="128">
        <f>F21*1000000</f>
        <v>665440.08299999998</v>
      </c>
      <c r="H21" s="64"/>
      <c r="I21" s="80">
        <f>E21</f>
        <v>40299</v>
      </c>
      <c r="J21" s="205">
        <f>$M$12*$N$7</f>
        <v>41053.129999999997</v>
      </c>
      <c r="K21" s="88">
        <f>($F$7/360)*($O$2/100)*M20</f>
        <v>23441.598296018303</v>
      </c>
      <c r="L21" s="90">
        <f>J21-K21</f>
        <v>17611.531703981695</v>
      </c>
      <c r="M21" s="79">
        <f>M20-L21</f>
        <v>857074.97187879088</v>
      </c>
      <c r="N21" s="126">
        <f>L21/M20</f>
        <v>2.0134678689843411E-2</v>
      </c>
      <c r="O21" s="52"/>
      <c r="P21" s="80">
        <f>I21</f>
        <v>40299</v>
      </c>
      <c r="Q21" s="97">
        <f ca="1">S20*N21</f>
        <v>14361.366045475152</v>
      </c>
      <c r="R21" s="98">
        <f ca="1">S20*$C$2/2</f>
        <v>17831.630525</v>
      </c>
      <c r="S21" s="99">
        <f ca="1">IF(P21&lt;$A$4,(VLOOKUP(P21,$A$11:$B$52,2,0)*$S$12),(S20-(Q21+R21)))</f>
        <v>665440.08299999998</v>
      </c>
      <c r="U21" s="80">
        <f>P21</f>
        <v>40299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40483</v>
      </c>
      <c r="B22" s="50">
        <v>0.62824354599999999</v>
      </c>
      <c r="C22" s="52"/>
      <c r="D22" s="70" t="str">
        <f ca="1">IF(E22&lt;$A$4,"Actual","Model Num")</f>
        <v>Actual</v>
      </c>
      <c r="E22" s="71">
        <f>DATE(YEAR(E21),MONTH(E21)+6,DAY(E21))</f>
        <v>40483</v>
      </c>
      <c r="F22" s="74">
        <f>MAX(IF(ISERROR(VLOOKUP(E22,$A$12:$B$52,2,0)),VLOOKUP(E22,$P$11:$S$52,4,0)/1000000,(VLOOKUP(E22,$A$12:$B$52,2,0))),0)</f>
        <v>0.62824354599999999</v>
      </c>
      <c r="G22" s="128">
        <f>F22*1000000</f>
        <v>628243.54599999997</v>
      </c>
      <c r="H22" s="64"/>
      <c r="I22" s="80">
        <f>E22</f>
        <v>40483</v>
      </c>
      <c r="J22" s="205">
        <f>$M$12*$N$7</f>
        <v>41053.129999999997</v>
      </c>
      <c r="K22" s="88">
        <f>($F$7/360)*($O$2/100)*M21</f>
        <v>22969.609246351592</v>
      </c>
      <c r="L22" s="90">
        <f>J22-K22</f>
        <v>18083.520753648405</v>
      </c>
      <c r="M22" s="79">
        <f>M21-L22</f>
        <v>838991.45112514251</v>
      </c>
      <c r="N22" s="126">
        <f>L22/M21</f>
        <v>2.1099111917837931E-2</v>
      </c>
      <c r="O22" s="52"/>
      <c r="P22" s="80">
        <f>I22</f>
        <v>40483</v>
      </c>
      <c r="Q22" s="97">
        <f ca="1">S21*N22</f>
        <v>14040.194785832362</v>
      </c>
      <c r="R22" s="98">
        <f ca="1">S21*$C$2/2</f>
        <v>16636.002075</v>
      </c>
      <c r="S22" s="99">
        <f ca="1">IF(P22&lt;$A$4,(VLOOKUP(P22,$A$11:$B$52,2,0)*$S$12),(S21-(Q22+R22)))</f>
        <v>628243.54599999997</v>
      </c>
      <c r="U22" s="80">
        <f>P22</f>
        <v>40483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40299</v>
      </c>
      <c r="B23" s="50">
        <v>0.66544008300000002</v>
      </c>
      <c r="C23" s="52"/>
      <c r="D23" s="70" t="str">
        <f ca="1">IF(E23&lt;$A$4,"Actual","Model Num")</f>
        <v>Actual</v>
      </c>
      <c r="E23" s="71">
        <f>DATE(YEAR(E22),MONTH(E22)+6,DAY(E22))</f>
        <v>40664</v>
      </c>
      <c r="F23" s="74">
        <f>MAX(IF(ISERROR(VLOOKUP(E23,$A$12:$B$52,2,0)),VLOOKUP(E23,$P$11:$S$52,4,0)/1000000,(VLOOKUP(E23,$A$12:$B$52,2,0))),0)</f>
        <v>0.57887096500000002</v>
      </c>
      <c r="G23" s="128">
        <f>F23*1000000</f>
        <v>578870.96499999997</v>
      </c>
      <c r="H23" s="64"/>
      <c r="I23" s="80">
        <f>E23</f>
        <v>40664</v>
      </c>
      <c r="J23" s="205">
        <f>$M$12*$N$7</f>
        <v>41053.129999999997</v>
      </c>
      <c r="K23" s="88">
        <f>($F$7/360)*($O$2/100)*M22</f>
        <v>22484.970890153818</v>
      </c>
      <c r="L23" s="90">
        <f>J23-K23</f>
        <v>18568.159109846179</v>
      </c>
      <c r="M23" s="79">
        <f>M22-L23</f>
        <v>820423.29201529629</v>
      </c>
      <c r="N23" s="126">
        <f>L23/M22</f>
        <v>2.2131523610812793E-2</v>
      </c>
      <c r="O23" s="52"/>
      <c r="P23" s="80">
        <f>I23</f>
        <v>40664</v>
      </c>
      <c r="Q23" s="97">
        <f ca="1">S22*N23</f>
        <v>13903.986871639752</v>
      </c>
      <c r="R23" s="98">
        <f ca="1">S22*$C$2/2</f>
        <v>15706.08865</v>
      </c>
      <c r="S23" s="99">
        <f ca="1">IF(P23&lt;$A$4,(VLOOKUP(P23,$A$11:$B$52,2,0)*$S$12),(S22-(Q23+R23)))</f>
        <v>578870.96499999997</v>
      </c>
      <c r="U23" s="80">
        <f>P23</f>
        <v>40664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40118</v>
      </c>
      <c r="B24" s="50">
        <v>0.713265221</v>
      </c>
      <c r="C24" s="52"/>
      <c r="D24" s="70" t="str">
        <f ca="1">IF(E24&lt;$A$4,"Actual","Model Num")</f>
        <v>Actual</v>
      </c>
      <c r="E24" s="71">
        <f>DATE(YEAR(E23),MONTH(E23)+6,DAY(E23))</f>
        <v>40848</v>
      </c>
      <c r="F24" s="74">
        <f>MAX(IF(ISERROR(VLOOKUP(E24,$A$12:$B$52,2,0)),VLOOKUP(E24,$P$11:$S$52,4,0)/1000000,(VLOOKUP(E24,$A$12:$B$52,2,0))),0)</f>
        <v>0.54030026600000003</v>
      </c>
      <c r="G24" s="128">
        <f>F24*1000000</f>
        <v>540300.26600000006</v>
      </c>
      <c r="H24" s="64"/>
      <c r="I24" s="80">
        <f>E24</f>
        <v>40848</v>
      </c>
      <c r="J24" s="205">
        <f>$M$12*$N$7</f>
        <v>41053.129999999997</v>
      </c>
      <c r="K24" s="88">
        <f>($F$7/360)*($O$2/100)*M23</f>
        <v>21987.34422600994</v>
      </c>
      <c r="L24" s="90">
        <f>J24-K24</f>
        <v>19065.785773990057</v>
      </c>
      <c r="M24" s="79">
        <f>M23-L24</f>
        <v>801357.5062413062</v>
      </c>
      <c r="N24" s="126">
        <f>L24/M23</f>
        <v>2.3238962081581892E-2</v>
      </c>
      <c r="O24" s="52"/>
      <c r="P24" s="80">
        <f>I24</f>
        <v>40848</v>
      </c>
      <c r="Q24" s="97">
        <f ca="1">S23*N24</f>
        <v>13452.360405763719</v>
      </c>
      <c r="R24" s="98">
        <f ca="1">S23*$C$2/2</f>
        <v>14471.774125</v>
      </c>
      <c r="S24" s="99">
        <f ca="1">IF(P24&lt;$A$4,(VLOOKUP(P24,$A$11:$B$52,2,0)*$S$12),(S23-(Q24+R24)))</f>
        <v>540300.26600000006</v>
      </c>
      <c r="U24" s="80">
        <f>P24</f>
        <v>40848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39934</v>
      </c>
      <c r="B25" s="50">
        <v>0.75930770199999997</v>
      </c>
      <c r="C25" s="52"/>
      <c r="D25" s="70" t="str">
        <f ca="1">IF(E25&lt;$A$4,"Actual","Model Num")</f>
        <v>Actual</v>
      </c>
      <c r="E25" s="71">
        <f>DATE(YEAR(E24),MONTH(E24)+6,DAY(E24))</f>
        <v>41030</v>
      </c>
      <c r="F25" s="74">
        <f>MAX(IF(ISERROR(VLOOKUP(E25,$A$12:$B$52,2,0)),VLOOKUP(E25,$P$11:$S$52,4,0)/1000000,(VLOOKUP(E25,$A$12:$B$52,2,0))),0)</f>
        <v>0.50121736500000003</v>
      </c>
      <c r="G25" s="128">
        <f>F25*1000000</f>
        <v>501217.36500000005</v>
      </c>
      <c r="H25" s="64"/>
      <c r="I25" s="80">
        <f>E25</f>
        <v>41030</v>
      </c>
      <c r="J25" s="205">
        <f>$M$12*$N$7</f>
        <v>41053.129999999997</v>
      </c>
      <c r="K25" s="88">
        <f>($F$7/360)*($O$2/100)*M24</f>
        <v>21476.381167267005</v>
      </c>
      <c r="L25" s="90">
        <f>J25-K25</f>
        <v>19576.748832732992</v>
      </c>
      <c r="M25" s="79">
        <f>M24-L25</f>
        <v>781780.75740857318</v>
      </c>
      <c r="N25" s="126">
        <f>L25/M24</f>
        <v>2.4429482072933884E-2</v>
      </c>
      <c r="O25" s="52"/>
      <c r="P25" s="80">
        <f>I25</f>
        <v>41030</v>
      </c>
      <c r="Q25" s="97">
        <f ca="1">S24*N25</f>
        <v>13199.25566224841</v>
      </c>
      <c r="R25" s="98">
        <f ca="1">S24*$C$2/2</f>
        <v>13507.506650000003</v>
      </c>
      <c r="S25" s="99">
        <f ca="1">IF(P25&lt;$A$4,(VLOOKUP(P25,$A$11:$B$52,2,0)*$S$12),(S24-(Q25+R25)))</f>
        <v>501217.36500000005</v>
      </c>
      <c r="U25" s="80">
        <f>P25</f>
        <v>41030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39753</v>
      </c>
      <c r="B26" s="50">
        <v>0.78754076299999998</v>
      </c>
      <c r="C26" s="52"/>
      <c r="D26" s="70" t="str">
        <f ca="1">IF(E26&lt;$A$4,"Actual","Model Num")</f>
        <v>Actual</v>
      </c>
      <c r="E26" s="71">
        <f>DATE(YEAR(E25),MONTH(E25)+6,DAY(E25))</f>
        <v>41214</v>
      </c>
      <c r="F26" s="74">
        <f>MAX(IF(ISERROR(VLOOKUP(E26,$A$12:$B$52,2,0)),VLOOKUP(E26,$P$11:$S$52,4,0)/1000000,(VLOOKUP(E26,$A$12:$B$52,2,0))),0)</f>
        <v>0.46796803999999997</v>
      </c>
      <c r="G26" s="128">
        <f>F26*1000000</f>
        <v>467968.04</v>
      </c>
      <c r="H26" s="64"/>
      <c r="I26" s="80">
        <f>E26</f>
        <v>41214</v>
      </c>
      <c r="J26" s="205">
        <f>$M$12*$N$7</f>
        <v>41053.129999999997</v>
      </c>
      <c r="K26" s="88">
        <f>($F$7/360)*($O$2/100)*M25</f>
        <v>20951.724298549758</v>
      </c>
      <c r="L26" s="90">
        <f>J26-K26</f>
        <v>20101.40570145024</v>
      </c>
      <c r="M26" s="79">
        <f>M25-L26</f>
        <v>761679.35170712299</v>
      </c>
      <c r="N26" s="126">
        <f>L26/M25</f>
        <v>2.5712331124754035E-2</v>
      </c>
      <c r="O26" s="52"/>
      <c r="P26" s="80">
        <f>I26</f>
        <v>41214</v>
      </c>
      <c r="Q26" s="97">
        <f ca="1">S25*N26</f>
        <v>12887.466854356704</v>
      </c>
      <c r="R26" s="98">
        <f ca="1">S25*$C$2/2</f>
        <v>12530.434125000002</v>
      </c>
      <c r="S26" s="99">
        <f ca="1">IF(P26&lt;$A$4,(VLOOKUP(P26,$A$11:$B$52,2,0)*$S$12),(S25-(Q26+R26)))</f>
        <v>467968.04</v>
      </c>
      <c r="U26" s="80">
        <f>P26</f>
        <v>41214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39569</v>
      </c>
      <c r="B27" s="50">
        <v>0.83279427100000003</v>
      </c>
      <c r="C27" s="52"/>
      <c r="D27" s="70" t="str">
        <f ca="1">IF(E27&lt;$A$4,"Actual","Model Num")</f>
        <v>Actual</v>
      </c>
      <c r="E27" s="71">
        <f>DATE(YEAR(E26),MONTH(E26)+6,DAY(E26))</f>
        <v>41395</v>
      </c>
      <c r="F27" s="74">
        <f>MAX(IF(ISERROR(VLOOKUP(E27,$A$12:$B$52,2,0)),VLOOKUP(E27,$P$11:$S$52,4,0)/1000000,(VLOOKUP(E27,$A$12:$B$52,2,0))),0)</f>
        <v>0.41349880999999999</v>
      </c>
      <c r="G27" s="128">
        <f>F27*1000000</f>
        <v>413498.81</v>
      </c>
      <c r="H27" s="64"/>
      <c r="I27" s="80">
        <f>E27</f>
        <v>41395</v>
      </c>
      <c r="J27" s="205">
        <f>$M$12*$N$7</f>
        <v>41053.129999999997</v>
      </c>
      <c r="K27" s="88">
        <f>($F$7/360)*($O$2/100)*M26</f>
        <v>20413.006625750895</v>
      </c>
      <c r="L27" s="90">
        <f>J27-K27</f>
        <v>20640.123374249102</v>
      </c>
      <c r="M27" s="79">
        <f>M26-L27</f>
        <v>741039.2283328739</v>
      </c>
      <c r="N27" s="126">
        <f>L27/M26</f>
        <v>2.7098178948909639E-2</v>
      </c>
      <c r="O27" s="52"/>
      <c r="P27" s="80">
        <f>I27</f>
        <v>41395</v>
      </c>
      <c r="Q27" s="97">
        <f ca="1">S26*N27</f>
        <v>12681.081690290503</v>
      </c>
      <c r="R27" s="98">
        <f ca="1">S26*$C$2/2</f>
        <v>11699.201000000001</v>
      </c>
      <c r="S27" s="99">
        <f ca="1">IF(P27&lt;$A$4,(VLOOKUP(P27,$A$11:$B$52,2,0)*$S$12),(S26-(Q27+R27)))</f>
        <v>413498.81</v>
      </c>
      <c r="U27" s="80">
        <f>P27</f>
        <v>41395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39387</v>
      </c>
      <c r="B28" s="50">
        <v>0.88220547100000002</v>
      </c>
      <c r="C28" s="52"/>
      <c r="D28" s="70" t="str">
        <f ca="1">IF(E28&lt;$A$4,"Actual","Model Num")</f>
        <v>Actual</v>
      </c>
      <c r="E28" s="71">
        <f>DATE(YEAR(E27),MONTH(E27)+6,DAY(E27))</f>
        <v>41579</v>
      </c>
      <c r="F28" s="74">
        <f>MAX(IF(ISERROR(VLOOKUP(E28,$A$12:$B$52,2,0)),VLOOKUP(E28,$P$11:$S$52,4,0)/1000000,(VLOOKUP(E28,$A$12:$B$52,2,0))),0)</f>
        <v>0.34829683299999997</v>
      </c>
      <c r="G28" s="128">
        <f>F28*1000000</f>
        <v>348296.83299999998</v>
      </c>
      <c r="H28" s="64"/>
      <c r="I28" s="80">
        <f>E28</f>
        <v>41579</v>
      </c>
      <c r="J28" s="205">
        <f>$M$12*$N$7</f>
        <v>41053.129999999997</v>
      </c>
      <c r="K28" s="88">
        <f>($F$7/360)*($O$2/100)*M27</f>
        <v>19859.85131932102</v>
      </c>
      <c r="L28" s="90">
        <f>J28-K28</f>
        <v>21193.278680678977</v>
      </c>
      <c r="M28" s="79">
        <f>M27-L28</f>
        <v>719845.94965219498</v>
      </c>
      <c r="N28" s="126">
        <f>L28/M27</f>
        <v>2.8599401854012219E-2</v>
      </c>
      <c r="O28" s="52"/>
      <c r="P28" s="80">
        <f>I28</f>
        <v>41579</v>
      </c>
      <c r="Q28" s="97">
        <f ca="1">S27*N28</f>
        <v>11825.818633345845</v>
      </c>
      <c r="R28" s="98">
        <f ca="1">S27*$C$2/2</f>
        <v>10337.47025</v>
      </c>
      <c r="S28" s="99">
        <f ca="1">IF(P28&lt;$A$4,(VLOOKUP(P28,$A$11:$B$52,2,0)*$S$12),(S27-(Q28+R28)))</f>
        <v>348296.83299999998</v>
      </c>
      <c r="U28" s="80">
        <f>P28</f>
        <v>41579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39203</v>
      </c>
      <c r="B29" s="50">
        <v>0.92151776399999996</v>
      </c>
      <c r="C29" s="52"/>
      <c r="D29" s="70" t="str">
        <f ca="1">IF(E29&lt;$A$4,"Actual","Model Num")</f>
        <v>Actual</v>
      </c>
      <c r="E29" s="71">
        <f>DATE(YEAR(E28),MONTH(E28)+6,DAY(E28))</f>
        <v>41760</v>
      </c>
      <c r="F29" s="74">
        <f>MAX(IF(ISERROR(VLOOKUP(E29,$A$12:$B$52,2,0)),VLOOKUP(E29,$P$11:$S$52,4,0)/1000000,(VLOOKUP(E29,$A$12:$B$52,2,0))),0)</f>
        <v>0.31223088700000001</v>
      </c>
      <c r="G29" s="128">
        <f>F29*1000000</f>
        <v>312230.88699999999</v>
      </c>
      <c r="H29" s="64"/>
      <c r="I29" s="80">
        <f>E29</f>
        <v>41760</v>
      </c>
      <c r="J29" s="205">
        <f>$M$12*$N$7</f>
        <v>41053.129999999997</v>
      </c>
      <c r="K29" s="88">
        <f>($F$7/360)*($O$2/100)*M28</f>
        <v>19291.871450678824</v>
      </c>
      <c r="L29" s="90">
        <f>J29-K29</f>
        <v>21761.258549321174</v>
      </c>
      <c r="M29" s="79">
        <f>M28-L29</f>
        <v>698084.69110287377</v>
      </c>
      <c r="N29" s="126">
        <f>L29/M28</f>
        <v>3.023043827618322E-2</v>
      </c>
      <c r="O29" s="52"/>
      <c r="P29" s="80">
        <f>I29</f>
        <v>41760</v>
      </c>
      <c r="Q29" s="97">
        <f ca="1">S28*N29</f>
        <v>10529.165911796594</v>
      </c>
      <c r="R29" s="98">
        <f ca="1">S28*$C$2/2</f>
        <v>8707.4208249999992</v>
      </c>
      <c r="S29" s="99">
        <f ca="1">IF(P29&lt;$A$4,(VLOOKUP(P29,$A$11:$B$52,2,0)*$S$12),(S28-(Q29+R29)))</f>
        <v>312230.88699999999</v>
      </c>
      <c r="U29" s="80">
        <f>P29</f>
        <v>41760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39022</v>
      </c>
      <c r="B30" s="50">
        <v>0.96052607300000004</v>
      </c>
      <c r="C30" s="52"/>
      <c r="D30" s="70" t="str">
        <f ca="1">IF(E30&lt;$A$4,"Actual","Model Num")</f>
        <v>Actual</v>
      </c>
      <c r="E30" s="71">
        <f>DATE(YEAR(E29),MONTH(E29)+6,DAY(E29))</f>
        <v>41944</v>
      </c>
      <c r="F30" s="74">
        <f>MAX(IF(ISERROR(VLOOKUP(E30,$A$12:$B$52,2,0)),VLOOKUP(E30,$P$11:$S$52,4,0)/1000000,(VLOOKUP(E30,$A$12:$B$52,2,0))),0)</f>
        <v>0.27624691200000001</v>
      </c>
      <c r="G30" s="128">
        <f>F30*1000000</f>
        <v>276246.91200000001</v>
      </c>
      <c r="H30" s="64"/>
      <c r="I30" s="80">
        <f>E30</f>
        <v>41944</v>
      </c>
      <c r="J30" s="205">
        <f>$M$12*$N$7</f>
        <v>41053.129999999997</v>
      </c>
      <c r="K30" s="88">
        <f>($F$7/360)*($O$2/100)*M29</f>
        <v>18708.669721557017</v>
      </c>
      <c r="L30" s="90">
        <f>J30-K30</f>
        <v>22344.460278442981</v>
      </c>
      <c r="M30" s="79">
        <f>M29-L30</f>
        <v>675740.23082443082</v>
      </c>
      <c r="N30" s="126">
        <f>L30/M29</f>
        <v>3.2008237056655599E-2</v>
      </c>
      <c r="O30" s="52"/>
      <c r="P30" s="80">
        <f>I30</f>
        <v>41944</v>
      </c>
      <c r="Q30" s="97">
        <f ca="1">S29*N30</f>
        <v>9993.9602475058473</v>
      </c>
      <c r="R30" s="98">
        <f ca="1">S29*$C$2/2</f>
        <v>7805.7721750000001</v>
      </c>
      <c r="S30" s="99">
        <f ca="1">IF(P30&lt;$A$4,(VLOOKUP(P30,$A$11:$B$52,2,0)*$S$12),(S29-(Q30+R30)))</f>
        <v>276246.91200000001</v>
      </c>
      <c r="U30" s="80">
        <f>P30</f>
        <v>41944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38838</v>
      </c>
      <c r="B31" s="50">
        <v>0.98360274700000005</v>
      </c>
      <c r="C31" s="52"/>
      <c r="D31" s="70" t="str">
        <f ca="1">IF(E31&lt;$A$4,"Actual","Model Num")</f>
        <v>Actual</v>
      </c>
      <c r="E31" s="71">
        <f>DATE(YEAR(E30),MONTH(E30)+6,DAY(E30))</f>
        <v>42125</v>
      </c>
      <c r="F31" s="74">
        <f>MAX(IF(ISERROR(VLOOKUP(E31,$A$12:$B$52,2,0)),VLOOKUP(E31,$P$11:$S$52,4,0)/1000000,(VLOOKUP(E31,$A$12:$B$52,2,0))),0)</f>
        <v>0.22262934700000001</v>
      </c>
      <c r="G31" s="128">
        <f>F31*1000000</f>
        <v>222629.34700000001</v>
      </c>
      <c r="H31" s="64"/>
      <c r="I31" s="80">
        <f>E31</f>
        <v>42125</v>
      </c>
      <c r="J31" s="205">
        <f>$M$12*$N$7</f>
        <v>41053.129999999997</v>
      </c>
      <c r="K31" s="88">
        <f>($F$7/360)*($O$2/100)*M30</f>
        <v>18109.838186094745</v>
      </c>
      <c r="L31" s="90">
        <f>J31-K31</f>
        <v>22943.291813905253</v>
      </c>
      <c r="M31" s="79">
        <f>M30-L31</f>
        <v>652796.93901052559</v>
      </c>
      <c r="N31" s="126">
        <f>L31/M30</f>
        <v>3.3952827976385977E-2</v>
      </c>
      <c r="O31" s="52"/>
      <c r="P31" s="80">
        <f>I31</f>
        <v>42125</v>
      </c>
      <c r="Q31" s="97">
        <f ca="1">S30*N31</f>
        <v>9379.3638821438362</v>
      </c>
      <c r="R31" s="98">
        <f ca="1">S30*$C$2/2</f>
        <v>6906.1728000000003</v>
      </c>
      <c r="S31" s="99">
        <f ca="1">IF(P31&lt;$A$4,(VLOOKUP(P31,$A$11:$B$52,2,0)*$S$12),(S30-(Q31+R31)))</f>
        <v>222629.34700000001</v>
      </c>
      <c r="U31" s="80">
        <f>P31</f>
        <v>42125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38672</v>
      </c>
      <c r="B32" s="50">
        <v>1</v>
      </c>
      <c r="C32" s="52"/>
      <c r="D32" s="70" t="str">
        <f ca="1">IF(E32&lt;$A$4,"Actual","Model Num")</f>
        <v>Actual</v>
      </c>
      <c r="E32" s="71">
        <f>DATE(YEAR(E31),MONTH(E31)+6,DAY(E31))</f>
        <v>42309</v>
      </c>
      <c r="F32" s="74">
        <f>MAX(IF(ISERROR(VLOOKUP(E32,$A$12:$B$52,2,0)),VLOOKUP(E32,$P$11:$S$52,4,0)/1000000,(VLOOKUP(E32,$A$12:$B$52,2,0))),0)</f>
        <v>0.175146564</v>
      </c>
      <c r="G32" s="128">
        <f>F32*1000000</f>
        <v>175146.56400000001</v>
      </c>
      <c r="H32" s="64"/>
      <c r="I32" s="80">
        <f>E32</f>
        <v>42309</v>
      </c>
      <c r="J32" s="205">
        <f>$M$12*$N$7</f>
        <v>41053.129999999997</v>
      </c>
      <c r="K32" s="88">
        <f>($F$7/360)*($O$2/100)*M31</f>
        <v>17494.957965482085</v>
      </c>
      <c r="L32" s="90">
        <f>J32-K32</f>
        <v>23558.172034517913</v>
      </c>
      <c r="M32" s="79">
        <f>M31-L32</f>
        <v>629238.76697600773</v>
      </c>
      <c r="N32" s="126">
        <f>L32/M31</f>
        <v>3.6088055299747762E-2</v>
      </c>
      <c r="O32" s="52"/>
      <c r="P32" s="80">
        <f>I32</f>
        <v>42309</v>
      </c>
      <c r="Q32" s="97">
        <f ca="1">S31*N32</f>
        <v>8034.2601858827338</v>
      </c>
      <c r="R32" s="98">
        <f ca="1">S31*$C$2/2</f>
        <v>5565.7336750000004</v>
      </c>
      <c r="S32" s="99">
        <f ca="1">IF(P32&lt;$A$4,(VLOOKUP(P32,$A$11:$B$52,2,0)*$S$12),(S31-(Q32+R32)))</f>
        <v>175146.56400000001</v>
      </c>
      <c r="U32" s="80">
        <f>P32</f>
        <v>42309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42491</v>
      </c>
      <c r="F33" s="74">
        <f ca="1">MAX(IF(ISERROR(VLOOKUP(E33,$A$12:$B$52,2,0)),VLOOKUP(E33,$P$11:$S$52,4,0)/1000000,(VLOOKUP(E33,$A$12:$B$52,2,0))),0)</f>
        <v>0.16403482261731542</v>
      </c>
      <c r="G33" s="128">
        <f ca="1">F33*1000000</f>
        <v>164034.82261731543</v>
      </c>
      <c r="H33" s="64"/>
      <c r="I33" s="80">
        <f>E33</f>
        <v>42491</v>
      </c>
      <c r="J33" s="205">
        <f>$M$12*$N$7</f>
        <v>41053.129999999997</v>
      </c>
      <c r="K33" s="88">
        <f>($F$7/360)*($O$2/100)*M32</f>
        <v>16863.598954957004</v>
      </c>
      <c r="L33" s="90">
        <f>J33-K33</f>
        <v>24189.531045042993</v>
      </c>
      <c r="M33" s="79">
        <f>M32-L33</f>
        <v>605049.2359309647</v>
      </c>
      <c r="N33" s="126">
        <f>L33/M32</f>
        <v>3.8442531380087901E-2</v>
      </c>
      <c r="O33" s="52"/>
      <c r="P33" s="80">
        <f>I33</f>
        <v>42491</v>
      </c>
      <c r="Q33" s="97">
        <f ca="1">S32*N33</f>
        <v>6733.0772826845741</v>
      </c>
      <c r="R33" s="98">
        <f ca="1">S32*$C$2/2</f>
        <v>4378.6641000000009</v>
      </c>
      <c r="S33" s="99">
        <f ca="1">IF(P33&lt;$A$4,(VLOOKUP(P33,$A$11:$B$52,2,0)*$S$12),(S32-(Q33+R33)))</f>
        <v>164034.82261731543</v>
      </c>
      <c r="U33" s="80">
        <f>P33</f>
        <v>42491</v>
      </c>
      <c r="V33" s="97">
        <f ca="1">IF(U33&lt;$A$4,0,(YEARFRAC($A$4,U33,1)))</f>
        <v>6.2841530054644809E-2</v>
      </c>
      <c r="W33" s="141">
        <f ca="1">V33*(S32-S33)</f>
        <v>698.27883005941396</v>
      </c>
    </row>
    <row r="34" spans="1:23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42675</v>
      </c>
      <c r="F34" s="74">
        <f ca="1">MAX(IF(ISERROR(VLOOKUP(E34,$A$12:$B$52,2,0)),VLOOKUP(E34,$P$11:$S$52,4,0)/1000000,(VLOOKUP(E34,$A$12:$B$52,2,0))),0)</f>
        <v>0.15320017636247685</v>
      </c>
      <c r="G34" s="128">
        <f ca="1">F34*1000000</f>
        <v>153200.17636247684</v>
      </c>
      <c r="H34" s="64"/>
      <c r="I34" s="80">
        <f>E34</f>
        <v>42675</v>
      </c>
      <c r="J34" s="205">
        <f>$M$12*$N$7</f>
        <v>41053.129999999997</v>
      </c>
      <c r="K34" s="88">
        <f>($F$7/360)*($O$2/100)*M33</f>
        <v>16215.319522949852</v>
      </c>
      <c r="L34" s="90">
        <f>J34-K34</f>
        <v>24837.810477050145</v>
      </c>
      <c r="M34" s="79">
        <f>M33-L34</f>
        <v>580211.42545391456</v>
      </c>
      <c r="N34" s="126">
        <f>L34/M33</f>
        <v>4.1050891401975272E-2</v>
      </c>
      <c r="O34" s="52"/>
      <c r="P34" s="80">
        <f>I34</f>
        <v>42675</v>
      </c>
      <c r="Q34" s="97">
        <f ca="1">S33*N34</f>
        <v>6733.7756894056929</v>
      </c>
      <c r="R34" s="98">
        <f ca="1">S33*$C$2/2</f>
        <v>4100.870565432886</v>
      </c>
      <c r="S34" s="99">
        <f ca="1">IF(P34&lt;$A$4,(VLOOKUP(P34,$A$11:$B$52,2,0)*$S$12),(S33-(Q34+R34)))</f>
        <v>153200.17636247684</v>
      </c>
      <c r="U34" s="80">
        <f>P34</f>
        <v>42675</v>
      </c>
      <c r="V34" s="97">
        <f ca="1">IF(U34&lt;$A$4,0,(YEARFRAC($A$4,U34,1)))</f>
        <v>0.56557377049180324</v>
      </c>
      <c r="W34" s="141">
        <f ca="1">V34*(S33-S34)</f>
        <v>6127.7917342939563</v>
      </c>
    </row>
    <row r="35" spans="1:23">
      <c r="A35" s="49"/>
      <c r="B35" s="50"/>
      <c r="D35" s="70" t="str">
        <f ca="1">IF(E35&lt;$A$4,"Actual","Model Num")</f>
        <v>Model Num</v>
      </c>
      <c r="E35" s="71">
        <f>DATE(YEAR(E34),MONTH(E34)+6,DAY(E34))</f>
        <v>42856</v>
      </c>
      <c r="F35" s="74">
        <f ca="1">MAX(IF(ISERROR(VLOOKUP(E35,$A$12:$B$52,2,0)),VLOOKUP(E35,$P$11:$S$52,4,0)/1000000,(VLOOKUP(E35,$A$12:$B$52,2,0))),0)</f>
        <v>0.14263618675375131</v>
      </c>
      <c r="G35" s="128">
        <f ca="1">F35*1000000</f>
        <v>142636.1867537513</v>
      </c>
      <c r="I35" s="80">
        <f>E35</f>
        <v>42856</v>
      </c>
      <c r="J35" s="205">
        <f>$M$12*$N$7</f>
        <v>41053.129999999997</v>
      </c>
      <c r="K35" s="88">
        <f>($F$7/360)*($O$2/100)*M34</f>
        <v>15549.666202164908</v>
      </c>
      <c r="L35" s="90">
        <f>J35-K35</f>
        <v>25503.463797835087</v>
      </c>
      <c r="M35" s="79">
        <f>M34-L35</f>
        <v>554707.96165607951</v>
      </c>
      <c r="N35" s="126">
        <f>L35/M34</f>
        <v>4.3955466367941759E-2</v>
      </c>
      <c r="O35" s="52"/>
      <c r="P35" s="80">
        <f>I35</f>
        <v>42856</v>
      </c>
      <c r="Q35" s="97">
        <f ca="1">S34*N35</f>
        <v>6733.9851996635962</v>
      </c>
      <c r="R35" s="98">
        <f ca="1">S34*$C$2/2</f>
        <v>3830.0044090619213</v>
      </c>
      <c r="S35" s="99">
        <f ca="1">IF(P35&lt;$A$4,(VLOOKUP(P35,$A$11:$B$52,2,0)*$S$12),(S34-(Q35+R35)))</f>
        <v>142636.1867537513</v>
      </c>
      <c r="U35" s="80">
        <f>P35</f>
        <v>42856</v>
      </c>
      <c r="V35" s="97">
        <f ca="1">IF(U35&lt;$A$4,0,(YEARFRAC($A$4,U35,1)))</f>
        <v>1.0615595075239399</v>
      </c>
      <c r="W35" s="141">
        <f ca="1">V35*(S34-S35)</f>
        <v>11214.303606526695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43040</v>
      </c>
      <c r="F36" s="74">
        <f ca="1">MAX(IF(ISERROR(VLOOKUP(E36,$A$12:$B$52,2,0)),VLOOKUP(E36,$P$11:$S$52,4,0)/1000000,(VLOOKUP(E36,$A$12:$B$52,2,0))),0)</f>
        <v>0.13233663502331186</v>
      </c>
      <c r="G36" s="128">
        <f ca="1">F36*1000000</f>
        <v>132336.63502331186</v>
      </c>
      <c r="I36" s="80">
        <f>E36</f>
        <v>43040</v>
      </c>
      <c r="J36" s="205">
        <f>$M$12*$N$7</f>
        <v>41053.129999999997</v>
      </c>
      <c r="K36" s="88">
        <f>($F$7/360)*($O$2/100)*M35</f>
        <v>14866.173372382929</v>
      </c>
      <c r="L36" s="90">
        <f>J36-K36</f>
        <v>26186.956627617066</v>
      </c>
      <c r="M36" s="79">
        <f>M35-L36</f>
        <v>528521.0050284625</v>
      </c>
      <c r="N36" s="126">
        <f>L36/M35</f>
        <v>4.7208546546611586E-2</v>
      </c>
      <c r="O36" s="52"/>
      <c r="P36" s="80">
        <f>I36</f>
        <v>43040</v>
      </c>
      <c r="Q36" s="97">
        <f ca="1">S35*N36</f>
        <v>6733.6470615956514</v>
      </c>
      <c r="R36" s="98">
        <f ca="1">S35*$C$2/2</f>
        <v>3565.9046688437829</v>
      </c>
      <c r="S36" s="99">
        <f ca="1">IF(P36&lt;$A$4,(VLOOKUP(P36,$A$11:$B$52,2,0)*$S$12),(S35-(Q36+R36)))</f>
        <v>132336.63502331186</v>
      </c>
      <c r="U36" s="80">
        <f>P36</f>
        <v>43040</v>
      </c>
      <c r="V36" s="97">
        <f ca="1">IF(U36&lt;$A$4,0,(YEARFRAC($A$4,U36,1)))</f>
        <v>1.5649794801641588</v>
      </c>
      <c r="W36" s="141">
        <f ca="1">V36*(S35-S36)</f>
        <v>16118.587113026984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43221</v>
      </c>
      <c r="F37" s="74">
        <f ca="1">MAX(IF(ISERROR(VLOOKUP(E37,$A$12:$B$52,2,0)),VLOOKUP(E37,$P$11:$S$52,4,0)/1000000,(VLOOKUP(E37,$A$12:$B$52,2,0))),0)</f>
        <v>0.12229552750542146</v>
      </c>
      <c r="G37" s="128">
        <f ca="1">F37*1000000</f>
        <v>122295.52750542146</v>
      </c>
      <c r="I37" s="80">
        <f>E37</f>
        <v>43221</v>
      </c>
      <c r="J37" s="205">
        <f>$M$12*$N$7</f>
        <v>41053.129999999997</v>
      </c>
      <c r="K37" s="88">
        <f>($F$7/360)*($O$2/100)*M36</f>
        <v>14164.362934762794</v>
      </c>
      <c r="L37" s="90">
        <f>J37-K37</f>
        <v>26888.767065237203</v>
      </c>
      <c r="M37" s="79">
        <f>M36-L37</f>
        <v>501632.23796322529</v>
      </c>
      <c r="N37" s="126">
        <f>L37/M36</f>
        <v>5.0875493706800091E-2</v>
      </c>
      <c r="O37" s="52"/>
      <c r="P37" s="80">
        <f>I37</f>
        <v>43221</v>
      </c>
      <c r="Q37" s="97">
        <f ca="1">S36*N37</f>
        <v>6732.6916423076027</v>
      </c>
      <c r="R37" s="98">
        <f ca="1">S36*$C$2/2</f>
        <v>3308.4158755827966</v>
      </c>
      <c r="S37" s="99">
        <f ca="1">IF(P37&lt;$A$4,(VLOOKUP(P37,$A$11:$B$52,2,0)*$S$12),(S36-(Q37+R37)))</f>
        <v>122295.52750542146</v>
      </c>
      <c r="U37" s="80">
        <f>P37</f>
        <v>43221</v>
      </c>
      <c r="V37" s="97">
        <f ca="1">IF(U37&lt;$A$4,0,(YEARFRAC($A$4,U37,1)))</f>
        <v>2.0611313868613141</v>
      </c>
      <c r="W37" s="141">
        <f ca="1">V37*(S36-S37)</f>
        <v>20696.041863973005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43405</v>
      </c>
      <c r="F38" s="74">
        <f ca="1">MAX(IF(ISERROR(VLOOKUP(E38,$A$12:$B$52,2,0)),VLOOKUP(E38,$P$11:$S$52,4,0)/1000000,(VLOOKUP(E38,$A$12:$B$52,2,0))),0)</f>
        <v>0.11250710376583951</v>
      </c>
      <c r="G38" s="128">
        <f ca="1">F38*1000000</f>
        <v>112507.10376583951</v>
      </c>
      <c r="I38" s="80">
        <f>E38</f>
        <v>43405</v>
      </c>
      <c r="J38" s="205">
        <f>$M$12*$N$7</f>
        <v>41053.129999999997</v>
      </c>
      <c r="K38" s="88">
        <f>($F$7/360)*($O$2/100)*M37</f>
        <v>13443.743977414437</v>
      </c>
      <c r="L38" s="90">
        <f>J38-K38</f>
        <v>27609.386022585561</v>
      </c>
      <c r="M38" s="79">
        <f>M37-L38</f>
        <v>474022.85194063972</v>
      </c>
      <c r="N38" s="126">
        <f>L38/M37</f>
        <v>5.5039098233972766E-2</v>
      </c>
      <c r="O38" s="52"/>
      <c r="P38" s="80">
        <f>I38</f>
        <v>43405</v>
      </c>
      <c r="Q38" s="97">
        <f ca="1">S37*N38</f>
        <v>6731.0355519464101</v>
      </c>
      <c r="R38" s="98">
        <f ca="1">S37*$C$2/2</f>
        <v>3057.3881876355367</v>
      </c>
      <c r="S38" s="99">
        <f ca="1">IF(P38&lt;$A$4,(VLOOKUP(P38,$A$11:$B$52,2,0)*$S$12),(S37-(Q38+R38)))</f>
        <v>112507.10376583951</v>
      </c>
      <c r="U38" s="80">
        <f>P38</f>
        <v>43405</v>
      </c>
      <c r="V38" s="97">
        <f ca="1">IF(U38&lt;$A$4,0,(YEARFRAC($A$4,U38,1)))</f>
        <v>2.5647810218978102</v>
      </c>
      <c r="W38" s="141">
        <f ca="1">V38*(S37-S38)</f>
        <v>25105.163441573783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43586</v>
      </c>
      <c r="F39" s="74">
        <f ca="1">MAX(IF(ISERROR(VLOOKUP(E39,$A$12:$B$52,2,0)),VLOOKUP(E39,$P$11:$S$52,4,0)/1000000,(VLOOKUP(E39,$A$12:$B$52,2,0))),0)</f>
        <v>0.10296584842432345</v>
      </c>
      <c r="G39" s="128">
        <f ca="1">F39*1000000</f>
        <v>102965.84842432346</v>
      </c>
      <c r="I39" s="80">
        <f>E39</f>
        <v>43586</v>
      </c>
      <c r="J39" s="205">
        <f>$M$12*$N$7</f>
        <v>41053.129999999997</v>
      </c>
      <c r="K39" s="88">
        <f>($F$7/360)*($O$2/100)*M38</f>
        <v>12703.812432009143</v>
      </c>
      <c r="L39" s="90">
        <f>J39-K39</f>
        <v>28349.317567990853</v>
      </c>
      <c r="M39" s="79">
        <f>M38-L39</f>
        <v>445673.53437264886</v>
      </c>
      <c r="N39" s="126">
        <f>L39/M38</f>
        <v>5.9805803563961812E-2</v>
      </c>
      <c r="O39" s="52"/>
      <c r="P39" s="80">
        <f>I39</f>
        <v>43586</v>
      </c>
      <c r="Q39" s="97">
        <f ca="1">S38*N39</f>
        <v>6728.5777473700655</v>
      </c>
      <c r="R39" s="98">
        <f ca="1">S38*$C$2/2</f>
        <v>2812.6775941459878</v>
      </c>
      <c r="S39" s="99">
        <f ca="1">IF(P39&lt;$A$4,(VLOOKUP(P39,$A$11:$B$52,2,0)*$S$12),(S38-(Q39+R39)))</f>
        <v>102965.84842432346</v>
      </c>
      <c r="U39" s="80">
        <f>P39</f>
        <v>43586</v>
      </c>
      <c r="V39" s="97">
        <f ca="1">IF(U39&lt;$A$4,0,(YEARFRAC($A$4,U39,1)))</f>
        <v>3.0609171800136892</v>
      </c>
      <c r="W39" s="141">
        <f ca="1">V39*(S38-S39)</f>
        <v>29204.992393743858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43770</v>
      </c>
      <c r="F40" s="74">
        <f ca="1">MAX(IF(ISERROR(VLOOKUP(E40,$A$12:$B$52,2,0)),VLOOKUP(E40,$P$11:$S$52,4,0)/1000000,(VLOOKUP(E40,$A$12:$B$52,2,0))),0)</f>
        <v>9.3666508066809318E-2</v>
      </c>
      <c r="G40" s="128">
        <f ca="1">F40*1000000</f>
        <v>93666.508066809314</v>
      </c>
      <c r="I40" s="80">
        <f>E40</f>
        <v>43770</v>
      </c>
      <c r="J40" s="205">
        <f>$M$12*$N$7</f>
        <v>41053.129999999997</v>
      </c>
      <c r="K40" s="88">
        <f>($F$7/360)*($O$2/100)*M39</f>
        <v>11944.050721186988</v>
      </c>
      <c r="L40" s="90">
        <f>J40-K40</f>
        <v>29109.079278813009</v>
      </c>
      <c r="M40" s="79">
        <f>M39-L40</f>
        <v>416564.45509383583</v>
      </c>
      <c r="N40" s="126">
        <f>L40/M39</f>
        <v>6.5314803401526469E-2</v>
      </c>
      <c r="O40" s="52"/>
      <c r="P40" s="80">
        <f>I40</f>
        <v>43770</v>
      </c>
      <c r="Q40" s="97">
        <f ca="1">S39*N40</f>
        <v>6725.1941469060603</v>
      </c>
      <c r="R40" s="98">
        <f ca="1">S39*$C$2/2</f>
        <v>2574.1462106080867</v>
      </c>
      <c r="S40" s="99">
        <f ca="1">IF(P40&lt;$A$4,(VLOOKUP(P40,$A$11:$B$52,2,0)*$S$12),(S39-(Q40+R40)))</f>
        <v>93666.508066809314</v>
      </c>
      <c r="U40" s="80">
        <f>P40</f>
        <v>43770</v>
      </c>
      <c r="V40" s="97">
        <f ca="1">IF(U40&lt;$A$4,0,(YEARFRAC($A$4,U40,1)))</f>
        <v>3.5646817248459959</v>
      </c>
      <c r="W40" s="141">
        <f ca="1">V40*(S39-S40)</f>
        <v>33149.188625553492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43952</v>
      </c>
      <c r="F41" s="74">
        <f ca="1">MAX(IF(ISERROR(VLOOKUP(E41,$A$12:$B$52,2,0)),VLOOKUP(E41,$P$11:$S$52,4,0)/1000000,(VLOOKUP(E41,$A$12:$B$52,2,0))),0)</f>
        <v>8.4604115349566342E-2</v>
      </c>
      <c r="G41" s="128">
        <f ca="1">F41*1000000</f>
        <v>84604.115349566346</v>
      </c>
      <c r="I41" s="80">
        <f>E41</f>
        <v>43952</v>
      </c>
      <c r="J41" s="205">
        <f>$M$12*$N$7</f>
        <v>41053.129999999997</v>
      </c>
      <c r="K41" s="88">
        <f>($F$7/360)*($O$2/100)*M40</f>
        <v>11163.927396514799</v>
      </c>
      <c r="L41" s="90">
        <f>J41-K41</f>
        <v>29889.202603485199</v>
      </c>
      <c r="M41" s="79">
        <f>M40-L41</f>
        <v>386675.25249035063</v>
      </c>
      <c r="N41" s="126">
        <f>L41/M40</f>
        <v>7.1751687495161628E-2</v>
      </c>
      <c r="O41" s="52"/>
      <c r="P41" s="80">
        <f>I41</f>
        <v>43952</v>
      </c>
      <c r="Q41" s="97">
        <f ca="1">S40*N41</f>
        <v>6720.730015572738</v>
      </c>
      <c r="R41" s="98">
        <f ca="1">S40*$C$2/2</f>
        <v>2341.6627016702328</v>
      </c>
      <c r="S41" s="99">
        <f ca="1">IF(P41&lt;$A$4,(VLOOKUP(P41,$A$11:$B$52,2,0)*$S$12),(S40-(Q41+R41)))</f>
        <v>84604.115349566346</v>
      </c>
      <c r="U41" s="80">
        <f>P41</f>
        <v>43952</v>
      </c>
      <c r="V41" s="97">
        <f ca="1">IF(U41&lt;$A$4,0,(YEARFRAC($A$4,U41,1)))</f>
        <v>4.0613026819923377</v>
      </c>
      <c r="W41" s="141">
        <f ca="1">V41*(S40-S41)</f>
        <v>36805.119847806694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44136</v>
      </c>
      <c r="F42" s="74">
        <f ca="1">MAX(IF(ISERROR(VLOOKUP(E42,$A$12:$B$52,2,0)),VLOOKUP(E42,$P$11:$S$52,4,0)/1000000,(VLOOKUP(E42,$A$12:$B$52,2,0))),0)</f>
        <v>7.5774023554980086E-2</v>
      </c>
      <c r="G42" s="128">
        <f ca="1">F42*1000000</f>
        <v>75774.023554980085</v>
      </c>
      <c r="I42" s="80">
        <f>E42</f>
        <v>44136</v>
      </c>
      <c r="J42" s="205">
        <f>$M$12*$N$7</f>
        <v>41053.129999999997</v>
      </c>
      <c r="K42" s="88">
        <f>($F$7/360)*($O$2/100)*M41</f>
        <v>10362.896766741396</v>
      </c>
      <c r="L42" s="90">
        <f>J42-K42</f>
        <v>30690.233233258601</v>
      </c>
      <c r="M42" s="79">
        <f>M41-L42</f>
        <v>355985.01925709203</v>
      </c>
      <c r="N42" s="126">
        <f>L42/M41</f>
        <v>7.9369530466717589E-2</v>
      </c>
      <c r="O42" s="52"/>
      <c r="P42" s="80">
        <f>I42</f>
        <v>44136</v>
      </c>
      <c r="Q42" s="97">
        <f ca="1">S41*N42</f>
        <v>6714.9889108470952</v>
      </c>
      <c r="R42" s="98">
        <f ca="1">S41*$C$2/2</f>
        <v>2115.1028837391586</v>
      </c>
      <c r="S42" s="99">
        <f ca="1">IF(P42&lt;$A$4,(VLOOKUP(P42,$A$11:$B$52,2,0)*$S$12),(S41-(Q42+R42)))</f>
        <v>75774.023554980085</v>
      </c>
      <c r="U42" s="80">
        <f>P42</f>
        <v>44136</v>
      </c>
      <c r="V42" s="97">
        <f ca="1">IF(U42&lt;$A$4,0,(YEARFRAC($A$4,U42,1)))</f>
        <v>4.5648604269293926</v>
      </c>
      <c r="W42" s="141">
        <f ca="1">V42*(S41-S42)</f>
        <v>40308.136599260761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44317</v>
      </c>
      <c r="F43" s="74">
        <f ca="1">MAX(IF(ISERROR(VLOOKUP(E43,$A$12:$B$52,2,0)),VLOOKUP(E43,$P$11:$S$52,4,0)/1000000,(VLOOKUP(E43,$A$12:$B$52,2,0))),0)</f>
        <v>6.7171956830390747E-2</v>
      </c>
      <c r="G43" s="128">
        <f ca="1">F43*1000000</f>
        <v>67171.956830390744</v>
      </c>
      <c r="I43" s="80">
        <f>E43</f>
        <v>44317</v>
      </c>
      <c r="J43" s="205">
        <f>$M$12*$N$7</f>
        <v>41053.129999999997</v>
      </c>
      <c r="K43" s="88">
        <f>($F$7/360)*($O$2/100)*M42</f>
        <v>9540.3985160900647</v>
      </c>
      <c r="L43" s="90">
        <f>J43-K43</f>
        <v>31512.731483909934</v>
      </c>
      <c r="M43" s="79">
        <f>M42-L43</f>
        <v>324472.28777318209</v>
      </c>
      <c r="N43" s="126">
        <f>L43/M42</f>
        <v>8.8522633760471453E-2</v>
      </c>
      <c r="O43" s="52"/>
      <c r="P43" s="80">
        <f>I43</f>
        <v>44317</v>
      </c>
      <c r="Q43" s="97">
        <f ca="1">S42*N43</f>
        <v>6707.7161357148389</v>
      </c>
      <c r="R43" s="98">
        <f ca="1">S42*$C$2/2</f>
        <v>1894.3505888745021</v>
      </c>
      <c r="S43" s="99">
        <f ca="1">IF(P43&lt;$A$4,(VLOOKUP(P43,$A$11:$B$52,2,0)*$S$12),(S42-(Q43+R43)))</f>
        <v>67171.956830390744</v>
      </c>
      <c r="U43" s="80">
        <f>P43</f>
        <v>44317</v>
      </c>
      <c r="V43" s="97">
        <f ca="1">IF(U43&lt;$A$4,0,(YEARFRAC($A$4,U43,1)))</f>
        <v>5.0611313868613141</v>
      </c>
      <c r="W43" s="141">
        <f ca="1">V43*(S42-S43)</f>
        <v>43536.189891694419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44501</v>
      </c>
      <c r="F44" s="74">
        <f ca="1">MAX(IF(ISERROR(VLOOKUP(E44,$A$12:$B$52,2,0)),VLOOKUP(E44,$P$11:$S$52,4,0)/1000000,(VLOOKUP(E44,$A$12:$B$52,2,0))),0)</f>
        <v>5.8794084854155458E-2</v>
      </c>
      <c r="G44" s="128">
        <f ca="1">F44*1000000</f>
        <v>58794.084854155459</v>
      </c>
      <c r="I44" s="80">
        <f>E44</f>
        <v>44501</v>
      </c>
      <c r="J44" s="205">
        <f>$M$12*$N$7</f>
        <v>41053.129999999997</v>
      </c>
      <c r="K44" s="88">
        <f>($F$7/360)*($O$2/100)*M43</f>
        <v>8695.8573123212791</v>
      </c>
      <c r="L44" s="90">
        <f>J44-K44</f>
        <v>32357.27268767872</v>
      </c>
      <c r="M44" s="79">
        <f>M43-L44</f>
        <v>292115.01508550334</v>
      </c>
      <c r="N44" s="126">
        <f>L44/M43</f>
        <v>9.9722761872032745E-2</v>
      </c>
      <c r="O44" s="52"/>
      <c r="P44" s="80">
        <f>I44</f>
        <v>44501</v>
      </c>
      <c r="Q44" s="97">
        <f ca="1">S43*N44</f>
        <v>6698.5730554755191</v>
      </c>
      <c r="R44" s="98">
        <f ca="1">S43*$C$2/2</f>
        <v>1679.2989207597686</v>
      </c>
      <c r="S44" s="99">
        <f ca="1">IF(P44&lt;$A$4,(VLOOKUP(P44,$A$11:$B$52,2,0)*$S$12),(S43-(Q44+R44)))</f>
        <v>58794.084854155459</v>
      </c>
      <c r="U44" s="80">
        <f>P44</f>
        <v>44501</v>
      </c>
      <c r="V44" s="97">
        <f ca="1">IF(U44&lt;$A$4,0,(YEARFRAC($A$4,U44,1)))</f>
        <v>5.5647810218978107</v>
      </c>
      <c r="W44" s="141">
        <f ca="1">V44*(S43-S44)</f>
        <v>46621.022977243621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44682</v>
      </c>
      <c r="F45" s="74">
        <f ca="1">MAX(IF(ISERROR(VLOOKUP(E45,$A$12:$B$52,2,0)),VLOOKUP(E45,$P$11:$S$52,4,0)/1000000,(VLOOKUP(E45,$A$12:$B$52,2,0))),0)</f>
        <v>5.0637137272806956E-2</v>
      </c>
      <c r="G45" s="128">
        <f ca="1">F45*1000000</f>
        <v>50637.137272806955</v>
      </c>
      <c r="I45" s="80">
        <f>E45</f>
        <v>44682</v>
      </c>
      <c r="J45" s="205">
        <f>$M$12*$N$7</f>
        <v>41053.129999999997</v>
      </c>
      <c r="K45" s="88">
        <f>($F$7/360)*($O$2/100)*M44</f>
        <v>7828.6824042914886</v>
      </c>
      <c r="L45" s="90">
        <f>J45-K45</f>
        <v>33224.447595708509</v>
      </c>
      <c r="M45" s="79">
        <f>M44-L45</f>
        <v>258890.56748979483</v>
      </c>
      <c r="N45" s="126">
        <f>L45/M44</f>
        <v>0.11373755500374935</v>
      </c>
      <c r="O45" s="52"/>
      <c r="P45" s="80">
        <f>I45</f>
        <v>44682</v>
      </c>
      <c r="Q45" s="97">
        <f ca="1">S44*N45</f>
        <v>6687.0954599946135</v>
      </c>
      <c r="R45" s="98">
        <f ca="1">S44*$C$2/2</f>
        <v>1469.8521213538866</v>
      </c>
      <c r="S45" s="99">
        <f ca="1">IF(P45&lt;$A$4,(VLOOKUP(P45,$A$11:$B$52,2,0)*$S$12),(S44-(Q45+R45)))</f>
        <v>50637.137272806955</v>
      </c>
      <c r="U45" s="80">
        <f>P45</f>
        <v>44682</v>
      </c>
      <c r="V45" s="97">
        <f ca="1">IF(U45&lt;$A$4,0,(YEARFRAC($A$4,U45,1)))</f>
        <v>6.0610089949159169</v>
      </c>
      <c r="W45" s="141">
        <f ca="1">V45*(S44-S45)</f>
        <v>49439.332661610919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44866</v>
      </c>
      <c r="F46" s="74">
        <f ca="1">MAX(IF(ISERROR(VLOOKUP(E46,$A$12:$B$52,2,0)),VLOOKUP(E46,$P$11:$S$52,4,0)/1000000,(VLOOKUP(E46,$A$12:$B$52,2,0))),0)</f>
        <v>4.269858647797703E-2</v>
      </c>
      <c r="G46" s="128">
        <f ca="1">F46*1000000</f>
        <v>42698.586477977027</v>
      </c>
      <c r="I46" s="80">
        <f>E46</f>
        <v>44866</v>
      </c>
      <c r="J46" s="205">
        <f>$M$12*$N$7</f>
        <v>41053.129999999997</v>
      </c>
      <c r="K46" s="88">
        <f>($F$7/360)*($O$2/100)*M45</f>
        <v>6938.2672087265009</v>
      </c>
      <c r="L46" s="90">
        <f>J46-K46</f>
        <v>34114.862791273496</v>
      </c>
      <c r="M46" s="79">
        <f>M45-L46</f>
        <v>224775.70469852135</v>
      </c>
      <c r="N46" s="126">
        <f>L46/M45</f>
        <v>0.13177329372039892</v>
      </c>
      <c r="O46" s="52"/>
      <c r="P46" s="80">
        <f>I46</f>
        <v>44866</v>
      </c>
      <c r="Q46" s="97">
        <f ca="1">S45*N46</f>
        <v>6672.6223630097511</v>
      </c>
      <c r="R46" s="98">
        <f ca="1">S45*$C$2/2</f>
        <v>1265.928431820174</v>
      </c>
      <c r="S46" s="99">
        <f ca="1">IF(P46&lt;$A$4,(VLOOKUP(P46,$A$11:$B$52,2,0)*$S$12),(S45-(Q46+R46)))</f>
        <v>42698.586477977027</v>
      </c>
      <c r="U46" s="80">
        <f>P46</f>
        <v>44866</v>
      </c>
      <c r="V46" s="97">
        <f ca="1">IF(U46&lt;$A$4,0,(YEARFRAC($A$4,U46,1)))</f>
        <v>6.564724286272976</v>
      </c>
      <c r="W46" s="141">
        <f ca="1">V46*(S45-S46)</f>
        <v>52114.397200631662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45047</v>
      </c>
      <c r="F47" s="74">
        <f ca="1">MAX(IF(ISERROR(VLOOKUP(E47,$A$12:$B$52,2,0)),VLOOKUP(E47,$P$11:$S$52,4,0)/1000000,(VLOOKUP(E47,$A$12:$B$52,2,0))),0)</f>
        <v>3.4976955997195545E-2</v>
      </c>
      <c r="G47" s="128">
        <f ca="1">F47*1000000</f>
        <v>34976.955997195546</v>
      </c>
      <c r="I47" s="80">
        <f>E47</f>
        <v>45047</v>
      </c>
      <c r="J47" s="205">
        <f>$M$12*$N$7</f>
        <v>41053.129999999997</v>
      </c>
      <c r="K47" s="88">
        <f>($F$7/360)*($O$2/100)*M46</f>
        <v>6023.988885920372</v>
      </c>
      <c r="L47" s="90">
        <f>J47-K47</f>
        <v>35029.141114079626</v>
      </c>
      <c r="M47" s="79">
        <f>M46-L47</f>
        <v>189746.56358444173</v>
      </c>
      <c r="N47" s="126">
        <f>L47/M46</f>
        <v>0.15584042395089889</v>
      </c>
      <c r="O47" s="52"/>
      <c r="P47" s="80">
        <f>I47</f>
        <v>45047</v>
      </c>
      <c r="Q47" s="97">
        <f ca="1">S46*N47</f>
        <v>6654.1658188320589</v>
      </c>
      <c r="R47" s="98">
        <f ca="1">S46*$C$2/2</f>
        <v>1067.4646619494258</v>
      </c>
      <c r="S47" s="99">
        <f ca="1">IF(P47&lt;$A$4,(VLOOKUP(P47,$A$11:$B$52,2,0)*$S$12),(S46-(Q47+R47)))</f>
        <v>34976.955997195546</v>
      </c>
      <c r="U47" s="80">
        <f>P47</f>
        <v>45047</v>
      </c>
      <c r="V47" s="97">
        <f ca="1">IF(U47&lt;$A$4,0,(YEARFRAC($A$4,U47,1)))</f>
        <v>7.0609171800136892</v>
      </c>
      <c r="W47" s="141">
        <f ca="1">V47*(S46-S47)</f>
        <v>54521.793319467324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45231</v>
      </c>
      <c r="F48" s="74">
        <f ca="1">MAX(IF(ISERROR(VLOOKUP(E48,$A$12:$B$52,2,0)),VLOOKUP(E48,$P$11:$S$52,4,0)/1000000,(VLOOKUP(E48,$A$12:$B$52,2,0))),0)</f>
        <v>2.747238078018906E-2</v>
      </c>
      <c r="G48" s="128">
        <f ca="1">F48*1000000</f>
        <v>27472.380780189062</v>
      </c>
      <c r="I48" s="80">
        <f>E48</f>
        <v>45231</v>
      </c>
      <c r="J48" s="205">
        <f>$M$12*$N$7</f>
        <v>41053.129999999997</v>
      </c>
      <c r="K48" s="88">
        <f>($F$7/360)*($O$2/100)*M47</f>
        <v>5085.2079040630379</v>
      </c>
      <c r="L48" s="90">
        <f>J48-K48</f>
        <v>35967.922095936956</v>
      </c>
      <c r="M48" s="79">
        <f>M47-L48</f>
        <v>153778.64148850477</v>
      </c>
      <c r="N48" s="126">
        <f>L48/M47</f>
        <v>0.18955769957820806</v>
      </c>
      <c r="O48" s="52"/>
      <c r="P48" s="80">
        <f>I48</f>
        <v>45231</v>
      </c>
      <c r="Q48" s="97">
        <f ca="1">S47*N48</f>
        <v>6630.1513170765957</v>
      </c>
      <c r="R48" s="98">
        <f ca="1">S47*$C$2/2</f>
        <v>874.42389992988865</v>
      </c>
      <c r="S48" s="99">
        <f ca="1">IF(P48&lt;$A$4,(VLOOKUP(P48,$A$11:$B$52,2,0)*$S$12),(S47-(Q48+R48)))</f>
        <v>27472.380780189062</v>
      </c>
      <c r="U48" s="80">
        <f>P48</f>
        <v>45231</v>
      </c>
      <c r="V48" s="97">
        <f ca="1">IF(U48&lt;$A$4,0,(YEARFRAC($A$4,U48,1)))</f>
        <v>7.5646817248459959</v>
      </c>
      <c r="W48" s="141">
        <f ca="1">V48*(S47-S48)</f>
        <v>56769.722996821125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45413</v>
      </c>
      <c r="F49" s="74">
        <f ca="1">MAX(IF(ISERROR(VLOOKUP(E49,$A$12:$B$52,2,0)),VLOOKUP(E49,$P$11:$S$52,4,0)/1000000,(VLOOKUP(E49,$A$12:$B$52,2,0))),0)</f>
        <v>2.0187735714888216E-2</v>
      </c>
      <c r="G49" s="128">
        <f ca="1">F49*1000000</f>
        <v>20187.735714888215</v>
      </c>
      <c r="I49" s="80">
        <f>E49</f>
        <v>45413</v>
      </c>
      <c r="J49" s="205">
        <f>$M$12*$N$7</f>
        <v>41053.129999999997</v>
      </c>
      <c r="K49" s="88">
        <f>($F$7/360)*($O$2/100)*M48</f>
        <v>4121.2675918919276</v>
      </c>
      <c r="L49" s="90">
        <f>J49-K49</f>
        <v>36931.862408108071</v>
      </c>
      <c r="M49" s="79">
        <f>M48-L49</f>
        <v>116846.77908039669</v>
      </c>
      <c r="N49" s="126">
        <f>L49/M48</f>
        <v>0.24016249623891231</v>
      </c>
      <c r="O49" s="52"/>
      <c r="P49" s="80">
        <f>I49</f>
        <v>45413</v>
      </c>
      <c r="Q49" s="97">
        <f ca="1">S48*N49</f>
        <v>6597.8355457961225</v>
      </c>
      <c r="R49" s="98">
        <f ca="1">S48*$C$2/2</f>
        <v>686.80951950472661</v>
      </c>
      <c r="S49" s="99">
        <f ca="1">IF(P49&lt;$A$4,(VLOOKUP(P49,$A$11:$B$52,2,0)*$S$12),(S48-(Q49+R49)))</f>
        <v>20187.735714888215</v>
      </c>
      <c r="U49" s="80">
        <f>P49</f>
        <v>45413</v>
      </c>
      <c r="V49" s="97">
        <f ca="1">IF(U49&lt;$A$4,0,(YEARFRAC($A$4,U49,1)))</f>
        <v>8.0611313868613141</v>
      </c>
      <c r="W49" s="141">
        <f ca="1">V49*(S48-S49)</f>
        <v>58722.480978041043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45597</v>
      </c>
      <c r="F50" s="74">
        <f ca="1">MAX(IF(ISERROR(VLOOKUP(E50,$A$12:$B$52,2,0)),VLOOKUP(E50,$P$11:$S$52,4,0)/1000000,(VLOOKUP(E50,$A$12:$B$52,2,0))),0)</f>
        <v>1.3131283018573379E-2</v>
      </c>
      <c r="G50" s="128">
        <f ca="1">F50*1000000</f>
        <v>13131.28301857338</v>
      </c>
      <c r="I50" s="80">
        <f>E50</f>
        <v>45597</v>
      </c>
      <c r="J50" s="205">
        <f>$M$12*$N$7</f>
        <v>41053.129999999997</v>
      </c>
      <c r="K50" s="88">
        <f>($F$7/360)*($O$2/100)*M49</f>
        <v>3131.4936793546312</v>
      </c>
      <c r="L50" s="90">
        <f>J50-K50</f>
        <v>37921.636320645368</v>
      </c>
      <c r="M50" s="79">
        <f>M49-L50</f>
        <v>78925.142759751325</v>
      </c>
      <c r="N50" s="126">
        <f>L50/M49</f>
        <v>0.32454156305458193</v>
      </c>
      <c r="O50" s="52"/>
      <c r="P50" s="80">
        <f>I50</f>
        <v>45597</v>
      </c>
      <c r="Q50" s="97">
        <f ca="1">S49*N50</f>
        <v>6551.7593034426291</v>
      </c>
      <c r="R50" s="98">
        <f ca="1">S49*$C$2/2</f>
        <v>504.69339287220538</v>
      </c>
      <c r="S50" s="99">
        <f ca="1">IF(P50&lt;$A$4,(VLOOKUP(P50,$A$11:$B$52,2,0)*$S$12),(S49-(Q50+R50)))</f>
        <v>13131.28301857338</v>
      </c>
      <c r="U50" s="80">
        <f>P50</f>
        <v>45597</v>
      </c>
      <c r="V50" s="97">
        <f ca="1">IF(U50&lt;$A$4,0,(YEARFRAC($A$4,U50,1)))</f>
        <v>8.5647810218978115</v>
      </c>
      <c r="W50" s="141">
        <f ca="1">V50*(S49-S50)</f>
        <v>60436.972135316937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45778</v>
      </c>
      <c r="F51" s="74">
        <f ca="1">MAX(IF(ISERROR(VLOOKUP(E51,$A$12:$B$52,2,0)),VLOOKUP(E51,$P$11:$S$52,4,0)/1000000,(VLOOKUP(E51,$A$12:$B$52,2,0))),0)</f>
        <v>6.3246463632907479E-3</v>
      </c>
      <c r="G51" s="128">
        <f ca="1">F51*1000000</f>
        <v>6324.646363290748</v>
      </c>
      <c r="I51" s="80">
        <f>E51</f>
        <v>45778</v>
      </c>
      <c r="J51" s="205">
        <f>$M$12*$N$7</f>
        <v>41053.129999999997</v>
      </c>
      <c r="K51" s="88">
        <f>($F$7/360)*($O$2/100)*M50</f>
        <v>2115.1938259613353</v>
      </c>
      <c r="L51" s="90">
        <f>J51-K51</f>
        <v>38937.936174038659</v>
      </c>
      <c r="M51" s="79">
        <f>M50-L51</f>
        <v>39987.206585712665</v>
      </c>
      <c r="N51" s="126">
        <f>L51/M50</f>
        <v>0.49335274935854095</v>
      </c>
      <c r="O51" s="52"/>
      <c r="P51" s="80">
        <f>I51</f>
        <v>45778</v>
      </c>
      <c r="Q51" s="97">
        <f ca="1">S50*N51</f>
        <v>6478.3545798182977</v>
      </c>
      <c r="R51" s="98">
        <f ca="1">S50*$C$2/2</f>
        <v>328.28207546433453</v>
      </c>
      <c r="S51" s="99">
        <f ca="1">IF(P51&lt;$A$4,(VLOOKUP(P51,$A$11:$B$52,2,0)*$S$12),(S50-(Q51+R51)))</f>
        <v>6324.646363290748</v>
      </c>
      <c r="U51" s="80">
        <f>P51</f>
        <v>45778</v>
      </c>
      <c r="V51" s="97">
        <f ca="1">IF(U51&lt;$A$4,0,(YEARFRAC($A$4,U51,1)))</f>
        <v>9.0610457158499855</v>
      </c>
      <c r="W51" s="141">
        <f ca="1">V51*(S50-S51)</f>
        <v>61675.245904696167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45962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45962</v>
      </c>
      <c r="J52" s="206">
        <f>$M$12*$N$7</f>
        <v>41053.129999999997</v>
      </c>
      <c r="K52" s="89">
        <f>($F$7/360)*($O$2/100)*M51</f>
        <v>1071.6571364970994</v>
      </c>
      <c r="L52" s="91">
        <f>J52-K52</f>
        <v>39981.472863502895</v>
      </c>
      <c r="M52" s="85">
        <f>M51-L52</f>
        <v>5.7337222097703489</v>
      </c>
      <c r="N52" s="127">
        <f>L52/M51</f>
        <v>0.99985661108391055</v>
      </c>
      <c r="O52" s="86"/>
      <c r="P52" s="84">
        <f>I52</f>
        <v>45962</v>
      </c>
      <c r="Q52" s="100">
        <f ca="1">S51*N52</f>
        <v>6323.739479104067</v>
      </c>
      <c r="R52" s="98">
        <f ca="1">S51*$C$2/2</f>
        <v>158.11615908226872</v>
      </c>
      <c r="S52" s="102">
        <v>0</v>
      </c>
      <c r="U52" s="142">
        <f>P52</f>
        <v>45962</v>
      </c>
      <c r="V52" s="143">
        <f ca="1">IF(U52&lt;$A$4,0,(YEARFRAC($A$4,U52,1)))</f>
        <v>9.5647413085135504</v>
      </c>
      <c r="W52" s="141">
        <f ca="1">V52*(S51-S52)</f>
        <v>60493.606332707015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35" priority="1" stopIfTrue="1">
      <formula>$D1="Actual"</formula>
    </cfRule>
  </conditionalFormatting>
  <conditionalFormatting sqref="A4">
    <cfRule type="expression" dxfId="34" priority="2" stopIfTrue="1">
      <formula>#REF!="Actual"</formula>
    </cfRule>
  </conditionalFormatting>
  <conditionalFormatting sqref="C6:C9">
    <cfRule type="cellIs" dxfId="33" priority="3" stopIfTrue="1" operator="equal">
      <formula>"PROB!!"</formula>
    </cfRule>
  </conditionalFormatting>
  <conditionalFormatting sqref="A7">
    <cfRule type="expression" dxfId="32" priority="4" stopIfTrue="1">
      <formula>A7="Warning - Update"</formula>
    </cfRule>
  </conditionalFormatting>
  <hyperlinks>
    <hyperlink ref="A1" location="'Text File Generator'!A1" display="Security ID per Summit"/>
  </hyperlinks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indexed="40"/>
  </sheetPr>
  <dimension ref="A1:W54"/>
  <sheetViews>
    <sheetView workbookViewId="0"/>
  </sheetViews>
  <sheetFormatPr defaultRowHeight="12.75"/>
  <cols>
    <col min="1" max="1" width="22.42578125" style="224" bestFit="1" customWidth="1"/>
    <col min="2" max="2" width="15.7109375" style="224" bestFit="1" customWidth="1"/>
    <col min="3" max="3" width="10.42578125" style="224" bestFit="1" customWidth="1"/>
    <col min="4" max="4" width="14" style="224" bestFit="1" customWidth="1"/>
    <col min="5" max="5" width="10.28515625" style="224" bestFit="1" customWidth="1"/>
    <col min="6" max="6" width="16" style="224" bestFit="1" customWidth="1"/>
    <col min="7" max="7" width="12.28515625" style="225" bestFit="1" customWidth="1"/>
    <col min="8" max="8" width="11.28515625" style="225" bestFit="1" customWidth="1"/>
    <col min="9" max="9" width="14.7109375" style="224" customWidth="1"/>
    <col min="10" max="10" width="14.85546875" style="224" bestFit="1" customWidth="1"/>
    <col min="11" max="11" width="12.85546875" style="224" bestFit="1" customWidth="1"/>
    <col min="12" max="12" width="13.140625" style="224" bestFit="1" customWidth="1"/>
    <col min="13" max="13" width="11.28515625" style="224" bestFit="1" customWidth="1"/>
    <col min="14" max="14" width="11.85546875" style="224" bestFit="1" customWidth="1"/>
    <col min="15" max="15" width="13.140625" style="224" bestFit="1" customWidth="1"/>
    <col min="16" max="16" width="11.28515625" style="224" bestFit="1" customWidth="1"/>
    <col min="17" max="17" width="11.42578125" style="224" bestFit="1" customWidth="1"/>
    <col min="18" max="18" width="10.7109375" style="224" bestFit="1" customWidth="1"/>
    <col min="19" max="19" width="11.140625" style="224" bestFit="1" customWidth="1"/>
    <col min="20" max="22" width="9.140625" style="224"/>
    <col min="23" max="23" width="11.42578125" style="224" bestFit="1" customWidth="1"/>
    <col min="24" max="16384" width="9.140625" style="224"/>
  </cols>
  <sheetData>
    <row r="1" spans="1:23" s="130" customFormat="1" ht="11.25">
      <c r="A1" s="129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7</v>
      </c>
      <c r="B2" s="67" t="str">
        <f>MID(A2,3,9)</f>
        <v>83162CQE6</v>
      </c>
      <c r="C2" s="131">
        <v>0.05</v>
      </c>
      <c r="D2" s="67">
        <f>IF(ISERROR(VLOOKUP(A2,'Bond Position per Summit'!$C$42:$E$56,3,0)),0,VLOOKUP(A2,'Bond Position per Summit'!$C$42:$E$56,3,0))</f>
        <v>20641820.059999999</v>
      </c>
      <c r="E2" s="67">
        <f>IF(ISERROR(VLOOKUP(A2,'Bond Position per Summit'!$C$65:$E$73,3,0)),0,VLOOKUP(A2,'Bond Position per Summit'!$C$65:$E$73,3,0))</f>
        <v>12097770</v>
      </c>
      <c r="F2" s="67" t="str">
        <f>_xll.BDP($B2&amp;" Mtge Cusip",F$1)</f>
        <v>SBAP 2006-20D 1</v>
      </c>
      <c r="G2" s="67">
        <f>VLOOKUP(A2,'Bond Position per Summit'!$C$10:$D$32,2,0)</f>
        <v>54125000</v>
      </c>
      <c r="H2" s="67">
        <f>VLOOKUP(A2,'Bond Position per Summit'!$C$10:$E$32,3,0)</f>
        <v>32739590.060000002</v>
      </c>
      <c r="I2" s="67" t="str">
        <f>_xll.BDP($B2&amp;" Mtge Cusip",I$1)</f>
        <v>12/04/2006</v>
      </c>
      <c r="J2" s="67" t="str">
        <f>_xll.BDP($B2&amp;" Mtge Cusip",J$1)</f>
        <v>12/04/2006</v>
      </c>
      <c r="K2" s="67" t="str">
        <f>_xll.BDP($B2&amp;" Mtge Cusip",K$1)</f>
        <v>01/10/2006</v>
      </c>
      <c r="L2" s="67" t="str">
        <f>_xll.BDP($B2&amp;" Mtge Cusip",L$1)</f>
        <v>01/04/2026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5.64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 s="53" customFormat="1">
      <c r="A5" s="61"/>
      <c r="B5" s="62" t="s">
        <v>78</v>
      </c>
      <c r="C5" s="63" t="s">
        <v>80</v>
      </c>
      <c r="D5" s="52"/>
      <c r="E5" s="177"/>
      <c r="F5" s="117" t="s">
        <v>90</v>
      </c>
      <c r="G5" s="55"/>
      <c r="H5" s="55"/>
      <c r="I5" s="107" t="s">
        <v>104</v>
      </c>
      <c r="J5" s="116">
        <v>1000000</v>
      </c>
      <c r="K5" s="117"/>
      <c r="L5" s="107" t="s">
        <v>83</v>
      </c>
      <c r="M5" s="110">
        <f>G2</f>
        <v>54125000</v>
      </c>
      <c r="N5" s="111"/>
      <c r="O5" s="52"/>
      <c r="P5" s="52"/>
      <c r="Q5" s="52"/>
      <c r="R5" s="52"/>
      <c r="S5" s="52"/>
    </row>
    <row r="6" spans="1:23" s="53" customFormat="1" ht="13.5" thickBot="1">
      <c r="A6" s="66" t="s">
        <v>79</v>
      </c>
      <c r="B6" s="67">
        <f>_xll.BDP(B2&amp;" Mtge Cusip",$B$5)</f>
        <v>0.17303403380300003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169</v>
      </c>
      <c r="G6" s="55"/>
      <c r="H6" s="55"/>
      <c r="I6" s="108" t="s">
        <v>81</v>
      </c>
      <c r="J6" s="118">
        <v>40289</v>
      </c>
      <c r="K6" s="113">
        <f>ROUND(J6/J5,8)</f>
        <v>4.0288999999999998E-2</v>
      </c>
      <c r="L6" s="108" t="s">
        <v>81</v>
      </c>
      <c r="M6" s="112">
        <v>2180657</v>
      </c>
      <c r="N6" s="123">
        <f>ROUND(M6/M5,8)</f>
        <v>4.0289270000000002E-2</v>
      </c>
      <c r="O6" s="52"/>
      <c r="P6" s="52"/>
      <c r="Q6" s="52"/>
      <c r="R6" s="52"/>
      <c r="S6" s="52"/>
    </row>
    <row r="7" spans="1:23" s="53" customFormat="1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G7" s="55"/>
      <c r="H7" s="55"/>
      <c r="I7" s="109" t="s">
        <v>82</v>
      </c>
      <c r="J7" s="119">
        <v>42013</v>
      </c>
      <c r="K7" s="115">
        <f>ROUND(J7/J5,8)</f>
        <v>4.2013000000000002E-2</v>
      </c>
      <c r="L7" s="109" t="s">
        <v>82</v>
      </c>
      <c r="M7" s="114">
        <v>2273932</v>
      </c>
      <c r="N7" s="124">
        <f>ROUND(M7/M5,8)</f>
        <v>4.2012599999999997E-2</v>
      </c>
      <c r="O7" s="52"/>
      <c r="P7" s="52"/>
      <c r="Q7" s="52"/>
      <c r="R7" s="52"/>
      <c r="S7" s="52"/>
    </row>
    <row r="8" spans="1:23" s="53" customFormat="1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G8" s="55"/>
      <c r="H8" s="55"/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s="53" customFormat="1" ht="13.5" thickBot="1">
      <c r="A9" s="52"/>
      <c r="B9" s="52"/>
      <c r="C9" s="52"/>
      <c r="D9" s="52"/>
      <c r="E9" s="52"/>
      <c r="G9" s="55"/>
      <c r="H9" s="55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s="53" customFormat="1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4.7946121270085502</v>
      </c>
    </row>
    <row r="12" spans="1:23" s="53" customFormat="1">
      <c r="A12" s="49">
        <f>_xll.BDS($B2&amp;" Mtge Cusip",A11,"cols=2;rows=21")</f>
        <v>42461</v>
      </c>
      <c r="B12" s="50">
        <v>0.173034034</v>
      </c>
      <c r="C12" s="52"/>
      <c r="D12" s="70" t="str">
        <f ca="1">IF(E12&lt;$A$4,"Actual","Model Num")</f>
        <v>Actual</v>
      </c>
      <c r="E12" s="71">
        <v>38819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38819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38819</v>
      </c>
      <c r="Q12" s="94"/>
      <c r="R12" s="95"/>
      <c r="S12" s="96">
        <f>M12</f>
        <v>1000000</v>
      </c>
      <c r="U12" s="139">
        <f>P12</f>
        <v>38819</v>
      </c>
      <c r="V12" s="94">
        <f ca="1">IF(U12&lt;$A$4,0,(YEARFRAC($A$4,U12,1)))</f>
        <v>0</v>
      </c>
      <c r="W12" s="140">
        <f ca="1">V12*(S12-S13)</f>
        <v>0</v>
      </c>
    </row>
    <row r="13" spans="1:23" s="53" customFormat="1">
      <c r="A13" s="49">
        <v>42278</v>
      </c>
      <c r="B13" s="50">
        <v>0.21606006799999999</v>
      </c>
      <c r="C13" s="52"/>
      <c r="D13" s="70" t="str">
        <f ca="1">IF(E13&lt;$A$4,"Actual","Model Num")</f>
        <v>Actual</v>
      </c>
      <c r="E13" s="71">
        <v>38991</v>
      </c>
      <c r="F13" s="74">
        <f>MAX(IF(ISERROR(VLOOKUP(E13,$A$12:$B$52,2,0)),VLOOKUP(E13,$P$11:$S$52,4,0)/1000000,(VLOOKUP(E13,$A$12:$B$52,2,0))),0)</f>
        <v>0.96852751699999995</v>
      </c>
      <c r="G13" s="128">
        <f>F13*1000000</f>
        <v>968527.51699999999</v>
      </c>
      <c r="H13" s="64"/>
      <c r="I13" s="80">
        <f>E13</f>
        <v>38991</v>
      </c>
      <c r="J13" s="125">
        <f>$M$12*$N$6</f>
        <v>40289.270000000004</v>
      </c>
      <c r="K13" s="88">
        <f>($F$6/360)*($O$2/100)*M12</f>
        <v>26476.666666666664</v>
      </c>
      <c r="L13" s="90">
        <f>J13-K13</f>
        <v>13812.60333333334</v>
      </c>
      <c r="M13" s="79">
        <f>M12-L13</f>
        <v>986187.39666666661</v>
      </c>
      <c r="N13" s="126">
        <f>L13/M12</f>
        <v>1.381260333333334E-2</v>
      </c>
      <c r="O13" s="52"/>
      <c r="P13" s="80">
        <f>I13</f>
        <v>38991</v>
      </c>
      <c r="Q13" s="97">
        <f>S12*N13</f>
        <v>13812.60333333334</v>
      </c>
      <c r="R13" s="98">
        <f>S12*$C$2/2</f>
        <v>25000</v>
      </c>
      <c r="S13" s="99">
        <f ca="1">IF(P13&lt;$A$4,(VLOOKUP(P13,$A$11:$B$52,2,0)*$S$12),(S12-(Q13+R13)))</f>
        <v>968527.51699999999</v>
      </c>
      <c r="U13" s="80">
        <f>P13</f>
        <v>38991</v>
      </c>
      <c r="V13" s="97">
        <f ca="1">IF(U13&lt;$A$4,0,(YEARFRAC($A$4,U13,1)))</f>
        <v>0</v>
      </c>
      <c r="W13" s="141">
        <f ca="1">V13*(S12-S13)</f>
        <v>0</v>
      </c>
    </row>
    <row r="14" spans="1:23" s="53" customFormat="1">
      <c r="A14" s="49">
        <v>42095</v>
      </c>
      <c r="B14" s="50">
        <v>0.25447441900000001</v>
      </c>
      <c r="C14" s="52"/>
      <c r="D14" s="70" t="str">
        <f ca="1">IF(E14&lt;$A$4,"Actual","Model Num")</f>
        <v>Actual</v>
      </c>
      <c r="E14" s="71">
        <f>DATE(YEAR(E13),MONTH(E13)+6,DAY(E13))</f>
        <v>39173</v>
      </c>
      <c r="F14" s="74">
        <f>MAX(IF(ISERROR(VLOOKUP(E14,$A$12:$B$52,2,0)),VLOOKUP(E14,$P$11:$S$52,4,0)/1000000,(VLOOKUP(E14,$A$12:$B$52,2,0))),0)</f>
        <v>0.93405481099999998</v>
      </c>
      <c r="G14" s="128">
        <f>F14*1000000</f>
        <v>934054.81099999999</v>
      </c>
      <c r="H14" s="64"/>
      <c r="I14" s="80">
        <f>E14</f>
        <v>39173</v>
      </c>
      <c r="J14" s="205">
        <f>$M$12*$N$7</f>
        <v>42012.6</v>
      </c>
      <c r="K14" s="88">
        <f>($F$7/360)*($O$2/100)*M13</f>
        <v>27810.484585999999</v>
      </c>
      <c r="L14" s="90">
        <f>J14-K14</f>
        <v>14202.115414</v>
      </c>
      <c r="M14" s="79">
        <f>M13-L14</f>
        <v>971985.28125266661</v>
      </c>
      <c r="N14" s="126">
        <f>L14/M13</f>
        <v>1.440103114479402E-2</v>
      </c>
      <c r="O14" s="52"/>
      <c r="P14" s="80">
        <f>I14</f>
        <v>39173</v>
      </c>
      <c r="Q14" s="97">
        <f ca="1">S13*N14</f>
        <v>13947.794936907019</v>
      </c>
      <c r="R14" s="98">
        <f ca="1">S13*$C$2/2</f>
        <v>24213.187925000002</v>
      </c>
      <c r="S14" s="99">
        <f ca="1">IF(P14&lt;$A$4,(VLOOKUP(P14,$A$11:$B$52,2,0)*$S$12),(S13-(Q14+R14)))</f>
        <v>934054.81099999999</v>
      </c>
      <c r="U14" s="80">
        <f>P14</f>
        <v>39173</v>
      </c>
      <c r="V14" s="97">
        <f ca="1">IF(U14&lt;$A$4,0,(YEARFRAC($A$4,U14,1)))</f>
        <v>0</v>
      </c>
      <c r="W14" s="141">
        <f ca="1">V14*(S13-S14)</f>
        <v>0</v>
      </c>
    </row>
    <row r="15" spans="1:23" s="53" customFormat="1">
      <c r="A15" s="49">
        <v>41913</v>
      </c>
      <c r="B15" s="50">
        <v>0.272828283</v>
      </c>
      <c r="C15" s="52"/>
      <c r="D15" s="70" t="str">
        <f ca="1">IF(E15&lt;$A$4,"Actual","Model Num")</f>
        <v>Actual</v>
      </c>
      <c r="E15" s="71">
        <f>DATE(YEAR(E14),MONTH(E14)+6,DAY(E14))</f>
        <v>39356</v>
      </c>
      <c r="F15" s="74">
        <f>MAX(IF(ISERROR(VLOOKUP(E15,$A$12:$B$52,2,0)),VLOOKUP(E15,$P$11:$S$52,4,0)/1000000,(VLOOKUP(E15,$A$12:$B$52,2,0))),0)</f>
        <v>0.89873214000000001</v>
      </c>
      <c r="G15" s="128">
        <f>F15*1000000</f>
        <v>898732.14</v>
      </c>
      <c r="H15" s="64"/>
      <c r="I15" s="80">
        <f>E15</f>
        <v>39356</v>
      </c>
      <c r="J15" s="205">
        <f>$M$12*$N$7</f>
        <v>42012.6</v>
      </c>
      <c r="K15" s="88">
        <f>($F$7/360)*($O$2/100)*M14</f>
        <v>27409.984931325198</v>
      </c>
      <c r="L15" s="90">
        <f>J15-K15</f>
        <v>14602.615068674801</v>
      </c>
      <c r="M15" s="79">
        <f>M14-L15</f>
        <v>957382.66618399182</v>
      </c>
      <c r="N15" s="126">
        <f>L15/M14</f>
        <v>1.5023494028485051E-2</v>
      </c>
      <c r="O15" s="52"/>
      <c r="P15" s="80">
        <f>I15</f>
        <v>39356</v>
      </c>
      <c r="Q15" s="97">
        <f ca="1">S14*N15</f>
        <v>14032.766875336232</v>
      </c>
      <c r="R15" s="98">
        <f ca="1">S14*$C$2/2</f>
        <v>23351.370275000001</v>
      </c>
      <c r="S15" s="99">
        <f ca="1">IF(P15&lt;$A$4,(VLOOKUP(P15,$A$11:$B$52,2,0)*$S$12),(S14-(Q15+R15)))</f>
        <v>898732.14</v>
      </c>
      <c r="U15" s="80">
        <f>P15</f>
        <v>39356</v>
      </c>
      <c r="V15" s="97">
        <f ca="1">IF(U15&lt;$A$4,0,(YEARFRAC($A$4,U15,1)))</f>
        <v>0</v>
      </c>
      <c r="W15" s="141">
        <f ca="1">V15*(S14-S15)</f>
        <v>0</v>
      </c>
    </row>
    <row r="16" spans="1:23" s="53" customFormat="1">
      <c r="A16" s="49">
        <v>41730</v>
      </c>
      <c r="B16" s="50">
        <v>0.31506922199999998</v>
      </c>
      <c r="C16" s="52"/>
      <c r="D16" s="70" t="str">
        <f ca="1">IF(E16&lt;$A$4,"Actual","Model Num")</f>
        <v>Actual</v>
      </c>
      <c r="E16" s="71">
        <f>DATE(YEAR(E15),MONTH(E15)+6,DAY(E15))</f>
        <v>39539</v>
      </c>
      <c r="F16" s="74">
        <f>MAX(IF(ISERROR(VLOOKUP(E16,$A$12:$B$52,2,0)),VLOOKUP(E16,$P$11:$S$52,4,0)/1000000,(VLOOKUP(E16,$A$12:$B$52,2,0))),0)</f>
        <v>0.853496688</v>
      </c>
      <c r="G16" s="128">
        <f>F16*1000000</f>
        <v>853496.68799999997</v>
      </c>
      <c r="H16" s="64"/>
      <c r="I16" s="80">
        <f>E16</f>
        <v>39539</v>
      </c>
      <c r="J16" s="205">
        <f>$M$12*$N$7</f>
        <v>42012.6</v>
      </c>
      <c r="K16" s="88">
        <f>($F$7/360)*($O$2/100)*M15</f>
        <v>26998.191186388569</v>
      </c>
      <c r="L16" s="90">
        <f>J16-K16</f>
        <v>15014.40881361143</v>
      </c>
      <c r="M16" s="79">
        <f>M15-L16</f>
        <v>942368.25737038045</v>
      </c>
      <c r="N16" s="126">
        <f>L16/M15</f>
        <v>1.5682766509087735E-2</v>
      </c>
      <c r="O16" s="52"/>
      <c r="P16" s="80">
        <f>I16</f>
        <v>39539</v>
      </c>
      <c r="Q16" s="97">
        <f ca="1">S15*N16</f>
        <v>14094.606305832749</v>
      </c>
      <c r="R16" s="98">
        <f ca="1">S15*$C$2/2</f>
        <v>22468.303500000002</v>
      </c>
      <c r="S16" s="99">
        <f ca="1">IF(P16&lt;$A$4,(VLOOKUP(P16,$A$11:$B$52,2,0)*$S$12),(S15-(Q16+R16)))</f>
        <v>853496.68799999997</v>
      </c>
      <c r="U16" s="80">
        <f>P16</f>
        <v>39539</v>
      </c>
      <c r="V16" s="97">
        <f ca="1">IF(U16&lt;$A$4,0,(YEARFRAC($A$4,U16,1)))</f>
        <v>0</v>
      </c>
      <c r="W16" s="141">
        <f ca="1">V16*(S15-S16)</f>
        <v>0</v>
      </c>
    </row>
    <row r="17" spans="1:23" s="53" customFormat="1">
      <c r="A17" s="49">
        <v>41548</v>
      </c>
      <c r="B17" s="50">
        <v>0.35570015700000002</v>
      </c>
      <c r="C17" s="52"/>
      <c r="D17" s="70" t="str">
        <f ca="1">IF(E17&lt;$A$4,"Actual","Model Num")</f>
        <v>Actual</v>
      </c>
      <c r="E17" s="71">
        <f>DATE(YEAR(E16),MONTH(E16)+6,DAY(E16))</f>
        <v>39722</v>
      </c>
      <c r="F17" s="74">
        <f>MAX(IF(ISERROR(VLOOKUP(E17,$A$12:$B$52,2,0)),VLOOKUP(E17,$P$11:$S$52,4,0)/1000000,(VLOOKUP(E17,$A$12:$B$52,2,0))),0)</f>
        <v>0.797541096</v>
      </c>
      <c r="G17" s="128">
        <f>F17*1000000</f>
        <v>797541.09600000002</v>
      </c>
      <c r="H17" s="64"/>
      <c r="I17" s="80">
        <f>E17</f>
        <v>39722</v>
      </c>
      <c r="J17" s="205">
        <f>$M$12*$N$7</f>
        <v>42012.6</v>
      </c>
      <c r="K17" s="88">
        <f>($F$7/360)*($O$2/100)*M16</f>
        <v>26574.784857844727</v>
      </c>
      <c r="L17" s="90">
        <f>J17-K17</f>
        <v>15437.815142155272</v>
      </c>
      <c r="M17" s="79">
        <f>M16-L17</f>
        <v>926930.44222822518</v>
      </c>
      <c r="N17" s="126">
        <f>L17/M16</f>
        <v>1.6381934579623392E-2</v>
      </c>
      <c r="O17" s="52"/>
      <c r="P17" s="80">
        <f>I17</f>
        <v>39722</v>
      </c>
      <c r="Q17" s="97">
        <f ca="1">S16*N17</f>
        <v>13981.926906741237</v>
      </c>
      <c r="R17" s="98">
        <f ca="1">S16*$C$2/2</f>
        <v>21337.4172</v>
      </c>
      <c r="S17" s="99">
        <f ca="1">IF(P17&lt;$A$4,(VLOOKUP(P17,$A$11:$B$52,2,0)*$S$12),(S16-(Q17+R17)))</f>
        <v>797541.09600000002</v>
      </c>
      <c r="U17" s="80">
        <f>P17</f>
        <v>39722</v>
      </c>
      <c r="V17" s="97">
        <f ca="1">IF(U17&lt;$A$4,0,(YEARFRAC($A$4,U17,1)))</f>
        <v>0</v>
      </c>
      <c r="W17" s="141">
        <f ca="1">V17*(S16-S17)</f>
        <v>0</v>
      </c>
    </row>
    <row r="18" spans="1:23" s="53" customFormat="1">
      <c r="A18" s="49">
        <v>41365</v>
      </c>
      <c r="B18" s="50">
        <v>0.39563917599999998</v>
      </c>
      <c r="C18" s="52"/>
      <c r="D18" s="70" t="str">
        <f ca="1">IF(E18&lt;$A$4,"Actual","Model Num")</f>
        <v>Actual</v>
      </c>
      <c r="E18" s="71">
        <f>DATE(YEAR(E17),MONTH(E17)+6,DAY(E17))</f>
        <v>39904</v>
      </c>
      <c r="F18" s="74">
        <f>MAX(IF(ISERROR(VLOOKUP(E18,$A$12:$B$52,2,0)),VLOOKUP(E18,$P$11:$S$52,4,0)/1000000,(VLOOKUP(E18,$A$12:$B$52,2,0))),0)</f>
        <v>0.75157889899999997</v>
      </c>
      <c r="G18" s="128">
        <f>F18*1000000</f>
        <v>751578.89899999998</v>
      </c>
      <c r="H18" s="64"/>
      <c r="I18" s="80">
        <f>E18</f>
        <v>39904</v>
      </c>
      <c r="J18" s="205">
        <f>$M$12*$N$7</f>
        <v>42012.6</v>
      </c>
      <c r="K18" s="88">
        <f>($F$7/360)*($O$2/100)*M17</f>
        <v>26139.43847083595</v>
      </c>
      <c r="L18" s="90">
        <f>J18-K18</f>
        <v>15873.161529164048</v>
      </c>
      <c r="M18" s="79">
        <f>M17-L18</f>
        <v>911057.28069906111</v>
      </c>
      <c r="N18" s="126">
        <f>L18/M17</f>
        <v>1.7124436533778032E-2</v>
      </c>
      <c r="O18" s="52"/>
      <c r="P18" s="80">
        <f>I18</f>
        <v>39904</v>
      </c>
      <c r="Q18" s="97">
        <f ca="1">S17*N18</f>
        <v>13657.441881531773</v>
      </c>
      <c r="R18" s="98">
        <f ca="1">S17*$C$2/2</f>
        <v>19938.527400000003</v>
      </c>
      <c r="S18" s="99">
        <f ca="1">IF(P18&lt;$A$4,(VLOOKUP(P18,$A$11:$B$52,2,0)*$S$12),(S17-(Q18+R18)))</f>
        <v>751578.89899999998</v>
      </c>
      <c r="U18" s="80">
        <f>P18</f>
        <v>39904</v>
      </c>
      <c r="V18" s="97">
        <f ca="1">IF(U18&lt;$A$4,0,(YEARFRAC($A$4,U18,1)))</f>
        <v>0</v>
      </c>
      <c r="W18" s="141">
        <f ca="1">V18*(S17-S18)</f>
        <v>0</v>
      </c>
    </row>
    <row r="19" spans="1:23" s="53" customFormat="1">
      <c r="A19" s="49">
        <v>41183</v>
      </c>
      <c r="B19" s="50">
        <v>0.430740646</v>
      </c>
      <c r="C19" s="52"/>
      <c r="D19" s="70" t="str">
        <f ca="1">IF(E19&lt;$A$4,"Actual","Model Num")</f>
        <v>Actual</v>
      </c>
      <c r="E19" s="71">
        <f>DATE(YEAR(E18),MONTH(E18)+6,DAY(E18))</f>
        <v>40087</v>
      </c>
      <c r="F19" s="74">
        <f>MAX(IF(ISERROR(VLOOKUP(E19,$A$12:$B$52,2,0)),VLOOKUP(E19,$P$11:$S$52,4,0)/1000000,(VLOOKUP(E19,$A$12:$B$52,2,0))),0)</f>
        <v>0.71143214700000001</v>
      </c>
      <c r="G19" s="128">
        <f>F19*1000000</f>
        <v>711432.147</v>
      </c>
      <c r="H19" s="64"/>
      <c r="I19" s="80">
        <f>E19</f>
        <v>40087</v>
      </c>
      <c r="J19" s="205">
        <f>$M$12*$N$7</f>
        <v>42012.6</v>
      </c>
      <c r="K19" s="88">
        <f>($F$7/360)*($O$2/100)*M18</f>
        <v>25691.815315713524</v>
      </c>
      <c r="L19" s="90">
        <f>J19-K19</f>
        <v>16320.784684286475</v>
      </c>
      <c r="M19" s="79">
        <f>M18-L19</f>
        <v>894736.49601477466</v>
      </c>
      <c r="N19" s="126">
        <f>L19/M18</f>
        <v>1.7914114765389299E-2</v>
      </c>
      <c r="O19" s="52"/>
      <c r="P19" s="80">
        <f>I19</f>
        <v>40087</v>
      </c>
      <c r="Q19" s="97">
        <f ca="1">S18*N19</f>
        <v>13463.870651930933</v>
      </c>
      <c r="R19" s="98">
        <f ca="1">S18*$C$2/2</f>
        <v>18789.472474999999</v>
      </c>
      <c r="S19" s="99">
        <f ca="1">IF(P19&lt;$A$4,(VLOOKUP(P19,$A$11:$B$52,2,0)*$S$12),(S18-(Q19+R19)))</f>
        <v>711432.147</v>
      </c>
      <c r="U19" s="80">
        <f>P19</f>
        <v>40087</v>
      </c>
      <c r="V19" s="97">
        <f ca="1">IF(U19&lt;$A$4,0,(YEARFRAC($A$4,U19,1)))</f>
        <v>0</v>
      </c>
      <c r="W19" s="141">
        <f ca="1">V19*(S18-S19)</f>
        <v>0</v>
      </c>
    </row>
    <row r="20" spans="1:23" s="53" customFormat="1">
      <c r="A20" s="49">
        <v>41000</v>
      </c>
      <c r="B20" s="50">
        <v>0.47612404899999999</v>
      </c>
      <c r="C20" s="52"/>
      <c r="D20" s="70" t="str">
        <f ca="1">IF(E20&lt;$A$4,"Actual","Model Num")</f>
        <v>Actual</v>
      </c>
      <c r="E20" s="71">
        <f>DATE(YEAR(E19),MONTH(E19)+6,DAY(E19))</f>
        <v>40269</v>
      </c>
      <c r="F20" s="74">
        <f>MAX(IF(ISERROR(VLOOKUP(E20,$A$12:$B$52,2,0)),VLOOKUP(E20,$P$11:$S$52,4,0)/1000000,(VLOOKUP(E20,$A$12:$B$52,2,0))),0)</f>
        <v>0.64370881599999996</v>
      </c>
      <c r="G20" s="128">
        <f>F20*1000000</f>
        <v>643708.81599999999</v>
      </c>
      <c r="H20" s="64"/>
      <c r="I20" s="80">
        <f>E20</f>
        <v>40269</v>
      </c>
      <c r="J20" s="205">
        <f>$M$12*$N$7</f>
        <v>42012.6</v>
      </c>
      <c r="K20" s="88">
        <f>($F$7/360)*($O$2/100)*M19</f>
        <v>25231.569187616646</v>
      </c>
      <c r="L20" s="90">
        <f>J20-K20</f>
        <v>16781.030812383353</v>
      </c>
      <c r="M20" s="79">
        <f>M19-L20</f>
        <v>877955.46520239126</v>
      </c>
      <c r="N20" s="126">
        <f>L20/M19</f>
        <v>1.8755276986160013E-2</v>
      </c>
      <c r="O20" s="52"/>
      <c r="P20" s="80">
        <f>I20</f>
        <v>40269</v>
      </c>
      <c r="Q20" s="97">
        <f ca="1">S19*N20</f>
        <v>13343.106973843507</v>
      </c>
      <c r="R20" s="98">
        <f ca="1">S19*$C$2/2</f>
        <v>17785.803674999999</v>
      </c>
      <c r="S20" s="99">
        <f ca="1">IF(P20&lt;$A$4,(VLOOKUP(P20,$A$11:$B$52,2,0)*$S$12),(S19-(Q20+R20)))</f>
        <v>643708.81599999999</v>
      </c>
      <c r="U20" s="80">
        <f>P20</f>
        <v>40269</v>
      </c>
      <c r="V20" s="97">
        <f ca="1">IF(U20&lt;$A$4,0,(YEARFRAC($A$4,U20,1)))</f>
        <v>0</v>
      </c>
      <c r="W20" s="141">
        <f ca="1">V20*(S19-S20)</f>
        <v>0</v>
      </c>
    </row>
    <row r="21" spans="1:23" s="53" customFormat="1">
      <c r="A21" s="49">
        <v>40817</v>
      </c>
      <c r="B21" s="50">
        <v>0.52860594500000002</v>
      </c>
      <c r="C21" s="52"/>
      <c r="D21" s="70" t="str">
        <f ca="1">IF(E21&lt;$A$4,"Actual","Model Num")</f>
        <v>Actual</v>
      </c>
      <c r="E21" s="71">
        <f>DATE(YEAR(E20),MONTH(E20)+6,DAY(E20))</f>
        <v>40452</v>
      </c>
      <c r="F21" s="74">
        <f>MAX(IF(ISERROR(VLOOKUP(E21,$A$12:$B$52,2,0)),VLOOKUP(E21,$P$11:$S$52,4,0)/1000000,(VLOOKUP(E21,$A$12:$B$52,2,0))),0)</f>
        <v>0.60488849899999997</v>
      </c>
      <c r="G21" s="128">
        <f>F21*1000000</f>
        <v>604888.49899999995</v>
      </c>
      <c r="H21" s="64"/>
      <c r="I21" s="80">
        <f>E21</f>
        <v>40452</v>
      </c>
      <c r="J21" s="205">
        <f>$M$12*$N$7</f>
        <v>42012.6</v>
      </c>
      <c r="K21" s="88">
        <f>($F$7/360)*($O$2/100)*M20</f>
        <v>24758.344118707431</v>
      </c>
      <c r="L21" s="90">
        <f>J21-K21</f>
        <v>17254.255881292567</v>
      </c>
      <c r="M21" s="79">
        <f>M20-L21</f>
        <v>860701.20932109875</v>
      </c>
      <c r="N21" s="126">
        <f>L21/M20</f>
        <v>1.9652768921843911E-2</v>
      </c>
      <c r="O21" s="52"/>
      <c r="P21" s="80">
        <f>I21</f>
        <v>40452</v>
      </c>
      <c r="Q21" s="97">
        <f ca="1">S20*N21</f>
        <v>12650.66061380174</v>
      </c>
      <c r="R21" s="98">
        <f ca="1">S20*$C$2/2</f>
        <v>16092.7204</v>
      </c>
      <c r="S21" s="99">
        <f ca="1">IF(P21&lt;$A$4,(VLOOKUP(P21,$A$11:$B$52,2,0)*$S$12),(S20-(Q21+R21)))</f>
        <v>604888.49899999995</v>
      </c>
      <c r="U21" s="80">
        <f>P21</f>
        <v>40452</v>
      </c>
      <c r="V21" s="97">
        <f ca="1">IF(U21&lt;$A$4,0,(YEARFRAC($A$4,U21,1)))</f>
        <v>0</v>
      </c>
      <c r="W21" s="141">
        <f ca="1">V21*(S20-S21)</f>
        <v>0</v>
      </c>
    </row>
    <row r="22" spans="1:23" s="53" customFormat="1">
      <c r="A22" s="49">
        <v>40634</v>
      </c>
      <c r="B22" s="50">
        <v>0.56255635100000001</v>
      </c>
      <c r="C22" s="52"/>
      <c r="D22" s="70" t="str">
        <f ca="1">IF(E22&lt;$A$4,"Actual","Model Num")</f>
        <v>Actual</v>
      </c>
      <c r="E22" s="71">
        <f>DATE(YEAR(E21),MONTH(E21)+6,DAY(E21))</f>
        <v>40634</v>
      </c>
      <c r="F22" s="74">
        <f>MAX(IF(ISERROR(VLOOKUP(E22,$A$12:$B$52,2,0)),VLOOKUP(E22,$P$11:$S$52,4,0)/1000000,(VLOOKUP(E22,$A$12:$B$52,2,0))),0)</f>
        <v>0.56255635100000001</v>
      </c>
      <c r="G22" s="128">
        <f>F22*1000000</f>
        <v>562556.35100000002</v>
      </c>
      <c r="H22" s="64"/>
      <c r="I22" s="80">
        <f>E22</f>
        <v>40634</v>
      </c>
      <c r="J22" s="205">
        <f>$M$12*$N$7</f>
        <v>42012.6</v>
      </c>
      <c r="K22" s="88">
        <f>($F$7/360)*($O$2/100)*M21</f>
        <v>24271.774102854983</v>
      </c>
      <c r="L22" s="90">
        <f>J22-K22</f>
        <v>17740.825897145016</v>
      </c>
      <c r="M22" s="79">
        <f>M21-L22</f>
        <v>842960.38342395378</v>
      </c>
      <c r="N22" s="126">
        <f>L22/M21</f>
        <v>2.0612061078824986E-2</v>
      </c>
      <c r="O22" s="52"/>
      <c r="P22" s="80">
        <f>I22</f>
        <v>40634</v>
      </c>
      <c r="Q22" s="97">
        <f ca="1">S21*N22</f>
        <v>12467.998687266765</v>
      </c>
      <c r="R22" s="98">
        <f ca="1">S21*$C$2/2</f>
        <v>15122.212475</v>
      </c>
      <c r="S22" s="99">
        <f ca="1">IF(P22&lt;$A$4,(VLOOKUP(P22,$A$11:$B$52,2,0)*$S$12),(S21-(Q22+R22)))</f>
        <v>562556.35100000002</v>
      </c>
      <c r="U22" s="80">
        <f>P22</f>
        <v>40634</v>
      </c>
      <c r="V22" s="97">
        <f ca="1">IF(U22&lt;$A$4,0,(YEARFRAC($A$4,U22,1)))</f>
        <v>0</v>
      </c>
      <c r="W22" s="141">
        <f ca="1">V22*(S21-S22)</f>
        <v>0</v>
      </c>
    </row>
    <row r="23" spans="1:23" s="53" customFormat="1">
      <c r="A23" s="49">
        <v>40452</v>
      </c>
      <c r="B23" s="50">
        <v>0.60488849899999997</v>
      </c>
      <c r="C23" s="52"/>
      <c r="D23" s="70" t="str">
        <f ca="1">IF(E23&lt;$A$4,"Actual","Model Num")</f>
        <v>Actual</v>
      </c>
      <c r="E23" s="71">
        <f>DATE(YEAR(E22),MONTH(E22)+6,DAY(E22))</f>
        <v>40817</v>
      </c>
      <c r="F23" s="74">
        <f>MAX(IF(ISERROR(VLOOKUP(E23,$A$12:$B$52,2,0)),VLOOKUP(E23,$P$11:$S$52,4,0)/1000000,(VLOOKUP(E23,$A$12:$B$52,2,0))),0)</f>
        <v>0.52860594500000002</v>
      </c>
      <c r="G23" s="128">
        <f>F23*1000000</f>
        <v>528605.94500000007</v>
      </c>
      <c r="H23" s="64"/>
      <c r="I23" s="80">
        <f>E23</f>
        <v>40817</v>
      </c>
      <c r="J23" s="205">
        <f>$M$12*$N$7</f>
        <v>42012.6</v>
      </c>
      <c r="K23" s="88">
        <f>($F$7/360)*($O$2/100)*M22</f>
        <v>23771.482812555496</v>
      </c>
      <c r="L23" s="90">
        <f>J23-K23</f>
        <v>18241.117187444503</v>
      </c>
      <c r="M23" s="79">
        <f>M22-L23</f>
        <v>824719.26623650931</v>
      </c>
      <c r="N23" s="126">
        <f>L23/M22</f>
        <v>2.1639352864190792E-2</v>
      </c>
      <c r="O23" s="52"/>
      <c r="P23" s="80">
        <f>I23</f>
        <v>40817</v>
      </c>
      <c r="Q23" s="97">
        <f ca="1">S22*N23</f>
        <v>12173.355385280571</v>
      </c>
      <c r="R23" s="98">
        <f ca="1">S22*$C$2/2</f>
        <v>14063.908775000002</v>
      </c>
      <c r="S23" s="99">
        <f ca="1">IF(P23&lt;$A$4,(VLOOKUP(P23,$A$11:$B$52,2,0)*$S$12),(S22-(Q23+R23)))</f>
        <v>528605.94500000007</v>
      </c>
      <c r="U23" s="80">
        <f>P23</f>
        <v>40817</v>
      </c>
      <c r="V23" s="97">
        <f ca="1">IF(U23&lt;$A$4,0,(YEARFRAC($A$4,U23,1)))</f>
        <v>0</v>
      </c>
      <c r="W23" s="141">
        <f ca="1">V23*(S22-S23)</f>
        <v>0</v>
      </c>
    </row>
    <row r="24" spans="1:23" s="53" customFormat="1">
      <c r="A24" s="49">
        <v>40269</v>
      </c>
      <c r="B24" s="50">
        <v>0.64370881599999996</v>
      </c>
      <c r="C24" s="52"/>
      <c r="D24" s="70" t="str">
        <f ca="1">IF(E24&lt;$A$4,"Actual","Model Num")</f>
        <v>Actual</v>
      </c>
      <c r="E24" s="71">
        <f>DATE(YEAR(E23),MONTH(E23)+6,DAY(E23))</f>
        <v>41000</v>
      </c>
      <c r="F24" s="74">
        <f>MAX(IF(ISERROR(VLOOKUP(E24,$A$12:$B$52,2,0)),VLOOKUP(E24,$P$11:$S$52,4,0)/1000000,(VLOOKUP(E24,$A$12:$B$52,2,0))),0)</f>
        <v>0.47612404899999999</v>
      </c>
      <c r="G24" s="128">
        <f>F24*1000000</f>
        <v>476124.049</v>
      </c>
      <c r="H24" s="64"/>
      <c r="I24" s="80">
        <f>E24</f>
        <v>41000</v>
      </c>
      <c r="J24" s="205">
        <f>$M$12*$N$7</f>
        <v>42012.6</v>
      </c>
      <c r="K24" s="88">
        <f>($F$7/360)*($O$2/100)*M23</f>
        <v>23257.083307869561</v>
      </c>
      <c r="L24" s="90">
        <f>J24-K24</f>
        <v>18755.516692130437</v>
      </c>
      <c r="M24" s="79">
        <f>M23-L24</f>
        <v>805963.74954437884</v>
      </c>
      <c r="N24" s="126">
        <f>L24/M23</f>
        <v>2.2741698248082171E-2</v>
      </c>
      <c r="O24" s="52"/>
      <c r="P24" s="80">
        <f>I24</f>
        <v>41000</v>
      </c>
      <c r="Q24" s="97">
        <f ca="1">S23*N24</f>
        <v>12021.396893332321</v>
      </c>
      <c r="R24" s="98">
        <f ca="1">S23*$C$2/2</f>
        <v>13215.148625000002</v>
      </c>
      <c r="S24" s="99">
        <f ca="1">IF(P24&lt;$A$4,(VLOOKUP(P24,$A$11:$B$52,2,0)*$S$12),(S23-(Q24+R24)))</f>
        <v>476124.049</v>
      </c>
      <c r="U24" s="80">
        <f>P24</f>
        <v>41000</v>
      </c>
      <c r="V24" s="97">
        <f ca="1">IF(U24&lt;$A$4,0,(YEARFRAC($A$4,U24,1)))</f>
        <v>0</v>
      </c>
      <c r="W24" s="141">
        <f ca="1">V24*(S23-S24)</f>
        <v>0</v>
      </c>
    </row>
    <row r="25" spans="1:23" s="53" customFormat="1">
      <c r="A25" s="49">
        <v>40087</v>
      </c>
      <c r="B25" s="50">
        <v>0.71143214700000001</v>
      </c>
      <c r="C25" s="52"/>
      <c r="D25" s="70" t="str">
        <f ca="1">IF(E25&lt;$A$4,"Actual","Model Num")</f>
        <v>Actual</v>
      </c>
      <c r="E25" s="71">
        <f>DATE(YEAR(E24),MONTH(E24)+6,DAY(E24))</f>
        <v>41183</v>
      </c>
      <c r="F25" s="74">
        <f>MAX(IF(ISERROR(VLOOKUP(E25,$A$12:$B$52,2,0)),VLOOKUP(E25,$P$11:$S$52,4,0)/1000000,(VLOOKUP(E25,$A$12:$B$52,2,0))),0)</f>
        <v>0.430740646</v>
      </c>
      <c r="G25" s="128">
        <f>F25*1000000</f>
        <v>430740.64600000001</v>
      </c>
      <c r="H25" s="64"/>
      <c r="I25" s="80">
        <f>E25</f>
        <v>41183</v>
      </c>
      <c r="J25" s="205">
        <f>$M$12*$N$7</f>
        <v>42012.6</v>
      </c>
      <c r="K25" s="88">
        <f>($F$7/360)*($O$2/100)*M24</f>
        <v>22728.177737151484</v>
      </c>
      <c r="L25" s="90">
        <f>J25-K25</f>
        <v>19284.422262848515</v>
      </c>
      <c r="M25" s="79">
        <f>M24-L25</f>
        <v>786679.32728153036</v>
      </c>
      <c r="N25" s="126">
        <f>L25/M24</f>
        <v>2.3927158353896482E-2</v>
      </c>
      <c r="O25" s="52"/>
      <c r="P25" s="80">
        <f>I25</f>
        <v>41183</v>
      </c>
      <c r="Q25" s="97">
        <f ca="1">S24*N25</f>
        <v>11392.295516521368</v>
      </c>
      <c r="R25" s="98">
        <f ca="1">S24*$C$2/2</f>
        <v>11903.101225</v>
      </c>
      <c r="S25" s="99">
        <f ca="1">IF(P25&lt;$A$4,(VLOOKUP(P25,$A$11:$B$52,2,0)*$S$12),(S24-(Q25+R25)))</f>
        <v>430740.64600000001</v>
      </c>
      <c r="U25" s="80">
        <f>P25</f>
        <v>41183</v>
      </c>
      <c r="V25" s="97">
        <f ca="1">IF(U25&lt;$A$4,0,(YEARFRAC($A$4,U25,1)))</f>
        <v>0</v>
      </c>
      <c r="W25" s="141">
        <f ca="1">V25*(S24-S25)</f>
        <v>0</v>
      </c>
    </row>
    <row r="26" spans="1:23" s="53" customFormat="1">
      <c r="A26" s="49">
        <v>39904</v>
      </c>
      <c r="B26" s="50">
        <v>0.75157889899999997</v>
      </c>
      <c r="C26" s="52"/>
      <c r="D26" s="70" t="str">
        <f ca="1">IF(E26&lt;$A$4,"Actual","Model Num")</f>
        <v>Actual</v>
      </c>
      <c r="E26" s="71">
        <f>DATE(YEAR(E25),MONTH(E25)+6,DAY(E25))</f>
        <v>41365</v>
      </c>
      <c r="F26" s="74">
        <f>MAX(IF(ISERROR(VLOOKUP(E26,$A$12:$B$52,2,0)),VLOOKUP(E26,$P$11:$S$52,4,0)/1000000,(VLOOKUP(E26,$A$12:$B$52,2,0))),0)</f>
        <v>0.39563917599999998</v>
      </c>
      <c r="G26" s="128">
        <f>F26*1000000</f>
        <v>395639.17599999998</v>
      </c>
      <c r="H26" s="64"/>
      <c r="I26" s="80">
        <f>E26</f>
        <v>41365</v>
      </c>
      <c r="J26" s="205">
        <f>$M$12*$N$7</f>
        <v>42012.6</v>
      </c>
      <c r="K26" s="88">
        <f>($F$7/360)*($O$2/100)*M25</f>
        <v>22184.357029339157</v>
      </c>
      <c r="L26" s="90">
        <f>J26-K26</f>
        <v>19828.242970660842</v>
      </c>
      <c r="M26" s="79">
        <f>M25-L26</f>
        <v>766851.08431086957</v>
      </c>
      <c r="N26" s="126">
        <f>L26/M25</f>
        <v>2.5204987957647033E-2</v>
      </c>
      <c r="O26" s="52"/>
      <c r="P26" s="80">
        <f>I26</f>
        <v>41365</v>
      </c>
      <c r="Q26" s="97">
        <f ca="1">S25*N26</f>
        <v>10856.812795299104</v>
      </c>
      <c r="R26" s="98">
        <f ca="1">S25*$C$2/2</f>
        <v>10768.516150000001</v>
      </c>
      <c r="S26" s="99">
        <f ca="1">IF(P26&lt;$A$4,(VLOOKUP(P26,$A$11:$B$52,2,0)*$S$12),(S25-(Q26+R26)))</f>
        <v>395639.17599999998</v>
      </c>
      <c r="U26" s="80">
        <f>P26</f>
        <v>41365</v>
      </c>
      <c r="V26" s="97">
        <f ca="1">IF(U26&lt;$A$4,0,(YEARFRAC($A$4,U26,1)))</f>
        <v>0</v>
      </c>
      <c r="W26" s="141">
        <f ca="1">V26*(S25-S26)</f>
        <v>0</v>
      </c>
    </row>
    <row r="27" spans="1:23" s="53" customFormat="1">
      <c r="A27" s="49">
        <v>39722</v>
      </c>
      <c r="B27" s="50">
        <v>0.797541096</v>
      </c>
      <c r="C27" s="52"/>
      <c r="D27" s="70" t="str">
        <f ca="1">IF(E27&lt;$A$4,"Actual","Model Num")</f>
        <v>Actual</v>
      </c>
      <c r="E27" s="71">
        <f>DATE(YEAR(E26),MONTH(E26)+6,DAY(E26))</f>
        <v>41548</v>
      </c>
      <c r="F27" s="74">
        <f>MAX(IF(ISERROR(VLOOKUP(E27,$A$12:$B$52,2,0)),VLOOKUP(E27,$P$11:$S$52,4,0)/1000000,(VLOOKUP(E27,$A$12:$B$52,2,0))),0)</f>
        <v>0.35570015700000002</v>
      </c>
      <c r="G27" s="128">
        <f>F27*1000000</f>
        <v>355700.15700000001</v>
      </c>
      <c r="H27" s="64"/>
      <c r="I27" s="80">
        <f>E27</f>
        <v>41548</v>
      </c>
      <c r="J27" s="205">
        <f>$M$12*$N$7</f>
        <v>42012.6</v>
      </c>
      <c r="K27" s="88">
        <f>($F$7/360)*($O$2/100)*M26</f>
        <v>21625.20057756652</v>
      </c>
      <c r="L27" s="90">
        <f>J27-K27</f>
        <v>20387.399422433478</v>
      </c>
      <c r="M27" s="79">
        <f>M26-L27</f>
        <v>746463.68488843611</v>
      </c>
      <c r="N27" s="126">
        <f>L27/M26</f>
        <v>2.6585865025873449E-2</v>
      </c>
      <c r="O27" s="52"/>
      <c r="P27" s="80">
        <f>I27</f>
        <v>41548</v>
      </c>
      <c r="Q27" s="97">
        <f ca="1">S26*N27</f>
        <v>10518.40973208379</v>
      </c>
      <c r="R27" s="98">
        <f ca="1">S26*$C$2/2</f>
        <v>9890.9794000000002</v>
      </c>
      <c r="S27" s="99">
        <f ca="1">IF(P27&lt;$A$4,(VLOOKUP(P27,$A$11:$B$52,2,0)*$S$12),(S26-(Q27+R27)))</f>
        <v>355700.15700000001</v>
      </c>
      <c r="U27" s="80">
        <f>P27</f>
        <v>41548</v>
      </c>
      <c r="V27" s="97">
        <f ca="1">IF(U27&lt;$A$4,0,(YEARFRAC($A$4,U27,1)))</f>
        <v>0</v>
      </c>
      <c r="W27" s="141">
        <f ca="1">V27*(S26-S27)</f>
        <v>0</v>
      </c>
    </row>
    <row r="28" spans="1:23" s="53" customFormat="1">
      <c r="A28" s="49">
        <v>39539</v>
      </c>
      <c r="B28" s="50">
        <v>0.853496688</v>
      </c>
      <c r="C28" s="52"/>
      <c r="D28" s="70" t="str">
        <f ca="1">IF(E28&lt;$A$4,"Actual","Model Num")</f>
        <v>Actual</v>
      </c>
      <c r="E28" s="71">
        <f>DATE(YEAR(E27),MONTH(E27)+6,DAY(E27))</f>
        <v>41730</v>
      </c>
      <c r="F28" s="74">
        <f>MAX(IF(ISERROR(VLOOKUP(E28,$A$12:$B$52,2,0)),VLOOKUP(E28,$P$11:$S$52,4,0)/1000000,(VLOOKUP(E28,$A$12:$B$52,2,0))),0)</f>
        <v>0.31506922199999998</v>
      </c>
      <c r="G28" s="128">
        <f>F28*1000000</f>
        <v>315069.22200000001</v>
      </c>
      <c r="H28" s="64"/>
      <c r="I28" s="80">
        <f>E28</f>
        <v>41730</v>
      </c>
      <c r="J28" s="205">
        <f>$M$12*$N$7</f>
        <v>42012.6</v>
      </c>
      <c r="K28" s="88">
        <f>($F$7/360)*($O$2/100)*M27</f>
        <v>21050.275913853897</v>
      </c>
      <c r="L28" s="90">
        <f>J28-K28</f>
        <v>20962.324086146102</v>
      </c>
      <c r="M28" s="79">
        <f>M27-L28</f>
        <v>725501.36080229003</v>
      </c>
      <c r="N28" s="126">
        <f>L28/M27</f>
        <v>2.8082175342902391E-2</v>
      </c>
      <c r="O28" s="52"/>
      <c r="P28" s="80">
        <f>I28</f>
        <v>41730</v>
      </c>
      <c r="Q28" s="97">
        <f ca="1">S27*N28</f>
        <v>9988.8341783719097</v>
      </c>
      <c r="R28" s="98">
        <f ca="1">S27*$C$2/2</f>
        <v>8892.5039250000009</v>
      </c>
      <c r="S28" s="99">
        <f ca="1">IF(P28&lt;$A$4,(VLOOKUP(P28,$A$11:$B$52,2,0)*$S$12),(S27-(Q28+R28)))</f>
        <v>315069.22200000001</v>
      </c>
      <c r="U28" s="80">
        <f>P28</f>
        <v>41730</v>
      </c>
      <c r="V28" s="97">
        <f ca="1">IF(U28&lt;$A$4,0,(YEARFRAC($A$4,U28,1)))</f>
        <v>0</v>
      </c>
      <c r="W28" s="141">
        <f ca="1">V28*(S27-S28)</f>
        <v>0</v>
      </c>
    </row>
    <row r="29" spans="1:23" s="53" customFormat="1">
      <c r="A29" s="49">
        <v>39356</v>
      </c>
      <c r="B29" s="50">
        <v>0.89873214000000001</v>
      </c>
      <c r="C29" s="52"/>
      <c r="D29" s="70" t="str">
        <f ca="1">IF(E29&lt;$A$4,"Actual","Model Num")</f>
        <v>Actual</v>
      </c>
      <c r="E29" s="71">
        <f>DATE(YEAR(E28),MONTH(E28)+6,DAY(E28))</f>
        <v>41913</v>
      </c>
      <c r="F29" s="74">
        <f>MAX(IF(ISERROR(VLOOKUP(E29,$A$12:$B$52,2,0)),VLOOKUP(E29,$P$11:$S$52,4,0)/1000000,(VLOOKUP(E29,$A$12:$B$52,2,0))),0)</f>
        <v>0.272828283</v>
      </c>
      <c r="G29" s="128">
        <f>F29*1000000</f>
        <v>272828.283</v>
      </c>
      <c r="H29" s="64"/>
      <c r="I29" s="80">
        <f>E29</f>
        <v>41913</v>
      </c>
      <c r="J29" s="205">
        <f>$M$12*$N$7</f>
        <v>42012.6</v>
      </c>
      <c r="K29" s="88">
        <f>($F$7/360)*($O$2/100)*M28</f>
        <v>20459.138374624577</v>
      </c>
      <c r="L29" s="90">
        <f>J29-K29</f>
        <v>21553.461625375421</v>
      </c>
      <c r="M29" s="79">
        <f>M28-L29</f>
        <v>703947.89917691459</v>
      </c>
      <c r="N29" s="126">
        <f>L29/M28</f>
        <v>2.9708368295189264E-2</v>
      </c>
      <c r="O29" s="52"/>
      <c r="P29" s="80">
        <f>I29</f>
        <v>41913</v>
      </c>
      <c r="Q29" s="97">
        <f ca="1">S28*N29</f>
        <v>9360.1924856547485</v>
      </c>
      <c r="R29" s="98">
        <f ca="1">S28*$C$2/2</f>
        <v>7876.7305500000002</v>
      </c>
      <c r="S29" s="99">
        <f ca="1">IF(P29&lt;$A$4,(VLOOKUP(P29,$A$11:$B$52,2,0)*$S$12),(S28-(Q29+R29)))</f>
        <v>272828.283</v>
      </c>
      <c r="U29" s="80">
        <f>P29</f>
        <v>41913</v>
      </c>
      <c r="V29" s="97">
        <f ca="1">IF(U29&lt;$A$4,0,(YEARFRAC($A$4,U29,1)))</f>
        <v>0</v>
      </c>
      <c r="W29" s="141">
        <f ca="1">V29*(S28-S29)</f>
        <v>0</v>
      </c>
    </row>
    <row r="30" spans="1:23" s="53" customFormat="1">
      <c r="A30" s="49">
        <v>39173</v>
      </c>
      <c r="B30" s="50">
        <v>0.93405481099999998</v>
      </c>
      <c r="C30" s="52"/>
      <c r="D30" s="70" t="str">
        <f ca="1">IF(E30&lt;$A$4,"Actual","Model Num")</f>
        <v>Actual</v>
      </c>
      <c r="E30" s="71">
        <f>DATE(YEAR(E29),MONTH(E29)+6,DAY(E29))</f>
        <v>42095</v>
      </c>
      <c r="F30" s="74">
        <f>MAX(IF(ISERROR(VLOOKUP(E30,$A$12:$B$52,2,0)),VLOOKUP(E30,$P$11:$S$52,4,0)/1000000,(VLOOKUP(E30,$A$12:$B$52,2,0))),0)</f>
        <v>0.25447441900000001</v>
      </c>
      <c r="G30" s="128">
        <f>F30*1000000</f>
        <v>254474.41899999999</v>
      </c>
      <c r="H30" s="64"/>
      <c r="I30" s="80">
        <f>E30</f>
        <v>42095</v>
      </c>
      <c r="J30" s="205">
        <f>$M$12*$N$7</f>
        <v>42012.6</v>
      </c>
      <c r="K30" s="88">
        <f>($F$7/360)*($O$2/100)*M29</f>
        <v>19851.33075678899</v>
      </c>
      <c r="L30" s="90">
        <f>J30-K30</f>
        <v>22161.269243211009</v>
      </c>
      <c r="M30" s="79">
        <f>M29-L30</f>
        <v>681786.62993370357</v>
      </c>
      <c r="N30" s="126">
        <f>L30/M29</f>
        <v>3.1481405469244092E-2</v>
      </c>
      <c r="O30" s="52"/>
      <c r="P30" s="80">
        <f>I30</f>
        <v>42095</v>
      </c>
      <c r="Q30" s="97">
        <f ca="1">S29*N30</f>
        <v>8589.0178006006754</v>
      </c>
      <c r="R30" s="98">
        <f ca="1">S29*$C$2/2</f>
        <v>6820.7070750000003</v>
      </c>
      <c r="S30" s="99">
        <f ca="1">IF(P30&lt;$A$4,(VLOOKUP(P30,$A$11:$B$52,2,0)*$S$12),(S29-(Q30+R30)))</f>
        <v>254474.41899999999</v>
      </c>
      <c r="U30" s="80">
        <f>P30</f>
        <v>42095</v>
      </c>
      <c r="V30" s="97">
        <f ca="1">IF(U30&lt;$A$4,0,(YEARFRAC($A$4,U30,1)))</f>
        <v>0</v>
      </c>
      <c r="W30" s="141">
        <f ca="1">V30*(S29-S30)</f>
        <v>0</v>
      </c>
    </row>
    <row r="31" spans="1:23" s="53" customFormat="1">
      <c r="A31" s="49">
        <v>38991</v>
      </c>
      <c r="B31" s="50">
        <v>0.96852751699999995</v>
      </c>
      <c r="C31" s="52"/>
      <c r="D31" s="70" t="str">
        <f ca="1">IF(E31&lt;$A$4,"Actual","Model Num")</f>
        <v>Actual</v>
      </c>
      <c r="E31" s="71">
        <f>DATE(YEAR(E30),MONTH(E30)+6,DAY(E30))</f>
        <v>42278</v>
      </c>
      <c r="F31" s="74">
        <f>MAX(IF(ISERROR(VLOOKUP(E31,$A$12:$B$52,2,0)),VLOOKUP(E31,$P$11:$S$52,4,0)/1000000,(VLOOKUP(E31,$A$12:$B$52,2,0))),0)</f>
        <v>0.21606006799999999</v>
      </c>
      <c r="G31" s="128">
        <f>F31*1000000</f>
        <v>216060.068</v>
      </c>
      <c r="H31" s="64"/>
      <c r="I31" s="80">
        <f>E31</f>
        <v>42278</v>
      </c>
      <c r="J31" s="205">
        <f>$M$12*$N$7</f>
        <v>42012.6</v>
      </c>
      <c r="K31" s="88">
        <f>($F$7/360)*($O$2/100)*M30</f>
        <v>19226.38296413044</v>
      </c>
      <c r="L31" s="90">
        <f>J31-K31</f>
        <v>22786.217035869558</v>
      </c>
      <c r="M31" s="79">
        <f>M30-L31</f>
        <v>659000.41289783397</v>
      </c>
      <c r="N31" s="126">
        <f>L31/M30</f>
        <v>3.3421331594732609E-2</v>
      </c>
      <c r="O31" s="52"/>
      <c r="P31" s="80">
        <f>I31</f>
        <v>42278</v>
      </c>
      <c r="Q31" s="97">
        <f ca="1">S30*N31</f>
        <v>8504.8739397759236</v>
      </c>
      <c r="R31" s="98">
        <f ca="1">S30*$C$2/2</f>
        <v>6361.8604750000004</v>
      </c>
      <c r="S31" s="99">
        <f ca="1">IF(P31&lt;$A$4,(VLOOKUP(P31,$A$11:$B$52,2,0)*$S$12),(S30-(Q31+R31)))</f>
        <v>216060.068</v>
      </c>
      <c r="U31" s="80">
        <f>P31</f>
        <v>42278</v>
      </c>
      <c r="V31" s="97">
        <f ca="1">IF(U31&lt;$A$4,0,(YEARFRAC($A$4,U31,1)))</f>
        <v>0</v>
      </c>
      <c r="W31" s="141">
        <f ca="1">V31*(S30-S31)</f>
        <v>0</v>
      </c>
    </row>
    <row r="32" spans="1:23" s="53" customFormat="1">
      <c r="A32" s="49">
        <v>38819</v>
      </c>
      <c r="B32" s="50">
        <v>1</v>
      </c>
      <c r="C32" s="52"/>
      <c r="D32" s="70" t="str">
        <f ca="1">IF(E32&lt;$A$4,"Actual","Model Num")</f>
        <v>Actual</v>
      </c>
      <c r="E32" s="71">
        <f>DATE(YEAR(E31),MONTH(E31)+6,DAY(E31))</f>
        <v>42461</v>
      </c>
      <c r="F32" s="74">
        <f>MAX(IF(ISERROR(VLOOKUP(E32,$A$12:$B$52,2,0)),VLOOKUP(E32,$P$11:$S$52,4,0)/1000000,(VLOOKUP(E32,$A$12:$B$52,2,0))),0)</f>
        <v>0.173034034</v>
      </c>
      <c r="G32" s="128">
        <f>F32*1000000</f>
        <v>173034.03400000001</v>
      </c>
      <c r="H32" s="64"/>
      <c r="I32" s="80">
        <f>E32</f>
        <v>42461</v>
      </c>
      <c r="J32" s="205">
        <f>$M$12*$N$7</f>
        <v>42012.6</v>
      </c>
      <c r="K32" s="88">
        <f>($F$7/360)*($O$2/100)*M31</f>
        <v>18583.811643718916</v>
      </c>
      <c r="L32" s="90">
        <f>J32-K32</f>
        <v>23428.788356281082</v>
      </c>
      <c r="M32" s="79">
        <f>M31-L32</f>
        <v>635571.62454155285</v>
      </c>
      <c r="N32" s="126">
        <f>L32/M31</f>
        <v>3.5552008614466966E-2</v>
      </c>
      <c r="O32" s="52"/>
      <c r="P32" s="80">
        <f>I32</f>
        <v>42461</v>
      </c>
      <c r="Q32" s="97">
        <f ca="1">S31*N32</f>
        <v>7681.3693987783181</v>
      </c>
      <c r="R32" s="98">
        <f ca="1">S31*$C$2/2</f>
        <v>5401.5017000000007</v>
      </c>
      <c r="S32" s="99">
        <f ca="1">IF(P32&lt;$A$4,(VLOOKUP(P32,$A$11:$B$52,2,0)*$S$12),(S31-(Q32+R32)))</f>
        <v>173034.03400000001</v>
      </c>
      <c r="U32" s="80">
        <f>P32</f>
        <v>42461</v>
      </c>
      <c r="V32" s="97">
        <f ca="1">IF(U32&lt;$A$4,0,(YEARFRAC($A$4,U32,1)))</f>
        <v>0</v>
      </c>
      <c r="W32" s="141">
        <f ca="1">V32*(S31-S32)</f>
        <v>0</v>
      </c>
    </row>
    <row r="33" spans="1:23" s="53" customFormat="1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42644</v>
      </c>
      <c r="F33" s="74">
        <f ca="1">MAX(IF(ISERROR(VLOOKUP(E33,$A$12:$B$52,2,0)),VLOOKUP(E33,$P$11:$S$52,4,0)/1000000,(VLOOKUP(E33,$A$12:$B$52,2,0))),0)</f>
        <v>0.16214983508515846</v>
      </c>
      <c r="G33" s="128">
        <f ca="1">F33*1000000</f>
        <v>162149.83508515847</v>
      </c>
      <c r="H33" s="64"/>
      <c r="I33" s="80">
        <f>E33</f>
        <v>42644</v>
      </c>
      <c r="J33" s="205">
        <f>$M$12*$N$7</f>
        <v>42012.6</v>
      </c>
      <c r="K33" s="88">
        <f>($F$7/360)*($O$2/100)*M32</f>
        <v>17923.119812071789</v>
      </c>
      <c r="L33" s="90">
        <f>J33-K33</f>
        <v>24089.480187928209</v>
      </c>
      <c r="M33" s="79">
        <f>M32-L33</f>
        <v>611482.14435362467</v>
      </c>
      <c r="N33" s="126">
        <f>L33/M32</f>
        <v>3.7902069975676314E-2</v>
      </c>
      <c r="O33" s="52"/>
      <c r="P33" s="80">
        <f>I33</f>
        <v>42644</v>
      </c>
      <c r="Q33" s="97">
        <f ca="1">S32*N33</f>
        <v>6558.3480648415552</v>
      </c>
      <c r="R33" s="98">
        <f ca="1">S32*$C$2/2</f>
        <v>4325.8508500000007</v>
      </c>
      <c r="S33" s="99">
        <f ca="1">IF(P33&lt;$A$4,(VLOOKUP(P33,$A$11:$B$52,2,0)*$S$12),(S32-(Q33+R33)))</f>
        <v>162149.83508515847</v>
      </c>
      <c r="U33" s="80">
        <f>P33</f>
        <v>42644</v>
      </c>
      <c r="V33" s="97">
        <f ca="1">IF(U33&lt;$A$4,0,(YEARFRAC($A$4,U33,1)))</f>
        <v>0.48087431693989069</v>
      </c>
      <c r="W33" s="141">
        <f ca="1">V33*(S32-S33)</f>
        <v>5233.9317186123271</v>
      </c>
    </row>
    <row r="34" spans="1:23" s="53" customFormat="1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42826</v>
      </c>
      <c r="F34" s="74">
        <f ca="1">MAX(IF(ISERROR(VLOOKUP(E34,$A$12:$B$52,2,0)),VLOOKUP(E34,$P$11:$S$52,4,0)/1000000,(VLOOKUP(E34,$A$12:$B$52,2,0))),0)</f>
        <v>0.15152801940483612</v>
      </c>
      <c r="G34" s="128">
        <f ca="1">F34*1000000</f>
        <v>151528.01940483612</v>
      </c>
      <c r="H34" s="64"/>
      <c r="I34" s="80">
        <f>E34</f>
        <v>42826</v>
      </c>
      <c r="J34" s="205">
        <f>$M$12*$N$7</f>
        <v>42012.6</v>
      </c>
      <c r="K34" s="88">
        <f>($F$7/360)*($O$2/100)*M33</f>
        <v>17243.796470772217</v>
      </c>
      <c r="L34" s="90">
        <f>J34-K34</f>
        <v>24768.803529227782</v>
      </c>
      <c r="M34" s="79">
        <f>M33-L34</f>
        <v>586713.34082439693</v>
      </c>
      <c r="N34" s="126">
        <f>L34/M33</f>
        <v>4.0506176276676034E-2</v>
      </c>
      <c r="O34" s="52"/>
      <c r="P34" s="80">
        <f>I34</f>
        <v>42826</v>
      </c>
      <c r="Q34" s="97">
        <f ca="1">S33*N34</f>
        <v>6568.0698031933771</v>
      </c>
      <c r="R34" s="98">
        <f ca="1">S33*$C$2/2</f>
        <v>4053.7458771289621</v>
      </c>
      <c r="S34" s="99">
        <f ca="1">IF(P34&lt;$A$4,(VLOOKUP(P34,$A$11:$B$52,2,0)*$S$12),(S33-(Q34+R34)))</f>
        <v>151528.01940483612</v>
      </c>
      <c r="U34" s="80">
        <f>P34</f>
        <v>42826</v>
      </c>
      <c r="V34" s="97">
        <f ca="1">IF(U34&lt;$A$4,0,(YEARFRAC($A$4,U34,1)))</f>
        <v>0.98082191780821915</v>
      </c>
      <c r="W34" s="141">
        <f ca="1">V34*(S33-S34)</f>
        <v>10418.109626179184</v>
      </c>
    </row>
    <row r="35" spans="1:23" s="53" customFormat="1">
      <c r="A35" s="49"/>
      <c r="B35" s="50"/>
      <c r="D35" s="70" t="str">
        <f ca="1">IF(E35&lt;$A$4,"Actual","Model Num")</f>
        <v>Model Num</v>
      </c>
      <c r="E35" s="71">
        <f>DATE(YEAR(E34),MONTH(E34)+6,DAY(E34))</f>
        <v>43009</v>
      </c>
      <c r="F35" s="74">
        <f ca="1">MAX(IF(ISERROR(VLOOKUP(E35,$A$12:$B$52,2,0)),VLOOKUP(E35,$P$11:$S$52,4,0)/1000000,(VLOOKUP(E35,$A$12:$B$52,2,0))),0)</f>
        <v>0.14116248923652078</v>
      </c>
      <c r="G35" s="128">
        <f ca="1">F35*1000000</f>
        <v>141162.48923652078</v>
      </c>
      <c r="H35" s="55"/>
      <c r="I35" s="80">
        <f>E35</f>
        <v>43009</v>
      </c>
      <c r="J35" s="205">
        <f>$M$12*$N$7</f>
        <v>42012.6</v>
      </c>
      <c r="K35" s="88">
        <f>($F$7/360)*($O$2/100)*M34</f>
        <v>16545.316211247991</v>
      </c>
      <c r="L35" s="90">
        <f>J35-K35</f>
        <v>25467.283788752007</v>
      </c>
      <c r="M35" s="79">
        <f>M34-L35</f>
        <v>561246.05703564489</v>
      </c>
      <c r="N35" s="126">
        <f>L35/M34</f>
        <v>4.3406689462638884E-2</v>
      </c>
      <c r="O35" s="52"/>
      <c r="P35" s="80">
        <f>I35</f>
        <v>43009</v>
      </c>
      <c r="Q35" s="97">
        <f ca="1">S34*N35</f>
        <v>6577.3296831944399</v>
      </c>
      <c r="R35" s="98">
        <f ca="1">S34*$C$2/2</f>
        <v>3788.2004851209031</v>
      </c>
      <c r="S35" s="99">
        <f ca="1">IF(P35&lt;$A$4,(VLOOKUP(P35,$A$11:$B$52,2,0)*$S$12),(S34-(Q35+R35)))</f>
        <v>141162.48923652078</v>
      </c>
      <c r="U35" s="80">
        <f>P35</f>
        <v>43009</v>
      </c>
      <c r="V35" s="97">
        <f ca="1">IF(U35&lt;$A$4,0,(YEARFRAC($A$4,U35,1)))</f>
        <v>1.4801641586867305</v>
      </c>
      <c r="W35" s="141">
        <f ca="1">V35*(S34-S35)</f>
        <v>15342.686240926396</v>
      </c>
    </row>
    <row r="36" spans="1:23" s="53" customFormat="1">
      <c r="A36" s="49"/>
      <c r="B36" s="50"/>
      <c r="D36" s="70" t="str">
        <f ca="1">IF(E36&lt;$A$4,"Actual","Model Num")</f>
        <v>Model Num</v>
      </c>
      <c r="E36" s="71">
        <f>DATE(YEAR(E35),MONTH(E35)+6,DAY(E35))</f>
        <v>43191</v>
      </c>
      <c r="F36" s="74">
        <f ca="1">MAX(IF(ISERROR(VLOOKUP(E36,$A$12:$B$52,2,0)),VLOOKUP(E36,$P$11:$S$52,4,0)/1000000,(VLOOKUP(E36,$A$12:$B$52,2,0))),0)</f>
        <v>0.13104735867198725</v>
      </c>
      <c r="G36" s="128">
        <f ca="1">F36*1000000</f>
        <v>131047.35867198724</v>
      </c>
      <c r="H36" s="55"/>
      <c r="I36" s="80">
        <f>E36</f>
        <v>43191</v>
      </c>
      <c r="J36" s="205">
        <f>$M$12*$N$7</f>
        <v>42012.6</v>
      </c>
      <c r="K36" s="88">
        <f>($F$7/360)*($O$2/100)*M35</f>
        <v>15827.138808405185</v>
      </c>
      <c r="L36" s="90">
        <f>J36-K36</f>
        <v>26185.461191594812</v>
      </c>
      <c r="M36" s="79">
        <f>M35-L36</f>
        <v>535060.59584405005</v>
      </c>
      <c r="N36" s="126">
        <f>L36/M35</f>
        <v>4.6655937914111288E-2</v>
      </c>
      <c r="O36" s="52"/>
      <c r="P36" s="80">
        <f>I36</f>
        <v>43191</v>
      </c>
      <c r="Q36" s="97">
        <f ca="1">S35*N36</f>
        <v>6586.0683336205166</v>
      </c>
      <c r="R36" s="98">
        <f ca="1">S35*$C$2/2</f>
        <v>3529.0622309130194</v>
      </c>
      <c r="S36" s="99">
        <f ca="1">IF(P36&lt;$A$4,(VLOOKUP(P36,$A$11:$B$52,2,0)*$S$12),(S35-(Q36+R36)))</f>
        <v>131047.35867198724</v>
      </c>
      <c r="U36" s="80">
        <f>P36</f>
        <v>43191</v>
      </c>
      <c r="V36" s="97">
        <f ca="1">IF(U36&lt;$A$4,0,(YEARFRAC($A$4,U36,1)))</f>
        <v>1.9790145985401462</v>
      </c>
      <c r="W36" s="141">
        <f ca="1">V36*(S35-S36)</f>
        <v>20017.991053351503</v>
      </c>
    </row>
    <row r="37" spans="1:23" s="53" customFormat="1">
      <c r="A37" s="49"/>
      <c r="B37" s="50"/>
      <c r="D37" s="70" t="str">
        <f ca="1">IF(E37&lt;$A$4,"Actual","Model Num")</f>
        <v>Model Num</v>
      </c>
      <c r="E37" s="71">
        <f>DATE(YEAR(E36),MONTH(E36)+6,DAY(E36))</f>
        <v>43374</v>
      </c>
      <c r="F37" s="74">
        <f ca="1">MAX(IF(ISERROR(VLOOKUP(E37,$A$12:$B$52,2,0)),VLOOKUP(E37,$P$11:$S$52,4,0)/1000000,(VLOOKUP(E37,$A$12:$B$52,2,0))),0)</f>
        <v>0.12117695929487708</v>
      </c>
      <c r="G37" s="128">
        <f ca="1">F37*1000000</f>
        <v>121176.95929487709</v>
      </c>
      <c r="H37" s="55"/>
      <c r="I37" s="80">
        <f>E37</f>
        <v>43374</v>
      </c>
      <c r="J37" s="205">
        <f>$M$12*$N$7</f>
        <v>42012.6</v>
      </c>
      <c r="K37" s="88">
        <f>($F$7/360)*($O$2/100)*M36</f>
        <v>15088.708802802212</v>
      </c>
      <c r="L37" s="90">
        <f>J37-K37</f>
        <v>26923.891197197787</v>
      </c>
      <c r="M37" s="79">
        <f>M36-L37</f>
        <v>508136.70464685227</v>
      </c>
      <c r="N37" s="126">
        <f>L37/M36</f>
        <v>5.0319330943677049E-2</v>
      </c>
      <c r="O37" s="52"/>
      <c r="P37" s="80">
        <f>I37</f>
        <v>43374</v>
      </c>
      <c r="Q37" s="97">
        <f ca="1">S36*N37</f>
        <v>6594.2154103104722</v>
      </c>
      <c r="R37" s="98">
        <f ca="1">S36*$C$2/2</f>
        <v>3276.183966799681</v>
      </c>
      <c r="S37" s="99">
        <f ca="1">IF(P37&lt;$A$4,(VLOOKUP(P37,$A$11:$B$52,2,0)*$S$12),(S36-(Q37+R37)))</f>
        <v>121176.95929487709</v>
      </c>
      <c r="U37" s="80">
        <f>P37</f>
        <v>43374</v>
      </c>
      <c r="V37" s="97">
        <f ca="1">IF(U37&lt;$A$4,0,(YEARFRAC($A$4,U37,1)))</f>
        <v>2.4799270072992701</v>
      </c>
      <c r="W37" s="141">
        <f ca="1">V37*(S36-S37)</f>
        <v>24477.86998812536</v>
      </c>
    </row>
    <row r="38" spans="1:23" s="53" customFormat="1">
      <c r="A38" s="49"/>
      <c r="B38" s="50"/>
      <c r="D38" s="70" t="str">
        <f ca="1">IF(E38&lt;$A$4,"Actual","Model Num")</f>
        <v>Model Num</v>
      </c>
      <c r="E38" s="71">
        <f>DATE(YEAR(E37),MONTH(E37)+6,DAY(E37))</f>
        <v>43556</v>
      </c>
      <c r="F38" s="74">
        <f ca="1">MAX(IF(ISERROR(VLOOKUP(E38,$A$12:$B$52,2,0)),VLOOKUP(E38,$P$11:$S$52,4,0)/1000000,(VLOOKUP(E38,$A$12:$B$52,2,0))),0)</f>
        <v>0.11154584860982543</v>
      </c>
      <c r="G38" s="128">
        <f ca="1">F38*1000000</f>
        <v>111545.84860982544</v>
      </c>
      <c r="H38" s="55"/>
      <c r="I38" s="80">
        <f>E38</f>
        <v>43556</v>
      </c>
      <c r="J38" s="205">
        <f>$M$12*$N$7</f>
        <v>42012.6</v>
      </c>
      <c r="K38" s="88">
        <f>($F$7/360)*($O$2/100)*M37</f>
        <v>14329.455071041233</v>
      </c>
      <c r="L38" s="90">
        <f>J38-K38</f>
        <v>27683.144928958765</v>
      </c>
      <c r="M38" s="79">
        <f>M37-L38</f>
        <v>480453.55971789348</v>
      </c>
      <c r="N38" s="126">
        <f>L38/M37</f>
        <v>5.4479719090944539E-2</v>
      </c>
      <c r="O38" s="52"/>
      <c r="P38" s="80">
        <f>I38</f>
        <v>43556</v>
      </c>
      <c r="Q38" s="97">
        <f ca="1">S37*N38</f>
        <v>6601.6867026797245</v>
      </c>
      <c r="R38" s="98">
        <f ca="1">S37*$C$2/2</f>
        <v>3029.4239823719272</v>
      </c>
      <c r="S38" s="99">
        <f ca="1">IF(P38&lt;$A$4,(VLOOKUP(P38,$A$11:$B$52,2,0)*$S$12),(S37-(Q38+R38)))</f>
        <v>111545.84860982544</v>
      </c>
      <c r="U38" s="80">
        <f>P38</f>
        <v>43556</v>
      </c>
      <c r="V38" s="97">
        <f ca="1">IF(U38&lt;$A$4,0,(YEARFRAC($A$4,U38,1)))</f>
        <v>2.9787816563997263</v>
      </c>
      <c r="W38" s="141">
        <f ca="1">V38*(S37-S38)</f>
        <v>28688.975839387262</v>
      </c>
    </row>
    <row r="39" spans="1:23" s="53" customFormat="1">
      <c r="A39" s="49"/>
      <c r="B39" s="50"/>
      <c r="D39" s="70" t="str">
        <f ca="1">IF(E39&lt;$A$4,"Actual","Model Num")</f>
        <v>Model Num</v>
      </c>
      <c r="E39" s="71">
        <f>DATE(YEAR(E38),MONTH(E38)+6,DAY(E38))</f>
        <v>43739</v>
      </c>
      <c r="F39" s="74">
        <f ca="1">MAX(IF(ISERROR(VLOOKUP(E39,$A$12:$B$52,2,0)),VLOOKUP(E39,$P$11:$S$52,4,0)/1000000,(VLOOKUP(E39,$A$12:$B$52,2,0))),0)</f>
        <v>0.10214882217955024</v>
      </c>
      <c r="G39" s="128">
        <f ca="1">F39*1000000</f>
        <v>102148.82217955023</v>
      </c>
      <c r="H39" s="55"/>
      <c r="I39" s="80">
        <f>E39</f>
        <v>43739</v>
      </c>
      <c r="J39" s="205">
        <f>$M$12*$N$7</f>
        <v>42012.6</v>
      </c>
      <c r="K39" s="88">
        <f>($F$7/360)*($O$2/100)*M38</f>
        <v>13548.790384044596</v>
      </c>
      <c r="L39" s="90">
        <f>J39-K39</f>
        <v>28463.809615955404</v>
      </c>
      <c r="M39" s="79">
        <f>M38-L39</f>
        <v>451989.75010193809</v>
      </c>
      <c r="N39" s="126">
        <f>L39/M38</f>
        <v>5.9243623114517904E-2</v>
      </c>
      <c r="O39" s="52"/>
      <c r="P39" s="80">
        <f>I39</f>
        <v>43739</v>
      </c>
      <c r="Q39" s="97">
        <f ca="1">S38*N39</f>
        <v>6608.3802150295687</v>
      </c>
      <c r="R39" s="98">
        <f ca="1">S38*$C$2/2</f>
        <v>2788.6462152456361</v>
      </c>
      <c r="S39" s="99">
        <f ca="1">IF(P39&lt;$A$4,(VLOOKUP(P39,$A$11:$B$52,2,0)*$S$12),(S38-(Q39+R39)))</f>
        <v>102148.82217955023</v>
      </c>
      <c r="U39" s="80">
        <f>P39</f>
        <v>43739</v>
      </c>
      <c r="V39" s="97">
        <f ca="1">IF(U39&lt;$A$4,0,(YEARFRAC($A$4,U39,1)))</f>
        <v>3.4798083504449009</v>
      </c>
      <c r="W39" s="141">
        <f ca="1">V39*(S38-S39)</f>
        <v>32699.851041423091</v>
      </c>
    </row>
    <row r="40" spans="1:23" s="53" customFormat="1">
      <c r="A40" s="49"/>
      <c r="B40" s="50"/>
      <c r="D40" s="70" t="str">
        <f ca="1">IF(E40&lt;$A$4,"Actual","Model Num")</f>
        <v>Model Num</v>
      </c>
      <c r="E40" s="71">
        <f>DATE(YEAR(E39),MONTH(E39)+6,DAY(E39))</f>
        <v>43922</v>
      </c>
      <c r="F40" s="74">
        <f ca="1">MAX(IF(ISERROR(VLOOKUP(E40,$A$12:$B$52,2,0)),VLOOKUP(E40,$P$11:$S$52,4,0)/1000000,(VLOOKUP(E40,$A$12:$B$52,2,0))),0)</f>
        <v>9.2980930872693032E-2</v>
      </c>
      <c r="G40" s="128">
        <f ca="1">F40*1000000</f>
        <v>92980.930872693032</v>
      </c>
      <c r="H40" s="55"/>
      <c r="I40" s="80">
        <f>E40</f>
        <v>43922</v>
      </c>
      <c r="J40" s="205">
        <f>$M$12*$N$7</f>
        <v>42012.6</v>
      </c>
      <c r="K40" s="88">
        <f>($F$7/360)*($O$2/100)*M39</f>
        <v>12746.110952874653</v>
      </c>
      <c r="L40" s="90">
        <f>J40-K40</f>
        <v>29266.489047125346</v>
      </c>
      <c r="M40" s="79">
        <f>M39-L40</f>
        <v>422723.26105481276</v>
      </c>
      <c r="N40" s="126">
        <f>L40/M39</f>
        <v>6.4750337901522806E-2</v>
      </c>
      <c r="O40" s="52"/>
      <c r="P40" s="80">
        <f>I40</f>
        <v>43922</v>
      </c>
      <c r="Q40" s="97">
        <f ca="1">S39*N40</f>
        <v>6614.1707523684445</v>
      </c>
      <c r="R40" s="98">
        <f ca="1">S39*$C$2/2</f>
        <v>2553.7205544887561</v>
      </c>
      <c r="S40" s="99">
        <f ca="1">IF(P40&lt;$A$4,(VLOOKUP(P40,$A$11:$B$52,2,0)*$S$12),(S39-(Q40+R40)))</f>
        <v>92980.930872693032</v>
      </c>
      <c r="U40" s="80">
        <f>P40</f>
        <v>43922</v>
      </c>
      <c r="V40" s="97">
        <f ca="1">IF(U40&lt;$A$4,0,(YEARFRAC($A$4,U40,1)))</f>
        <v>3.9792008757526003</v>
      </c>
      <c r="W40" s="141">
        <f ca="1">V40*(S39-S40)</f>
        <v>36480.88111705082</v>
      </c>
    </row>
    <row r="41" spans="1:23" s="53" customFormat="1">
      <c r="A41" s="49"/>
      <c r="B41" s="50"/>
      <c r="D41" s="70" t="str">
        <f ca="1">IF(E41&lt;$A$4,"Actual","Model Num")</f>
        <v>Model Num</v>
      </c>
      <c r="E41" s="71">
        <f>DATE(YEAR(E40),MONTH(E40)+6,DAY(E40))</f>
        <v>44105</v>
      </c>
      <c r="F41" s="74">
        <f ca="1">MAX(IF(ISERROR(VLOOKUP(E41,$A$12:$B$52,2,0)),VLOOKUP(E41,$P$11:$S$52,4,0)/1000000,(VLOOKUP(E41,$A$12:$B$52,2,0))),0)</f>
        <v>8.4037505333387885E-2</v>
      </c>
      <c r="G41" s="128">
        <f ca="1">F41*1000000</f>
        <v>84037.50533338789</v>
      </c>
      <c r="H41" s="55"/>
      <c r="I41" s="80">
        <f>E41</f>
        <v>44105</v>
      </c>
      <c r="J41" s="205">
        <f>$M$12*$N$7</f>
        <v>42012.6</v>
      </c>
      <c r="K41" s="88">
        <f>($F$7/360)*($O$2/100)*M40</f>
        <v>11920.79596174572</v>
      </c>
      <c r="L41" s="90">
        <f>J41-K41</f>
        <v>30091.804038254279</v>
      </c>
      <c r="M41" s="79">
        <f>M40-L41</f>
        <v>392631.4570165585</v>
      </c>
      <c r="N41" s="126">
        <f>L41/M40</f>
        <v>7.118558832832339E-2</v>
      </c>
      <c r="O41" s="52"/>
      <c r="P41" s="80">
        <f>I41</f>
        <v>44105</v>
      </c>
      <c r="Q41" s="97">
        <f ca="1">S40*N41</f>
        <v>6618.9022674878215</v>
      </c>
      <c r="R41" s="98">
        <f ca="1">S40*$C$2/2</f>
        <v>2324.5232718173261</v>
      </c>
      <c r="S41" s="99">
        <f ca="1">IF(P41&lt;$A$4,(VLOOKUP(P41,$A$11:$B$52,2,0)*$S$12),(S40-(Q41+R41)))</f>
        <v>84037.50533338789</v>
      </c>
      <c r="U41" s="80">
        <f>P41</f>
        <v>44105</v>
      </c>
      <c r="V41" s="97">
        <f ca="1">IF(U41&lt;$A$4,0,(YEARFRAC($A$4,U41,1)))</f>
        <v>4.4800218938149978</v>
      </c>
      <c r="W41" s="141">
        <f ca="1">V41*(S40-S41)</f>
        <v>40066.742221791246</v>
      </c>
    </row>
    <row r="42" spans="1:23" s="53" customFormat="1">
      <c r="A42" s="49"/>
      <c r="B42" s="50"/>
      <c r="D42" s="70" t="str">
        <f ca="1">IF(E42&lt;$A$4,"Actual","Model Num")</f>
        <v>Model Num</v>
      </c>
      <c r="E42" s="71">
        <f>DATE(YEAR(E41),MONTH(E41)+6,DAY(E41))</f>
        <v>44287</v>
      </c>
      <c r="F42" s="74">
        <f ca="1">MAX(IF(ISERROR(VLOOKUP(E42,$A$12:$B$52,2,0)),VLOOKUP(E42,$P$11:$S$52,4,0)/1000000,(VLOOKUP(E42,$A$12:$B$52,2,0))),0)</f>
        <v>7.531419094469087E-2</v>
      </c>
      <c r="G42" s="128">
        <f ca="1">F42*1000000</f>
        <v>75314.190944690868</v>
      </c>
      <c r="H42" s="55"/>
      <c r="I42" s="80">
        <f>E42</f>
        <v>44287</v>
      </c>
      <c r="J42" s="205">
        <f>$M$12*$N$7</f>
        <v>42012.6</v>
      </c>
      <c r="K42" s="88">
        <f>($F$7/360)*($O$2/100)*M41</f>
        <v>11072.207087866949</v>
      </c>
      <c r="L42" s="90">
        <f>J42-K42</f>
        <v>30940.392912133051</v>
      </c>
      <c r="M42" s="79">
        <f>M41-L42</f>
        <v>361691.06410442543</v>
      </c>
      <c r="N42" s="126">
        <f>L42/M41</f>
        <v>7.8802633765608338E-2</v>
      </c>
      <c r="O42" s="52"/>
      <c r="P42" s="80">
        <f>I42</f>
        <v>44287</v>
      </c>
      <c r="Q42" s="97">
        <f ca="1">S41*N42</f>
        <v>6622.3767553623229</v>
      </c>
      <c r="R42" s="98">
        <f ca="1">S41*$C$2/2</f>
        <v>2100.9376333346972</v>
      </c>
      <c r="S42" s="99">
        <f ca="1">IF(P42&lt;$A$4,(VLOOKUP(P42,$A$11:$B$52,2,0)*$S$12),(S41-(Q42+R42)))</f>
        <v>75314.190944690868</v>
      </c>
      <c r="U42" s="80">
        <f>P42</f>
        <v>44287</v>
      </c>
      <c r="V42" s="97">
        <f ca="1">IF(U42&lt;$A$4,0,(YEARFRAC($A$4,U42,1)))</f>
        <v>4.9790145985401466</v>
      </c>
      <c r="W42" s="141">
        <f ca="1">V42*(S41-S42)</f>
        <v>43433.509688977785</v>
      </c>
    </row>
    <row r="43" spans="1:23" s="53" customFormat="1">
      <c r="A43" s="49"/>
      <c r="B43" s="50"/>
      <c r="D43" s="70" t="str">
        <f ca="1">IF(E43&lt;$A$4,"Actual","Model Num")</f>
        <v>Model Num</v>
      </c>
      <c r="E43" s="71">
        <f>DATE(YEAR(E42),MONTH(E42)+6,DAY(E42))</f>
        <v>44470</v>
      </c>
      <c r="F43" s="74">
        <f ca="1">MAX(IF(ISERROR(VLOOKUP(E43,$A$12:$B$52,2,0)),VLOOKUP(E43,$P$11:$S$52,4,0)/1000000,(VLOOKUP(E43,$A$12:$B$52,2,0))),0)</f>
        <v>6.6806998535793763E-2</v>
      </c>
      <c r="G43" s="128">
        <f ca="1">F43*1000000</f>
        <v>66806.998535793769</v>
      </c>
      <c r="H43" s="55"/>
      <c r="I43" s="80">
        <f>E43</f>
        <v>44470</v>
      </c>
      <c r="J43" s="205">
        <f>$M$12*$N$7</f>
        <v>42012.6</v>
      </c>
      <c r="K43" s="88">
        <f>($F$7/360)*($O$2/100)*M42</f>
        <v>10199.688007744797</v>
      </c>
      <c r="L43" s="90">
        <f>J43-K43</f>
        <v>31812.911992255202</v>
      </c>
      <c r="M43" s="79">
        <f>M42-L43</f>
        <v>329878.15211217024</v>
      </c>
      <c r="N43" s="126">
        <f>L43/M42</f>
        <v>8.7956035272882371E-2</v>
      </c>
      <c r="O43" s="52"/>
      <c r="P43" s="80">
        <f>I43</f>
        <v>44470</v>
      </c>
      <c r="Q43" s="97">
        <f ca="1">S42*N43</f>
        <v>6624.3376352798277</v>
      </c>
      <c r="R43" s="98">
        <f ca="1">S42*$C$2/2</f>
        <v>1882.8547736172718</v>
      </c>
      <c r="S43" s="99">
        <f ca="1">IF(P43&lt;$A$4,(VLOOKUP(P43,$A$11:$B$52,2,0)*$S$12),(S42-(Q43+R43)))</f>
        <v>66806.998535793769</v>
      </c>
      <c r="U43" s="80">
        <f>P43</f>
        <v>44470</v>
      </c>
      <c r="V43" s="97">
        <f ca="1">IF(U43&lt;$A$4,0,(YEARFRAC($A$4,U43,1)))</f>
        <v>5.4799270072992705</v>
      </c>
      <c r="W43" s="141">
        <f ca="1">V43*(S42-S43)</f>
        <v>46618.793437806555</v>
      </c>
    </row>
    <row r="44" spans="1:23" s="53" customFormat="1">
      <c r="A44" s="49"/>
      <c r="B44" s="50"/>
      <c r="D44" s="70" t="str">
        <f ca="1">IF(E44&lt;$A$4,"Actual","Model Num")</f>
        <v>Model Num</v>
      </c>
      <c r="E44" s="71">
        <f>DATE(YEAR(E43),MONTH(E43)+6,DAY(E43))</f>
        <v>44652</v>
      </c>
      <c r="F44" s="74">
        <f ca="1">MAX(IF(ISERROR(VLOOKUP(E44,$A$12:$B$52,2,0)),VLOOKUP(E44,$P$11:$S$52,4,0)/1000000,(VLOOKUP(E44,$A$12:$B$52,2,0))),0)</f>
        <v>5.8512379605607678E-2</v>
      </c>
      <c r="G44" s="128">
        <f ca="1">F44*1000000</f>
        <v>58512.379605607675</v>
      </c>
      <c r="H44" s="55"/>
      <c r="I44" s="80">
        <f>E44</f>
        <v>44652</v>
      </c>
      <c r="J44" s="205">
        <f>$M$12*$N$7</f>
        <v>42012.6</v>
      </c>
      <c r="K44" s="88">
        <f>($F$7/360)*($O$2/100)*M43</f>
        <v>9302.5638895632001</v>
      </c>
      <c r="L44" s="90">
        <f>J44-K44</f>
        <v>32710.036110436798</v>
      </c>
      <c r="M44" s="79">
        <f>M43-L44</f>
        <v>297168.11600173346</v>
      </c>
      <c r="N44" s="126">
        <f>L44/M43</f>
        <v>9.9157934228133515E-2</v>
      </c>
      <c r="O44" s="52"/>
      <c r="P44" s="80">
        <f>I44</f>
        <v>44652</v>
      </c>
      <c r="Q44" s="97">
        <f ca="1">S43*N44</f>
        <v>6624.4439667912502</v>
      </c>
      <c r="R44" s="98">
        <f ca="1">S43*$C$2/2</f>
        <v>1670.1749633948443</v>
      </c>
      <c r="S44" s="99">
        <f ca="1">IF(P44&lt;$A$4,(VLOOKUP(P44,$A$11:$B$52,2,0)*$S$12),(S43-(Q44+R44)))</f>
        <v>58512.379605607675</v>
      </c>
      <c r="U44" s="80">
        <f>P44</f>
        <v>44652</v>
      </c>
      <c r="V44" s="97">
        <f ca="1">IF(U44&lt;$A$4,0,(YEARFRAC($A$4,U44,1)))</f>
        <v>5.9788815017598749</v>
      </c>
      <c r="W44" s="141">
        <f ca="1">V44*(S43-S44)</f>
        <v>49592.543685836921</v>
      </c>
    </row>
    <row r="45" spans="1:23" s="53" customFormat="1">
      <c r="A45" s="49"/>
      <c r="B45" s="50"/>
      <c r="D45" s="70" t="str">
        <f ca="1">IF(E45&lt;$A$4,"Actual","Model Num")</f>
        <v>Model Num</v>
      </c>
      <c r="E45" s="71">
        <f>DATE(YEAR(E44),MONTH(E44)+6,DAY(E44))</f>
        <v>44835</v>
      </c>
      <c r="F45" s="74">
        <f ca="1">MAX(IF(ISERROR(VLOOKUP(E45,$A$12:$B$52,2,0)),VLOOKUP(E45,$P$11:$S$52,4,0)/1000000,(VLOOKUP(E45,$A$12:$B$52,2,0))),0)</f>
        <v>5.0427341452147188E-2</v>
      </c>
      <c r="G45" s="128">
        <f ca="1">F45*1000000</f>
        <v>50427.341452147186</v>
      </c>
      <c r="H45" s="55"/>
      <c r="I45" s="80">
        <f>E45</f>
        <v>44835</v>
      </c>
      <c r="J45" s="205">
        <f>$M$12*$N$7</f>
        <v>42012.6</v>
      </c>
      <c r="K45" s="88">
        <f>($F$7/360)*($O$2/100)*M44</f>
        <v>8380.1408712488828</v>
      </c>
      <c r="L45" s="90">
        <f>J45-K45</f>
        <v>33632.459128751114</v>
      </c>
      <c r="M45" s="79">
        <f>M44-L45</f>
        <v>263535.65687298233</v>
      </c>
      <c r="N45" s="126">
        <f>L45/M44</f>
        <v>0.1131765398699601</v>
      </c>
      <c r="O45" s="52"/>
      <c r="P45" s="80">
        <f>I45</f>
        <v>44835</v>
      </c>
      <c r="Q45" s="97">
        <f ca="1">S44*N45</f>
        <v>6622.2286633202975</v>
      </c>
      <c r="R45" s="98">
        <f ca="1">S44*$C$2/2</f>
        <v>1462.8094901401919</v>
      </c>
      <c r="S45" s="99">
        <f ca="1">IF(P45&lt;$A$4,(VLOOKUP(P45,$A$11:$B$52,2,0)*$S$12),(S44-(Q45+R45)))</f>
        <v>50427.341452147186</v>
      </c>
      <c r="U45" s="80">
        <f>P45</f>
        <v>44835</v>
      </c>
      <c r="V45" s="97">
        <f ca="1">IF(U45&lt;$A$4,0,(YEARFRAC($A$4,U45,1)))</f>
        <v>6.4798592100117327</v>
      </c>
      <c r="W45" s="141">
        <f ca="1">V45*(S44-S45)</f>
        <v>52389.908941997208</v>
      </c>
    </row>
    <row r="46" spans="1:23" s="53" customFormat="1">
      <c r="A46" s="49"/>
      <c r="B46" s="50"/>
      <c r="D46" s="70" t="str">
        <f ca="1">IF(E46&lt;$A$4,"Actual","Model Num")</f>
        <v>Model Num</v>
      </c>
      <c r="E46" s="71">
        <f>DATE(YEAR(E45),MONTH(E45)+6,DAY(E45))</f>
        <v>45017</v>
      </c>
      <c r="F46" s="74">
        <f ca="1">MAX(IF(ISERROR(VLOOKUP(E46,$A$12:$B$52,2,0)),VLOOKUP(E46,$P$11:$S$52,4,0)/1000000,(VLOOKUP(E46,$A$12:$B$52,2,0))),0)</f>
        <v>4.25496308533099E-2</v>
      </c>
      <c r="G46" s="128">
        <f ca="1">F46*1000000</f>
        <v>42549.6308533099</v>
      </c>
      <c r="H46" s="55"/>
      <c r="I46" s="80">
        <f>E46</f>
        <v>45017</v>
      </c>
      <c r="J46" s="205">
        <f>$M$12*$N$7</f>
        <v>42012.6</v>
      </c>
      <c r="K46" s="88">
        <f>($F$7/360)*($O$2/100)*M45</f>
        <v>7431.7055238181019</v>
      </c>
      <c r="L46" s="90">
        <f>J46-K46</f>
        <v>34580.8944761819</v>
      </c>
      <c r="M46" s="79">
        <f>M45-L46</f>
        <v>228954.76239680045</v>
      </c>
      <c r="N46" s="126">
        <f>L46/M45</f>
        <v>0.13121903459481021</v>
      </c>
      <c r="O46" s="52"/>
      <c r="P46" s="80">
        <f>I46</f>
        <v>45017</v>
      </c>
      <c r="Q46" s="97">
        <f ca="1">S45*N46</f>
        <v>6617.0270625336088</v>
      </c>
      <c r="R46" s="98">
        <f ca="1">S45*$C$2/2</f>
        <v>1260.6835363036798</v>
      </c>
      <c r="S46" s="99">
        <f ca="1">IF(P46&lt;$A$4,(VLOOKUP(P46,$A$11:$B$52,2,0)*$S$12),(S45-(Q46+R46)))</f>
        <v>42549.6308533099</v>
      </c>
      <c r="U46" s="80">
        <f>P46</f>
        <v>45017</v>
      </c>
      <c r="V46" s="97">
        <f ca="1">IF(U46&lt;$A$4,0,(YEARFRAC($A$4,U46,1)))</f>
        <v>6.9787816563997263</v>
      </c>
      <c r="W46" s="141">
        <f ca="1">V46*(S45-S46)</f>
        <v>54976.822221591356</v>
      </c>
    </row>
    <row r="47" spans="1:23" s="53" customFormat="1">
      <c r="A47" s="49"/>
      <c r="B47" s="50"/>
      <c r="D47" s="70" t="str">
        <f ca="1">IF(E47&lt;$A$4,"Actual","Model Num")</f>
        <v>Model Num</v>
      </c>
      <c r="E47" s="71">
        <f>DATE(YEAR(E46),MONTH(E46)+6,DAY(E46))</f>
        <v>45200</v>
      </c>
      <c r="F47" s="74">
        <f ca="1">MAX(IF(ISERROR(VLOOKUP(E47,$A$12:$B$52,2,0)),VLOOKUP(E47,$P$11:$S$52,4,0)/1000000,(VLOOKUP(E47,$A$12:$B$52,2,0))),0)</f>
        <v>3.4878043711772361E-2</v>
      </c>
      <c r="G47" s="128">
        <f ca="1">F47*1000000</f>
        <v>34878.043711772363</v>
      </c>
      <c r="H47" s="55"/>
      <c r="I47" s="80">
        <f>E47</f>
        <v>45200</v>
      </c>
      <c r="J47" s="205">
        <f>$M$12*$N$7</f>
        <v>42012.6</v>
      </c>
      <c r="K47" s="88">
        <f>($F$7/360)*($O$2/100)*M46</f>
        <v>6456.5242995897725</v>
      </c>
      <c r="L47" s="90">
        <f>J47-K47</f>
        <v>35556.075700410227</v>
      </c>
      <c r="M47" s="79">
        <f>M46-L47</f>
        <v>193398.68669639021</v>
      </c>
      <c r="N47" s="126">
        <f>L47/M46</f>
        <v>0.15529738420023845</v>
      </c>
      <c r="O47" s="52"/>
      <c r="P47" s="80">
        <f>I47</f>
        <v>45200</v>
      </c>
      <c r="Q47" s="97">
        <f ca="1">S46*N47</f>
        <v>6607.8463702047875</v>
      </c>
      <c r="R47" s="98">
        <f ca="1">S46*$C$2/2</f>
        <v>1063.7407713327475</v>
      </c>
      <c r="S47" s="99">
        <f ca="1">IF(P47&lt;$A$4,(VLOOKUP(P47,$A$11:$B$52,2,0)*$S$12),(S46-(Q47+R47)))</f>
        <v>34878.043711772363</v>
      </c>
      <c r="U47" s="80">
        <f>P47</f>
        <v>45200</v>
      </c>
      <c r="V47" s="97">
        <f ca="1">IF(U47&lt;$A$4,0,(YEARFRAC($A$4,U47,1)))</f>
        <v>7.4798083504449009</v>
      </c>
      <c r="W47" s="141">
        <f ca="1">V47*(S46-S47)</f>
        <v>57382.001562438192</v>
      </c>
    </row>
    <row r="48" spans="1:23" s="53" customFormat="1">
      <c r="A48" s="49"/>
      <c r="B48" s="50"/>
      <c r="D48" s="70" t="str">
        <f ca="1">IF(E48&lt;$A$4,"Actual","Model Num")</f>
        <v>Model Num</v>
      </c>
      <c r="E48" s="71">
        <f>DATE(YEAR(E47),MONTH(E47)+6,DAY(E47))</f>
        <v>45383</v>
      </c>
      <c r="F48" s="74">
        <f ca="1">MAX(IF(ISERROR(VLOOKUP(E48,$A$12:$B$52,2,0)),VLOOKUP(E48,$P$11:$S$52,4,0)/1000000,(VLOOKUP(E48,$A$12:$B$52,2,0))),0)</f>
        <v>2.7412987217377425E-2</v>
      </c>
      <c r="G48" s="128">
        <f ca="1">F48*1000000</f>
        <v>27412.987217377424</v>
      </c>
      <c r="H48" s="55"/>
      <c r="I48" s="80">
        <f>E48</f>
        <v>45383</v>
      </c>
      <c r="J48" s="205">
        <f>$M$12*$N$7</f>
        <v>42012.6</v>
      </c>
      <c r="K48" s="88">
        <f>($F$7/360)*($O$2/100)*M47</f>
        <v>5453.8429648382044</v>
      </c>
      <c r="L48" s="90">
        <f>J48-K48</f>
        <v>36558.757035161791</v>
      </c>
      <c r="M48" s="79">
        <f>M47-L48</f>
        <v>156839.92966122844</v>
      </c>
      <c r="N48" s="126">
        <f>L48/M47</f>
        <v>0.18903311940558362</v>
      </c>
      <c r="O48" s="52"/>
      <c r="P48" s="80">
        <f>I48</f>
        <v>45383</v>
      </c>
      <c r="Q48" s="97">
        <f ca="1">S47*N48</f>
        <v>6593.1054016006301</v>
      </c>
      <c r="R48" s="98">
        <f ca="1">S47*$C$2/2</f>
        <v>871.95109279430915</v>
      </c>
      <c r="S48" s="99">
        <f ca="1">IF(P48&lt;$A$4,(VLOOKUP(P48,$A$11:$B$52,2,0)*$S$12),(S47-(Q48+R48)))</f>
        <v>27412.987217377424</v>
      </c>
      <c r="U48" s="80">
        <f>P48</f>
        <v>45383</v>
      </c>
      <c r="V48" s="97">
        <f ca="1">IF(U48&lt;$A$4,0,(YEARFRAC($A$4,U48,1)))</f>
        <v>7.9790145985401466</v>
      </c>
      <c r="W48" s="141">
        <f ca="1">V48*(S47-S48)</f>
        <v>59563.794747704153</v>
      </c>
    </row>
    <row r="49" spans="1:23" s="53" customFormat="1">
      <c r="A49" s="49"/>
      <c r="B49" s="50"/>
      <c r="D49" s="70" t="str">
        <f ca="1">IF(E49&lt;$A$4,"Actual","Model Num")</f>
        <v>Model Num</v>
      </c>
      <c r="E49" s="71">
        <f>DATE(YEAR(E48),MONTH(E48)+6,DAY(E48))</f>
        <v>45566</v>
      </c>
      <c r="F49" s="74">
        <f ca="1">MAX(IF(ISERROR(VLOOKUP(E49,$A$12:$B$52,2,0)),VLOOKUP(E49,$P$11:$S$52,4,0)/1000000,(VLOOKUP(E49,$A$12:$B$52,2,0))),0)</f>
        <v>2.0157611458995122E-2</v>
      </c>
      <c r="G49" s="128">
        <f ca="1">F49*1000000</f>
        <v>20157.611458995121</v>
      </c>
      <c r="H49" s="55"/>
      <c r="I49" s="80">
        <f>E49</f>
        <v>45566</v>
      </c>
      <c r="J49" s="205">
        <f>$M$12*$N$7</f>
        <v>42012.6</v>
      </c>
      <c r="K49" s="88">
        <f>($F$7/360)*($O$2/100)*M48</f>
        <v>4422.8860164466414</v>
      </c>
      <c r="L49" s="90">
        <f>J49-K49</f>
        <v>37589.71398355336</v>
      </c>
      <c r="M49" s="79">
        <f>M48-L49</f>
        <v>119250.21567767508</v>
      </c>
      <c r="N49" s="126">
        <f>L49/M48</f>
        <v>0.23966928616167132</v>
      </c>
      <c r="O49" s="52"/>
      <c r="P49" s="80">
        <f>I49</f>
        <v>45566</v>
      </c>
      <c r="Q49" s="97">
        <f ca="1">S48*N49</f>
        <v>6570.0510779478682</v>
      </c>
      <c r="R49" s="98">
        <f ca="1">S48*$C$2/2</f>
        <v>685.32468043443566</v>
      </c>
      <c r="S49" s="99">
        <f ca="1">IF(P49&lt;$A$4,(VLOOKUP(P49,$A$11:$B$52,2,0)*$S$12),(S48-(Q49+R49)))</f>
        <v>20157.611458995121</v>
      </c>
      <c r="U49" s="80">
        <f>P49</f>
        <v>45566</v>
      </c>
      <c r="V49" s="97">
        <f ca="1">IF(U49&lt;$A$4,0,(YEARFRAC($A$4,U49,1)))</f>
        <v>8.4799270072992705</v>
      </c>
      <c r="W49" s="141">
        <f ca="1">V49*(S48-S49)</f>
        <v>61525.056841610516</v>
      </c>
    </row>
    <row r="50" spans="1:23" s="53" customFormat="1">
      <c r="A50" s="49"/>
      <c r="B50" s="50"/>
      <c r="D50" s="70" t="str">
        <f ca="1">IF(E50&lt;$A$4,"Actual","Model Num")</f>
        <v>Model Num</v>
      </c>
      <c r="E50" s="71">
        <f>DATE(YEAR(E49),MONTH(E49)+6,DAY(E49))</f>
        <v>45748</v>
      </c>
      <c r="F50" s="74">
        <f ca="1">MAX(IF(ISERROR(VLOOKUP(E50,$A$12:$B$52,2,0)),VLOOKUP(E50,$P$11:$S$52,4,0)/1000000,(VLOOKUP(E50,$A$12:$B$52,2,0))),0)</f>
        <v>1.3120462687662711E-2</v>
      </c>
      <c r="G50" s="128">
        <f ca="1">F50*1000000</f>
        <v>13120.462687662712</v>
      </c>
      <c r="H50" s="55"/>
      <c r="I50" s="80">
        <f>E50</f>
        <v>45748</v>
      </c>
      <c r="J50" s="205">
        <f>$M$12*$N$7</f>
        <v>42012.6</v>
      </c>
      <c r="K50" s="88">
        <f>($F$7/360)*($O$2/100)*M49</f>
        <v>3362.856082110437</v>
      </c>
      <c r="L50" s="90">
        <f>J50-K50</f>
        <v>38649.743917889558</v>
      </c>
      <c r="M50" s="79">
        <f>M49-L50</f>
        <v>80600.47175978552</v>
      </c>
      <c r="N50" s="126">
        <f>L50/M49</f>
        <v>0.32410628105157552</v>
      </c>
      <c r="O50" s="52"/>
      <c r="P50" s="80">
        <f>I50</f>
        <v>45748</v>
      </c>
      <c r="Q50" s="97">
        <f ca="1">S49*N50</f>
        <v>6533.2084848575323</v>
      </c>
      <c r="R50" s="98">
        <f ca="1">S49*$C$2/2</f>
        <v>503.94028647487806</v>
      </c>
      <c r="S50" s="99">
        <f ca="1">IF(P50&lt;$A$4,(VLOOKUP(P50,$A$11:$B$52,2,0)*$S$12),(S49-(Q50+R50)))</f>
        <v>13120.462687662712</v>
      </c>
      <c r="U50" s="80">
        <f>P50</f>
        <v>45748</v>
      </c>
      <c r="V50" s="97">
        <f ca="1">IF(U50&lt;$A$4,0,(YEARFRAC($A$4,U50,1)))</f>
        <v>8.9789214344374493</v>
      </c>
      <c r="W50" s="141">
        <f ca="1">V50*(S49-S50)</f>
        <v>63186.005940241732</v>
      </c>
    </row>
    <row r="51" spans="1:23" s="53" customFormat="1">
      <c r="A51" s="49"/>
      <c r="B51" s="50"/>
      <c r="D51" s="70" t="str">
        <f ca="1">IF(E51&lt;$A$4,"Actual","Model Num")</f>
        <v>Model Num</v>
      </c>
      <c r="E51" s="71">
        <f>DATE(YEAR(E50),MONTH(E50)+6,DAY(E50))</f>
        <v>45931</v>
      </c>
      <c r="F51" s="74">
        <f ca="1">MAX(IF(ISERROR(VLOOKUP(E51,$A$12:$B$52,2,0)),VLOOKUP(E51,$P$11:$S$52,4,0)/1000000,(VLOOKUP(E51,$A$12:$B$52,2,0))),0)</f>
        <v>6.323471439261946E-3</v>
      </c>
      <c r="G51" s="128">
        <f ca="1">F51*1000000</f>
        <v>6323.4714392619462</v>
      </c>
      <c r="H51" s="55"/>
      <c r="I51" s="80">
        <f>E51</f>
        <v>45931</v>
      </c>
      <c r="J51" s="205">
        <f>$M$12*$N$7</f>
        <v>42012.6</v>
      </c>
      <c r="K51" s="88">
        <f>($F$7/360)*($O$2/100)*M50</f>
        <v>2272.9333036259518</v>
      </c>
      <c r="L51" s="90">
        <f>J51-K51</f>
        <v>39739.66669637405</v>
      </c>
      <c r="M51" s="79">
        <f>M50-L51</f>
        <v>40860.80506341147</v>
      </c>
      <c r="N51" s="126">
        <f>L51/M50</f>
        <v>0.49304508805867314</v>
      </c>
      <c r="O51" s="52"/>
      <c r="P51" s="80">
        <f>I51</f>
        <v>45931</v>
      </c>
      <c r="Q51" s="97">
        <f ca="1">S50*N51</f>
        <v>6468.9796812091972</v>
      </c>
      <c r="R51" s="98">
        <f ca="1">S50*$C$2/2</f>
        <v>328.01156719156779</v>
      </c>
      <c r="S51" s="99">
        <f ca="1">IF(P51&lt;$A$4,(VLOOKUP(P51,$A$11:$B$52,2,0)*$S$12),(S50-(Q51+R51)))</f>
        <v>6323.4714392619462</v>
      </c>
      <c r="U51" s="80">
        <f>P51</f>
        <v>45931</v>
      </c>
      <c r="V51" s="97">
        <f ca="1">IF(U51&lt;$A$4,0,(YEARFRAC($A$4,U51,1)))</f>
        <v>9.4798795510539282</v>
      </c>
      <c r="W51" s="141">
        <f ca="1">V51*(S50-S51)</f>
        <v>64434.658344406926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46113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46113</v>
      </c>
      <c r="J52" s="206">
        <f>$M$12*$N$7</f>
        <v>42012.6</v>
      </c>
      <c r="K52" s="89">
        <f>($F$7/360)*($O$2/100)*M51</f>
        <v>1152.2747027882035</v>
      </c>
      <c r="L52" s="91">
        <f>J52-K52</f>
        <v>40860.325297211792</v>
      </c>
      <c r="M52" s="85">
        <f>M51-L52</f>
        <v>0.47976619967812439</v>
      </c>
      <c r="N52" s="127">
        <f>L52/M51</f>
        <v>0.99998825852307771</v>
      </c>
      <c r="O52" s="86"/>
      <c r="P52" s="84">
        <f>I52</f>
        <v>46113</v>
      </c>
      <c r="Q52" s="100">
        <f ca="1">S51*N52</f>
        <v>6323.3971923679737</v>
      </c>
      <c r="R52" s="98">
        <f ca="1">S51*$C$2/2</f>
        <v>158.08678598154867</v>
      </c>
      <c r="S52" s="102">
        <v>0</v>
      </c>
      <c r="U52" s="142">
        <f>P52</f>
        <v>46113</v>
      </c>
      <c r="V52" s="143">
        <f ca="1">IF(U52&lt;$A$4,0,(YEARFRAC($A$4,U52,1)))</f>
        <v>9.9788451966152323</v>
      </c>
      <c r="W52" s="141">
        <f ca="1">V52*(S51-S52)</f>
        <v>63100.94259761268</v>
      </c>
    </row>
    <row r="53" spans="1:23" s="53" customFormat="1">
      <c r="A53" s="49"/>
      <c r="B53" s="50"/>
      <c r="G53" s="55"/>
      <c r="H53" s="55"/>
    </row>
    <row r="54" spans="1:23" s="53" customFormat="1">
      <c r="A54" s="49"/>
      <c r="B54" s="50"/>
      <c r="G54" s="55"/>
      <c r="H54" s="55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31" priority="1" stopIfTrue="1">
      <formula>$D1="Actual"</formula>
    </cfRule>
  </conditionalFormatting>
  <conditionalFormatting sqref="A4">
    <cfRule type="expression" dxfId="30" priority="2" stopIfTrue="1">
      <formula>#REF!="Actual"</formula>
    </cfRule>
  </conditionalFormatting>
  <conditionalFormatting sqref="C6:C9">
    <cfRule type="cellIs" dxfId="29" priority="3" stopIfTrue="1" operator="equal">
      <formula>"PROB!!"</formula>
    </cfRule>
  </conditionalFormatting>
  <conditionalFormatting sqref="A7">
    <cfRule type="expression" dxfId="28" priority="4" stopIfTrue="1">
      <formula>A7="Warning - Update"</formula>
    </cfRule>
  </conditionalFormatting>
  <pageMargins left="0.75" right="0.75" top="1" bottom="1" header="0.5" footer="0.5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indexed="40"/>
  </sheetPr>
  <dimension ref="A1:W200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129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10</v>
      </c>
      <c r="B2" s="67" t="str">
        <f>MID(A2,3,9)</f>
        <v>83162CQA4</v>
      </c>
      <c r="C2" s="131">
        <v>0.05</v>
      </c>
      <c r="D2" s="67">
        <f>IF(ISERROR(VLOOKUP(A2,'Bond Position per Summit'!$C$42:$E$56,3,0)),0,VLOOKUP(A2,'Bond Position per Summit'!$C$42:$E$56,3,0))</f>
        <v>3319646.11</v>
      </c>
      <c r="E2" s="67">
        <f>IF(ISERROR(VLOOKUP(A2,'Bond Position per Summit'!$C$65:$E$73,3,0)),0,VLOOKUP(A2,'Bond Position per Summit'!$C$65:$E$73,3,0))</f>
        <v>13480796.4</v>
      </c>
      <c r="F2" s="67" t="str">
        <f>_xll.BDP($B2&amp;" Mtge Cusip",F$1)</f>
        <v>SBAP 2006-20A 1</v>
      </c>
      <c r="G2" s="67">
        <f>VLOOKUP(A2,'Bond Position per Summit'!$C$10:$D$32,2,0)</f>
        <v>24925000</v>
      </c>
      <c r="H2" s="67">
        <f>VLOOKUP(A2,'Bond Position per Summit'!$C$10:$E$32,3,0)</f>
        <v>16800442.510000002</v>
      </c>
      <c r="I2" s="67" t="str">
        <f>_xll.BDP($B2&amp;" Mtge Cusip",I$1)</f>
        <v>11/01/2006</v>
      </c>
      <c r="J2" s="67" t="str">
        <f>_xll.BDP($B2&amp;" Mtge Cusip",J$1)</f>
        <v>11/01/2006</v>
      </c>
      <c r="K2" s="67" t="str">
        <f>_xll.BDP($B2&amp;" Mtge Cusip",K$1)</f>
        <v>01/07/2006</v>
      </c>
      <c r="L2" s="67" t="str">
        <f>_xll.BDP($B2&amp;" Mtge Cusip",L$1)</f>
        <v>01/01/2026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5.21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24925000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0.18879330540000003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170</v>
      </c>
      <c r="I6" s="108" t="s">
        <v>81</v>
      </c>
      <c r="J6" s="118">
        <v>39097</v>
      </c>
      <c r="K6" s="113">
        <f>ROUND(J6/J5,8)</f>
        <v>3.9097E-2</v>
      </c>
      <c r="L6" s="108" t="s">
        <v>81</v>
      </c>
      <c r="M6" s="112">
        <v>974484</v>
      </c>
      <c r="N6" s="134">
        <f>ROUND(M6/M5,8)</f>
        <v>3.9096649999999997E-2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40544</v>
      </c>
      <c r="K7" s="115">
        <f>ROUND(J7/J5,8)</f>
        <v>4.0543999999999997E-2</v>
      </c>
      <c r="L7" s="109" t="s">
        <v>82</v>
      </c>
      <c r="M7" s="114">
        <v>1010556</v>
      </c>
      <c r="N7" s="133">
        <f>ROUND(M7/M5,8)</f>
        <v>4.0543870000000003E-2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4.5184383377295392</v>
      </c>
    </row>
    <row r="12" spans="1:23">
      <c r="A12" s="49">
        <f>_xll.BDS($B2&amp;" Mtge Cusip",A11,"cols=2;rows=21")</f>
        <v>42370</v>
      </c>
      <c r="B12" s="50">
        <v>0.18879330499999999</v>
      </c>
      <c r="C12" s="52"/>
      <c r="D12" s="70" t="str">
        <f ca="1">IF(E12&lt;$A$4,"Actual","Model Num")</f>
        <v>Actual</v>
      </c>
      <c r="E12" s="71">
        <v>38728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38728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38728</v>
      </c>
      <c r="Q12" s="94"/>
      <c r="R12" s="95"/>
      <c r="S12" s="96">
        <f>M12</f>
        <v>1000000</v>
      </c>
      <c r="U12" s="139">
        <f>P12</f>
        <v>38728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42186</v>
      </c>
      <c r="B13" s="50">
        <v>0.21836788600000001</v>
      </c>
      <c r="C13" s="52"/>
      <c r="D13" s="70" t="str">
        <f ca="1">IF(E13&lt;$A$4,"Actual","Model Num")</f>
        <v>Actual</v>
      </c>
      <c r="E13" s="71">
        <v>38899</v>
      </c>
      <c r="F13" s="74">
        <f>MAX(IF(ISERROR(VLOOKUP(E13,$A$12:$B$52,2,0)),VLOOKUP(E13,$P$11:$S$52,4,0)/1000000,(VLOOKUP(E13,$A$12:$B$52,2,0))),0)</f>
        <v>0.97677827500000003</v>
      </c>
      <c r="G13" s="128">
        <f>F13*1000000</f>
        <v>976778.27500000002</v>
      </c>
      <c r="H13" s="64"/>
      <c r="I13" s="80">
        <f>E13</f>
        <v>38899</v>
      </c>
      <c r="J13" s="125">
        <f>$M$12*$N$6</f>
        <v>39096.649999999994</v>
      </c>
      <c r="K13" s="88">
        <f>($F$6/360)*($O$2/100)*M12</f>
        <v>24602.777777777777</v>
      </c>
      <c r="L13" s="90">
        <f>J13-K13</f>
        <v>14493.872222222217</v>
      </c>
      <c r="M13" s="79">
        <f>M12-L13</f>
        <v>985506.12777777773</v>
      </c>
      <c r="N13" s="126">
        <f>L13/M12</f>
        <v>1.4493872222222216E-2</v>
      </c>
      <c r="O13" s="52"/>
      <c r="P13" s="80">
        <f>I13</f>
        <v>38899</v>
      </c>
      <c r="Q13" s="97">
        <f>S12*N13</f>
        <v>14493.872222222217</v>
      </c>
      <c r="R13" s="98">
        <f>S12*$C$2/2</f>
        <v>25000</v>
      </c>
      <c r="S13" s="99">
        <f ca="1">IF(P13&lt;$A$4,(VLOOKUP(P13,$A$11:$B$52,2,0)*$S$12),(S12-(Q13+R13)))</f>
        <v>976778.27500000002</v>
      </c>
      <c r="U13" s="80">
        <f>P13</f>
        <v>38899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42005</v>
      </c>
      <c r="B14" s="50">
        <v>0.25636170800000002</v>
      </c>
      <c r="C14" s="52"/>
      <c r="D14" s="70" t="str">
        <f ca="1">IF(E14&lt;$A$4,"Actual","Model Num")</f>
        <v>Actual</v>
      </c>
      <c r="E14" s="71">
        <f>DATE(YEAR(E13),MONTH(E13)+6,DAY(E13))</f>
        <v>39083</v>
      </c>
      <c r="F14" s="74">
        <f>MAX(IF(ISERROR(VLOOKUP(E14,$A$12:$B$52,2,0)),VLOOKUP(E14,$P$11:$S$52,4,0)/1000000,(VLOOKUP(E14,$A$12:$B$52,2,0))),0)</f>
        <v>0.94454959199999999</v>
      </c>
      <c r="G14" s="128">
        <f>F14*1000000</f>
        <v>944549.59199999995</v>
      </c>
      <c r="H14" s="64"/>
      <c r="I14" s="80">
        <f>E14</f>
        <v>39083</v>
      </c>
      <c r="J14" s="210">
        <f>$M$12*$N$7</f>
        <v>40543.870000000003</v>
      </c>
      <c r="K14" s="88">
        <f>($F$7/360)*($O$2/100)*M13</f>
        <v>25672.43462861111</v>
      </c>
      <c r="L14" s="90">
        <f>J14-K14</f>
        <v>14871.435371388892</v>
      </c>
      <c r="M14" s="79">
        <f>M13-L14</f>
        <v>970634.69240638881</v>
      </c>
      <c r="N14" s="126">
        <f>L14/M13</f>
        <v>1.5090150078439958E-2</v>
      </c>
      <c r="O14" s="52"/>
      <c r="P14" s="80">
        <f>I14</f>
        <v>39083</v>
      </c>
      <c r="Q14" s="97">
        <f ca="1">S13*N14</f>
        <v>14739.730763109697</v>
      </c>
      <c r="R14" s="98">
        <f ca="1">S13*$C$2/2</f>
        <v>24419.456875000003</v>
      </c>
      <c r="S14" s="99">
        <f ca="1">IF(P14&lt;$A$4,(VLOOKUP(P14,$A$11:$B$52,2,0)*$S$12),(S13-(Q14+R14)))</f>
        <v>944549.59199999995</v>
      </c>
      <c r="U14" s="80">
        <f>P14</f>
        <v>39083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41821</v>
      </c>
      <c r="B15" s="50">
        <v>0.29256902600000001</v>
      </c>
      <c r="C15" s="52"/>
      <c r="D15" s="70" t="str">
        <f ca="1">IF(E15&lt;$A$4,"Actual","Model Num")</f>
        <v>Actual</v>
      </c>
      <c r="E15" s="71">
        <f>DATE(YEAR(E14),MONTH(E14)+6,DAY(E14))</f>
        <v>39264</v>
      </c>
      <c r="F15" s="74">
        <f>MAX(IF(ISERROR(VLOOKUP(E15,$A$12:$B$52,2,0)),VLOOKUP(E15,$P$11:$S$52,4,0)/1000000,(VLOOKUP(E15,$A$12:$B$52,2,0))),0)</f>
        <v>0.91811009899999996</v>
      </c>
      <c r="G15" s="128">
        <f>F15*1000000</f>
        <v>918110.09899999993</v>
      </c>
      <c r="H15" s="64"/>
      <c r="I15" s="80">
        <f>E15</f>
        <v>39264</v>
      </c>
      <c r="J15" s="210">
        <f>$M$12*$N$7</f>
        <v>40543.870000000003</v>
      </c>
      <c r="K15" s="88">
        <f>($F$7/360)*($O$2/100)*M14</f>
        <v>25285.03373718643</v>
      </c>
      <c r="L15" s="90">
        <f>J15-K15</f>
        <v>15258.836262813573</v>
      </c>
      <c r="M15" s="79">
        <f>M14-L15</f>
        <v>955375.85614357528</v>
      </c>
      <c r="N15" s="126">
        <f>L15/M14</f>
        <v>1.5720472781561107E-2</v>
      </c>
      <c r="O15" s="52"/>
      <c r="P15" s="80">
        <f>I15</f>
        <v>39264</v>
      </c>
      <c r="Q15" s="97">
        <f ca="1">S14*N15</f>
        <v>14848.766151870648</v>
      </c>
      <c r="R15" s="98">
        <f ca="1">S14*$C$2/2</f>
        <v>23613.739799999999</v>
      </c>
      <c r="S15" s="99">
        <f ca="1">IF(P15&lt;$A$4,(VLOOKUP(P15,$A$11:$B$52,2,0)*$S$12),(S14-(Q15+R15)))</f>
        <v>918110.09899999993</v>
      </c>
      <c r="U15" s="80">
        <f>P15</f>
        <v>39264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41640</v>
      </c>
      <c r="B16" s="50">
        <v>0.34251546599999999</v>
      </c>
      <c r="C16" s="52"/>
      <c r="D16" s="70" t="str">
        <f ca="1">IF(E16&lt;$A$4,"Actual","Model Num")</f>
        <v>Actual</v>
      </c>
      <c r="E16" s="71">
        <f>DATE(YEAR(E15),MONTH(E15)+6,DAY(E15))</f>
        <v>39448</v>
      </c>
      <c r="F16" s="74">
        <f>MAX(IF(ISERROR(VLOOKUP(E16,$A$12:$B$52,2,0)),VLOOKUP(E16,$P$11:$S$52,4,0)/1000000,(VLOOKUP(E16,$A$12:$B$52,2,0))),0)</f>
        <v>0.87601348599999995</v>
      </c>
      <c r="G16" s="128">
        <f>F16*1000000</f>
        <v>876013.48599999992</v>
      </c>
      <c r="H16" s="64"/>
      <c r="I16" s="80">
        <f>E16</f>
        <v>39448</v>
      </c>
      <c r="J16" s="210">
        <f>$M$12*$N$7</f>
        <v>40543.870000000003</v>
      </c>
      <c r="K16" s="88">
        <f>($F$7/360)*($O$2/100)*M15</f>
        <v>24887.541052540135</v>
      </c>
      <c r="L16" s="90">
        <f>J16-K16</f>
        <v>15656.328947459868</v>
      </c>
      <c r="M16" s="79">
        <f>M15-L16</f>
        <v>939719.52719611546</v>
      </c>
      <c r="N16" s="126">
        <f>L16/M15</f>
        <v>1.6387612107613289E-2</v>
      </c>
      <c r="O16" s="52"/>
      <c r="P16" s="80">
        <f>I16</f>
        <v>39448</v>
      </c>
      <c r="Q16" s="97">
        <f ca="1">S15*N16</f>
        <v>15045.632174494434</v>
      </c>
      <c r="R16" s="98">
        <f ca="1">S15*$C$2/2</f>
        <v>22952.752475000001</v>
      </c>
      <c r="S16" s="99">
        <f ca="1">IF(P16&lt;$A$4,(VLOOKUP(P16,$A$11:$B$52,2,0)*$S$12),(S15-(Q16+R16)))</f>
        <v>876013.48599999992</v>
      </c>
      <c r="U16" s="80">
        <f>P16</f>
        <v>39448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41456</v>
      </c>
      <c r="B17" s="50">
        <v>0.39290096499999999</v>
      </c>
      <c r="C17" s="52"/>
      <c r="D17" s="70" t="str">
        <f ca="1">IF(E17&lt;$A$4,"Actual","Model Num")</f>
        <v>Actual</v>
      </c>
      <c r="E17" s="71">
        <f>DATE(YEAR(E16),MONTH(E16)+6,DAY(E16))</f>
        <v>39630</v>
      </c>
      <c r="F17" s="74">
        <f>MAX(IF(ISERROR(VLOOKUP(E17,$A$12:$B$52,2,0)),VLOOKUP(E17,$P$11:$S$52,4,0)/1000000,(VLOOKUP(E17,$A$12:$B$52,2,0))),0)</f>
        <v>0.82085024600000001</v>
      </c>
      <c r="G17" s="128">
        <f>F17*1000000</f>
        <v>820850.24600000004</v>
      </c>
      <c r="H17" s="64"/>
      <c r="I17" s="80">
        <f>E17</f>
        <v>39630</v>
      </c>
      <c r="J17" s="210">
        <f>$M$12*$N$7</f>
        <v>40543.870000000003</v>
      </c>
      <c r="K17" s="88">
        <f>($F$7/360)*($O$2/100)*M16</f>
        <v>24479.693683458809</v>
      </c>
      <c r="L17" s="90">
        <f>J17-K17</f>
        <v>16064.176316541194</v>
      </c>
      <c r="M17" s="79">
        <f>M16-L17</f>
        <v>923655.35087957431</v>
      </c>
      <c r="N17" s="126">
        <f>L17/M16</f>
        <v>1.7094649894604848E-2</v>
      </c>
      <c r="O17" s="52"/>
      <c r="P17" s="80">
        <f>I17</f>
        <v>39630</v>
      </c>
      <c r="Q17" s="97">
        <f ca="1">S16*N17</f>
        <v>14975.143846122324</v>
      </c>
      <c r="R17" s="98">
        <f ca="1">S16*$C$2/2</f>
        <v>21900.337149999999</v>
      </c>
      <c r="S17" s="99">
        <f ca="1">IF(P17&lt;$A$4,(VLOOKUP(P17,$A$11:$B$52,2,0)*$S$12),(S16-(Q17+R17)))</f>
        <v>820850.24600000004</v>
      </c>
      <c r="U17" s="80">
        <f>P17</f>
        <v>39630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41275</v>
      </c>
      <c r="B18" s="50">
        <v>0.44370902600000001</v>
      </c>
      <c r="C18" s="52"/>
      <c r="D18" s="70" t="str">
        <f ca="1">IF(E18&lt;$A$4,"Actual","Model Num")</f>
        <v>Actual</v>
      </c>
      <c r="E18" s="71">
        <f>DATE(YEAR(E17),MONTH(E17)+6,DAY(E17))</f>
        <v>39814</v>
      </c>
      <c r="F18" s="74">
        <f>MAX(IF(ISERROR(VLOOKUP(E18,$A$12:$B$52,2,0)),VLOOKUP(E18,$P$11:$S$52,4,0)/1000000,(VLOOKUP(E18,$A$12:$B$52,2,0))),0)</f>
        <v>0.78007538499999995</v>
      </c>
      <c r="G18" s="128">
        <f>F18*1000000</f>
        <v>780075.38500000001</v>
      </c>
      <c r="H18" s="64"/>
      <c r="I18" s="80">
        <f>E18</f>
        <v>39814</v>
      </c>
      <c r="J18" s="210">
        <f>$M$12*$N$7</f>
        <v>40543.870000000003</v>
      </c>
      <c r="K18" s="88">
        <f>($F$7/360)*($O$2/100)*M17</f>
        <v>24061.221890412911</v>
      </c>
      <c r="L18" s="90">
        <f>J18-K18</f>
        <v>16482.648109587091</v>
      </c>
      <c r="M18" s="79">
        <f>M17-L18</f>
        <v>907172.70276998717</v>
      </c>
      <c r="N18" s="126">
        <f>L18/M17</f>
        <v>1.7845019891771396E-2</v>
      </c>
      <c r="O18" s="52"/>
      <c r="P18" s="80">
        <f>I18</f>
        <v>39814</v>
      </c>
      <c r="Q18" s="97">
        <f ca="1">S17*N18</f>
        <v>14648.088968035445</v>
      </c>
      <c r="R18" s="98">
        <f ca="1">S17*$C$2/2</f>
        <v>20521.256150000001</v>
      </c>
      <c r="S18" s="99">
        <f ca="1">IF(P18&lt;$A$4,(VLOOKUP(P18,$A$11:$B$52,2,0)*$S$12),(S17-(Q18+R18)))</f>
        <v>780075.38500000001</v>
      </c>
      <c r="U18" s="80">
        <f>P18</f>
        <v>39814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41091</v>
      </c>
      <c r="B19" s="50">
        <v>0.50316131799999997</v>
      </c>
      <c r="C19" s="52"/>
      <c r="D19" s="70" t="str">
        <f ca="1">IF(E19&lt;$A$4,"Actual","Model Num")</f>
        <v>Actual</v>
      </c>
      <c r="E19" s="71">
        <f>DATE(YEAR(E18),MONTH(E18)+6,DAY(E18))</f>
        <v>39995</v>
      </c>
      <c r="F19" s="74">
        <f>MAX(IF(ISERROR(VLOOKUP(E19,$A$12:$B$52,2,0)),VLOOKUP(E19,$P$11:$S$52,4,0)/1000000,(VLOOKUP(E19,$A$12:$B$52,2,0))),0)</f>
        <v>0.75412490899999995</v>
      </c>
      <c r="G19" s="128">
        <f>F19*1000000</f>
        <v>754124.90899999999</v>
      </c>
      <c r="H19" s="64"/>
      <c r="I19" s="80">
        <f>E19</f>
        <v>39995</v>
      </c>
      <c r="J19" s="210">
        <f>$M$12*$N$7</f>
        <v>40543.870000000003</v>
      </c>
      <c r="K19" s="88">
        <f>($F$7/360)*($O$2/100)*M18</f>
        <v>23631.848907158164</v>
      </c>
      <c r="L19" s="90">
        <f>J19-K19</f>
        <v>16912.021092841838</v>
      </c>
      <c r="M19" s="79">
        <f>M18-L19</f>
        <v>890260.6816771453</v>
      </c>
      <c r="N19" s="126">
        <f>L19/M18</f>
        <v>1.864255950515507E-2</v>
      </c>
      <c r="O19" s="52"/>
      <c r="P19" s="80">
        <f>I19</f>
        <v>39995</v>
      </c>
      <c r="Q19" s="97">
        <f ca="1">S18*N19</f>
        <v>14542.601783369251</v>
      </c>
      <c r="R19" s="98">
        <f ca="1">S18*$C$2/2</f>
        <v>19501.884625000002</v>
      </c>
      <c r="S19" s="99">
        <f ca="1">IF(P19&lt;$A$4,(VLOOKUP(P19,$A$11:$B$52,2,0)*$S$12),(S18-(Q19+R19)))</f>
        <v>754124.90899999999</v>
      </c>
      <c r="U19" s="80">
        <f>P19</f>
        <v>39995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40909</v>
      </c>
      <c r="B20" s="50">
        <v>0.55546895500000004</v>
      </c>
      <c r="C20" s="52"/>
      <c r="D20" s="70" t="str">
        <f ca="1">IF(E20&lt;$A$4,"Actual","Model Num")</f>
        <v>Actual</v>
      </c>
      <c r="E20" s="71">
        <f>DATE(YEAR(E19),MONTH(E19)+6,DAY(E19))</f>
        <v>40179</v>
      </c>
      <c r="F20" s="74">
        <f>MAX(IF(ISERROR(VLOOKUP(E20,$A$12:$B$52,2,0)),VLOOKUP(E20,$P$11:$S$52,4,0)/1000000,(VLOOKUP(E20,$A$12:$B$52,2,0))),0)</f>
        <v>0.70624171300000005</v>
      </c>
      <c r="G20" s="128">
        <f>F20*1000000</f>
        <v>706241.71300000011</v>
      </c>
      <c r="H20" s="64"/>
      <c r="I20" s="80">
        <f>E20</f>
        <v>40179</v>
      </c>
      <c r="J20" s="210">
        <f>$M$12*$N$7</f>
        <v>40543.870000000003</v>
      </c>
      <c r="K20" s="88">
        <f>($F$7/360)*($O$2/100)*M19</f>
        <v>23191.290757689636</v>
      </c>
      <c r="L20" s="90">
        <f>J20-K20</f>
        <v>17352.579242310367</v>
      </c>
      <c r="M20" s="79">
        <f>M19-L20</f>
        <v>872908.10243483493</v>
      </c>
      <c r="N20" s="126">
        <f>L20/M19</f>
        <v>1.9491570951578104E-2</v>
      </c>
      <c r="O20" s="52"/>
      <c r="P20" s="80">
        <f>I20</f>
        <v>40179</v>
      </c>
      <c r="Q20" s="97">
        <f ca="1">S19*N20</f>
        <v>14699.07917012588</v>
      </c>
      <c r="R20" s="98">
        <f ca="1">S19*$C$2/2</f>
        <v>18853.122725000001</v>
      </c>
      <c r="S20" s="99">
        <f ca="1">IF(P20&lt;$A$4,(VLOOKUP(P20,$A$11:$B$52,2,0)*$S$12),(S19-(Q20+R20)))</f>
        <v>706241.71300000011</v>
      </c>
      <c r="U20" s="80">
        <f>P20</f>
        <v>40179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40725</v>
      </c>
      <c r="B21" s="50">
        <v>0.58470389599999995</v>
      </c>
      <c r="C21" s="52"/>
      <c r="D21" s="70" t="str">
        <f ca="1">IF(E21&lt;$A$4,"Actual","Model Num")</f>
        <v>Actual</v>
      </c>
      <c r="E21" s="71">
        <f>DATE(YEAR(E20),MONTH(E20)+6,DAY(E20))</f>
        <v>40360</v>
      </c>
      <c r="F21" s="74">
        <f>MAX(IF(ISERROR(VLOOKUP(E21,$A$12:$B$52,2,0)),VLOOKUP(E21,$P$11:$S$52,4,0)/1000000,(VLOOKUP(E21,$A$12:$B$52,2,0))),0)</f>
        <v>0.67403982200000001</v>
      </c>
      <c r="G21" s="128">
        <f>F21*1000000</f>
        <v>674039.82200000004</v>
      </c>
      <c r="H21" s="64"/>
      <c r="I21" s="80">
        <f>E21</f>
        <v>40360</v>
      </c>
      <c r="J21" s="210">
        <f>$M$12*$N$7</f>
        <v>40543.870000000003</v>
      </c>
      <c r="K21" s="88">
        <f>($F$7/360)*($O$2/100)*M20</f>
        <v>22739.25606842745</v>
      </c>
      <c r="L21" s="90">
        <f>J21-K21</f>
        <v>17804.613931572552</v>
      </c>
      <c r="M21" s="79">
        <f>M20-L21</f>
        <v>855103.4885032624</v>
      </c>
      <c r="N21" s="126">
        <f>L21/M20</f>
        <v>2.039689387910306E-2</v>
      </c>
      <c r="O21" s="52"/>
      <c r="P21" s="80">
        <f>I21</f>
        <v>40360</v>
      </c>
      <c r="Q21" s="97">
        <f ca="1">S20*N21</f>
        <v>14405.137273056962</v>
      </c>
      <c r="R21" s="98">
        <f ca="1">S20*$C$2/2</f>
        <v>17656.042825000004</v>
      </c>
      <c r="S21" s="99">
        <f ca="1">IF(P21&lt;$A$4,(VLOOKUP(P21,$A$11:$B$52,2,0)*$S$12),(S20-(Q21+R21)))</f>
        <v>674039.82200000004</v>
      </c>
      <c r="U21" s="80">
        <f>P21</f>
        <v>40360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40544</v>
      </c>
      <c r="B22" s="50">
        <v>0.621824284</v>
      </c>
      <c r="C22" s="52"/>
      <c r="D22" s="70" t="str">
        <f ca="1">IF(E22&lt;$A$4,"Actual","Model Num")</f>
        <v>Actual</v>
      </c>
      <c r="E22" s="71">
        <f>DATE(YEAR(E21),MONTH(E21)+6,DAY(E21))</f>
        <v>40544</v>
      </c>
      <c r="F22" s="74">
        <f>MAX(IF(ISERROR(VLOOKUP(E22,$A$12:$B$52,2,0)),VLOOKUP(E22,$P$11:$S$52,4,0)/1000000,(VLOOKUP(E22,$A$12:$B$52,2,0))),0)</f>
        <v>0.621824284</v>
      </c>
      <c r="G22" s="128">
        <f>F22*1000000</f>
        <v>621824.28399999999</v>
      </c>
      <c r="H22" s="64"/>
      <c r="I22" s="80">
        <f>E22</f>
        <v>40544</v>
      </c>
      <c r="J22" s="210">
        <f>$M$12*$N$7</f>
        <v>40543.870000000003</v>
      </c>
      <c r="K22" s="88">
        <f>($F$7/360)*($O$2/100)*M21</f>
        <v>22275.445875509984</v>
      </c>
      <c r="L22" s="90">
        <f>J22-K22</f>
        <v>18268.424124490019</v>
      </c>
      <c r="M22" s="79">
        <f>M21-L22</f>
        <v>836835.0643787724</v>
      </c>
      <c r="N22" s="126">
        <f>L22/M21</f>
        <v>2.1363992043192701E-2</v>
      </c>
      <c r="O22" s="52"/>
      <c r="P22" s="80">
        <f>I22</f>
        <v>40544</v>
      </c>
      <c r="Q22" s="97">
        <f ca="1">S21*N22</f>
        <v>14400.181394003026</v>
      </c>
      <c r="R22" s="98">
        <f ca="1">S21*$C$2/2</f>
        <v>16850.995550000003</v>
      </c>
      <c r="S22" s="99">
        <f ca="1">IF(P22&lt;$A$4,(VLOOKUP(P22,$A$11:$B$52,2,0)*$S$12),(S21-(Q22+R22)))</f>
        <v>621824.28399999999</v>
      </c>
      <c r="U22" s="80">
        <f>P22</f>
        <v>40544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40360</v>
      </c>
      <c r="B23" s="50">
        <v>0.67403982200000001</v>
      </c>
      <c r="C23" s="52"/>
      <c r="D23" s="70" t="str">
        <f ca="1">IF(E23&lt;$A$4,"Actual","Model Num")</f>
        <v>Actual</v>
      </c>
      <c r="E23" s="71">
        <f>DATE(YEAR(E22),MONTH(E22)+6,DAY(E22))</f>
        <v>40725</v>
      </c>
      <c r="F23" s="74">
        <f>MAX(IF(ISERROR(VLOOKUP(E23,$A$12:$B$52,2,0)),VLOOKUP(E23,$P$11:$S$52,4,0)/1000000,(VLOOKUP(E23,$A$12:$B$52,2,0))),0)</f>
        <v>0.58470389599999995</v>
      </c>
      <c r="G23" s="128">
        <f>F23*1000000</f>
        <v>584703.89599999995</v>
      </c>
      <c r="H23" s="64"/>
      <c r="I23" s="80">
        <f>E23</f>
        <v>40725</v>
      </c>
      <c r="J23" s="210">
        <f>$M$12*$N$7</f>
        <v>40543.870000000003</v>
      </c>
      <c r="K23" s="88">
        <f>($F$7/360)*($O$2/100)*M22</f>
        <v>21799.553427067021</v>
      </c>
      <c r="L23" s="90">
        <f>J23-K23</f>
        <v>18744.316572932981</v>
      </c>
      <c r="M23" s="79">
        <f>M22-L23</f>
        <v>818090.7478058394</v>
      </c>
      <c r="N23" s="126">
        <f>L23/M22</f>
        <v>2.2399057318239757E-2</v>
      </c>
      <c r="O23" s="52"/>
      <c r="P23" s="80">
        <f>I23</f>
        <v>40725</v>
      </c>
      <c r="Q23" s="97">
        <f ca="1">S22*N23</f>
        <v>13928.277779189397</v>
      </c>
      <c r="R23" s="98">
        <f ca="1">S22*$C$2/2</f>
        <v>15545.607100000001</v>
      </c>
      <c r="S23" s="99">
        <f ca="1">IF(P23&lt;$A$4,(VLOOKUP(P23,$A$11:$B$52,2,0)*$S$12),(S22-(Q23+R23)))</f>
        <v>584703.89599999995</v>
      </c>
      <c r="U23" s="80">
        <f>P23</f>
        <v>40725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40179</v>
      </c>
      <c r="B24" s="50">
        <v>0.70624171300000005</v>
      </c>
      <c r="C24" s="52"/>
      <c r="D24" s="70" t="str">
        <f ca="1">IF(E24&lt;$A$4,"Actual","Model Num")</f>
        <v>Actual</v>
      </c>
      <c r="E24" s="71">
        <f>DATE(YEAR(E23),MONTH(E23)+6,DAY(E23))</f>
        <v>40909</v>
      </c>
      <c r="F24" s="74">
        <f>MAX(IF(ISERROR(VLOOKUP(E24,$A$12:$B$52,2,0)),VLOOKUP(E24,$P$11:$S$52,4,0)/1000000,(VLOOKUP(E24,$A$12:$B$52,2,0))),0)</f>
        <v>0.55546895500000004</v>
      </c>
      <c r="G24" s="128">
        <f>F24*1000000</f>
        <v>555468.95500000007</v>
      </c>
      <c r="H24" s="64"/>
      <c r="I24" s="80">
        <f>E24</f>
        <v>40909</v>
      </c>
      <c r="J24" s="210">
        <f>$M$12*$N$7</f>
        <v>40543.870000000003</v>
      </c>
      <c r="K24" s="88">
        <f>($F$7/360)*($O$2/100)*M23</f>
        <v>21311.263980342115</v>
      </c>
      <c r="L24" s="90">
        <f>J24-K24</f>
        <v>19232.606019657887</v>
      </c>
      <c r="M24" s="79">
        <f>M23-L24</f>
        <v>798858.14178618148</v>
      </c>
      <c r="N24" s="126">
        <f>L24/M23</f>
        <v>2.3509135228873698E-2</v>
      </c>
      <c r="O24" s="52"/>
      <c r="P24" s="80">
        <f>I24</f>
        <v>40909</v>
      </c>
      <c r="Q24" s="97">
        <f ca="1">S23*N24</f>
        <v>13745.882959913302</v>
      </c>
      <c r="R24" s="98">
        <f ca="1">S23*$C$2/2</f>
        <v>14617.597399999999</v>
      </c>
      <c r="S24" s="99">
        <f ca="1">IF(P24&lt;$A$4,(VLOOKUP(P24,$A$11:$B$52,2,0)*$S$12),(S23-(Q24+R24)))</f>
        <v>555468.95500000007</v>
      </c>
      <c r="U24" s="80">
        <f>P24</f>
        <v>40909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39995</v>
      </c>
      <c r="B25" s="50">
        <v>0.75412490899999995</v>
      </c>
      <c r="C25" s="52"/>
      <c r="D25" s="70" t="str">
        <f ca="1">IF(E25&lt;$A$4,"Actual","Model Num")</f>
        <v>Actual</v>
      </c>
      <c r="E25" s="71">
        <f>DATE(YEAR(E24),MONTH(E24)+6,DAY(E24))</f>
        <v>41091</v>
      </c>
      <c r="F25" s="74">
        <f>MAX(IF(ISERROR(VLOOKUP(E25,$A$12:$B$52,2,0)),VLOOKUP(E25,$P$11:$S$52,4,0)/1000000,(VLOOKUP(E25,$A$12:$B$52,2,0))),0)</f>
        <v>0.50316131799999997</v>
      </c>
      <c r="G25" s="128">
        <f>F25*1000000</f>
        <v>503161.31799999997</v>
      </c>
      <c r="H25" s="64"/>
      <c r="I25" s="80">
        <f>E25</f>
        <v>41091</v>
      </c>
      <c r="J25" s="210">
        <f>$M$12*$N$7</f>
        <v>40543.870000000003</v>
      </c>
      <c r="K25" s="88">
        <f>($F$7/360)*($O$2/100)*M24</f>
        <v>20810.25459353003</v>
      </c>
      <c r="L25" s="90">
        <f>J25-K25</f>
        <v>19733.615406469973</v>
      </c>
      <c r="M25" s="79">
        <f>M24-L25</f>
        <v>779124.52637971146</v>
      </c>
      <c r="N25" s="126">
        <f>L25/M24</f>
        <v>2.4702277380996861E-2</v>
      </c>
      <c r="O25" s="52"/>
      <c r="P25" s="80">
        <f>I25</f>
        <v>41091</v>
      </c>
      <c r="Q25" s="97">
        <f ca="1">S24*N25</f>
        <v>13721.348202942465</v>
      </c>
      <c r="R25" s="98">
        <f ca="1">S24*$C$2/2</f>
        <v>13886.723875000003</v>
      </c>
      <c r="S25" s="99">
        <f ca="1">IF(P25&lt;$A$4,(VLOOKUP(P25,$A$11:$B$52,2,0)*$S$12),(S24-(Q25+R25)))</f>
        <v>503161.31799999997</v>
      </c>
      <c r="U25" s="80">
        <f>P25</f>
        <v>41091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39814</v>
      </c>
      <c r="B26" s="50">
        <v>0.78007538499999995</v>
      </c>
      <c r="C26" s="52"/>
      <c r="D26" s="70" t="str">
        <f ca="1">IF(E26&lt;$A$4,"Actual","Model Num")</f>
        <v>Actual</v>
      </c>
      <c r="E26" s="71">
        <f>DATE(YEAR(E25),MONTH(E25)+6,DAY(E25))</f>
        <v>41275</v>
      </c>
      <c r="F26" s="74">
        <f>MAX(IF(ISERROR(VLOOKUP(E26,$A$12:$B$52,2,0)),VLOOKUP(E26,$P$11:$S$52,4,0)/1000000,(VLOOKUP(E26,$A$12:$B$52,2,0))),0)</f>
        <v>0.44370902600000001</v>
      </c>
      <c r="G26" s="128">
        <f>F26*1000000</f>
        <v>443709.02600000001</v>
      </c>
      <c r="H26" s="64"/>
      <c r="I26" s="80">
        <f>E26</f>
        <v>41275</v>
      </c>
      <c r="J26" s="210">
        <f>$M$12*$N$7</f>
        <v>40543.870000000003</v>
      </c>
      <c r="K26" s="88">
        <f>($F$7/360)*($O$2/100)*M25</f>
        <v>20296.193912191484</v>
      </c>
      <c r="L26" s="90">
        <f>J26-K26</f>
        <v>20247.676087808519</v>
      </c>
      <c r="M26" s="79">
        <f>M25-L26</f>
        <v>758876.8502919029</v>
      </c>
      <c r="N26" s="126">
        <f>L26/M25</f>
        <v>2.5987727766563315E-2</v>
      </c>
      <c r="O26" s="52"/>
      <c r="P26" s="80">
        <f>I26</f>
        <v>41275</v>
      </c>
      <c r="Q26" s="97">
        <f ca="1">S25*N26</f>
        <v>13076.019354849193</v>
      </c>
      <c r="R26" s="98">
        <f ca="1">S25*$C$2/2</f>
        <v>12579.032950000001</v>
      </c>
      <c r="S26" s="99">
        <f ca="1">IF(P26&lt;$A$4,(VLOOKUP(P26,$A$11:$B$52,2,0)*$S$12),(S25-(Q26+R26)))</f>
        <v>443709.02600000001</v>
      </c>
      <c r="U26" s="80">
        <f>P26</f>
        <v>41275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39630</v>
      </c>
      <c r="B27" s="50">
        <v>0.82085024600000001</v>
      </c>
      <c r="C27" s="52"/>
      <c r="D27" s="70" t="str">
        <f ca="1">IF(E27&lt;$A$4,"Actual","Model Num")</f>
        <v>Actual</v>
      </c>
      <c r="E27" s="71">
        <f>DATE(YEAR(E26),MONTH(E26)+6,DAY(E26))</f>
        <v>41456</v>
      </c>
      <c r="F27" s="74">
        <f>MAX(IF(ISERROR(VLOOKUP(E27,$A$12:$B$52,2,0)),VLOOKUP(E27,$P$11:$S$52,4,0)/1000000,(VLOOKUP(E27,$A$12:$B$52,2,0))),0)</f>
        <v>0.39290096499999999</v>
      </c>
      <c r="G27" s="128">
        <f>F27*1000000</f>
        <v>392900.96499999997</v>
      </c>
      <c r="H27" s="64"/>
      <c r="I27" s="80">
        <f>E27</f>
        <v>41456</v>
      </c>
      <c r="J27" s="210">
        <f>$M$12*$N$7</f>
        <v>40543.870000000003</v>
      </c>
      <c r="K27" s="88">
        <f>($F$7/360)*($O$2/100)*M26</f>
        <v>19768.741950104071</v>
      </c>
      <c r="L27" s="90">
        <f>J27-K27</f>
        <v>20775.128049895931</v>
      </c>
      <c r="M27" s="79">
        <f>M26-L27</f>
        <v>738101.72224200692</v>
      </c>
      <c r="N27" s="126">
        <f>L27/M26</f>
        <v>2.737615206196467E-2</v>
      </c>
      <c r="O27" s="52"/>
      <c r="P27" s="80">
        <f>I27</f>
        <v>41456</v>
      </c>
      <c r="Q27" s="97">
        <f ca="1">S26*N27</f>
        <v>12147.045767042237</v>
      </c>
      <c r="R27" s="98">
        <f ca="1">S26*$C$2/2</f>
        <v>11092.72565</v>
      </c>
      <c r="S27" s="99">
        <f ca="1">IF(P27&lt;$A$4,(VLOOKUP(P27,$A$11:$B$52,2,0)*$S$12),(S26-(Q27+R27)))</f>
        <v>392900.96499999997</v>
      </c>
      <c r="U27" s="80">
        <f>P27</f>
        <v>41456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39448</v>
      </c>
      <c r="B28" s="50">
        <v>0.87601348599999995</v>
      </c>
      <c r="C28" s="52"/>
      <c r="D28" s="70" t="str">
        <f ca="1">IF(E28&lt;$A$4,"Actual","Model Num")</f>
        <v>Actual</v>
      </c>
      <c r="E28" s="71">
        <f>DATE(YEAR(E27),MONTH(E27)+6,DAY(E27))</f>
        <v>41640</v>
      </c>
      <c r="F28" s="74">
        <f>MAX(IF(ISERROR(VLOOKUP(E28,$A$12:$B$52,2,0)),VLOOKUP(E28,$P$11:$S$52,4,0)/1000000,(VLOOKUP(E28,$A$12:$B$52,2,0))),0)</f>
        <v>0.34251546599999999</v>
      </c>
      <c r="G28" s="128">
        <f>F28*1000000</f>
        <v>342515.46600000001</v>
      </c>
      <c r="H28" s="64"/>
      <c r="I28" s="80">
        <f>E28</f>
        <v>41640</v>
      </c>
      <c r="J28" s="210">
        <f>$M$12*$N$7</f>
        <v>40543.870000000003</v>
      </c>
      <c r="K28" s="88">
        <f>($F$7/360)*($O$2/100)*M27</f>
        <v>19227.549864404282</v>
      </c>
      <c r="L28" s="90">
        <f>J28-K28</f>
        <v>21316.320135595721</v>
      </c>
      <c r="M28" s="79">
        <f>M27-L28</f>
        <v>716785.40210641117</v>
      </c>
      <c r="N28" s="126">
        <f>L28/M27</f>
        <v>2.8879921958245451E-2</v>
      </c>
      <c r="O28" s="52"/>
      <c r="P28" s="80">
        <f>I28</f>
        <v>41640</v>
      </c>
      <c r="Q28" s="97">
        <f ca="1">S27*N28</f>
        <v>11346.949206519326</v>
      </c>
      <c r="R28" s="98">
        <f ca="1">S27*$C$2/2</f>
        <v>9822.5241249999999</v>
      </c>
      <c r="S28" s="99">
        <f ca="1">IF(P28&lt;$A$4,(VLOOKUP(P28,$A$11:$B$52,2,0)*$S$12),(S27-(Q28+R28)))</f>
        <v>342515.46600000001</v>
      </c>
      <c r="U28" s="80">
        <f>P28</f>
        <v>41640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39264</v>
      </c>
      <c r="B29" s="50">
        <v>0.91811009899999996</v>
      </c>
      <c r="C29" s="52"/>
      <c r="D29" s="70" t="str">
        <f ca="1">IF(E29&lt;$A$4,"Actual","Model Num")</f>
        <v>Actual</v>
      </c>
      <c r="E29" s="71">
        <f>DATE(YEAR(E28),MONTH(E28)+6,DAY(E28))</f>
        <v>41821</v>
      </c>
      <c r="F29" s="74">
        <f>MAX(IF(ISERROR(VLOOKUP(E29,$A$12:$B$52,2,0)),VLOOKUP(E29,$P$11:$S$52,4,0)/1000000,(VLOOKUP(E29,$A$12:$B$52,2,0))),0)</f>
        <v>0.29256902600000001</v>
      </c>
      <c r="G29" s="128">
        <f>F29*1000000</f>
        <v>292569.02600000001</v>
      </c>
      <c r="H29" s="64"/>
      <c r="I29" s="80">
        <f>E29</f>
        <v>41821</v>
      </c>
      <c r="J29" s="210">
        <f>$M$12*$N$7</f>
        <v>40543.870000000003</v>
      </c>
      <c r="K29" s="88">
        <f>($F$7/360)*($O$2/100)*M28</f>
        <v>18672.259724872012</v>
      </c>
      <c r="L29" s="90">
        <f>J29-K29</f>
        <v>21871.61027512799</v>
      </c>
      <c r="M29" s="79">
        <f>M28-L29</f>
        <v>694913.79183128313</v>
      </c>
      <c r="N29" s="126">
        <f>L29/M28</f>
        <v>3.0513470574113362E-2</v>
      </c>
      <c r="O29" s="52"/>
      <c r="P29" s="80">
        <f>I29</f>
        <v>41821</v>
      </c>
      <c r="Q29" s="97">
        <f ca="1">S28*N29</f>
        <v>10451.335592969726</v>
      </c>
      <c r="R29" s="98">
        <f ca="1">S28*$C$2/2</f>
        <v>8562.8866500000004</v>
      </c>
      <c r="S29" s="99">
        <f ca="1">IF(P29&lt;$A$4,(VLOOKUP(P29,$A$11:$B$52,2,0)*$S$12),(S28-(Q29+R29)))</f>
        <v>292569.02600000001</v>
      </c>
      <c r="U29" s="80">
        <f>P29</f>
        <v>41821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39083</v>
      </c>
      <c r="B30" s="50">
        <v>0.94454959199999999</v>
      </c>
      <c r="C30" s="52"/>
      <c r="D30" s="70" t="str">
        <f ca="1">IF(E30&lt;$A$4,"Actual","Model Num")</f>
        <v>Actual</v>
      </c>
      <c r="E30" s="71">
        <f>DATE(YEAR(E29),MONTH(E29)+6,DAY(E29))</f>
        <v>42005</v>
      </c>
      <c r="F30" s="74">
        <f>MAX(IF(ISERROR(VLOOKUP(E30,$A$12:$B$52,2,0)),VLOOKUP(E30,$P$11:$S$52,4,0)/1000000,(VLOOKUP(E30,$A$12:$B$52,2,0))),0)</f>
        <v>0.25636170800000002</v>
      </c>
      <c r="G30" s="128">
        <f>F30*1000000</f>
        <v>256361.70800000001</v>
      </c>
      <c r="H30" s="64"/>
      <c r="I30" s="80">
        <f>E30</f>
        <v>42005</v>
      </c>
      <c r="J30" s="210">
        <f>$M$12*$N$7</f>
        <v>40543.870000000003</v>
      </c>
      <c r="K30" s="88">
        <f>($F$7/360)*($O$2/100)*M29</f>
        <v>18102.504277204927</v>
      </c>
      <c r="L30" s="90">
        <f>J30-K30</f>
        <v>22441.365722795075</v>
      </c>
      <c r="M30" s="79">
        <f>M29-L30</f>
        <v>672472.42610848811</v>
      </c>
      <c r="N30" s="126">
        <f>L30/M29</f>
        <v>3.2293740585657531E-2</v>
      </c>
      <c r="O30" s="52"/>
      <c r="P30" s="80">
        <f>I30</f>
        <v>42005</v>
      </c>
      <c r="Q30" s="97">
        <f ca="1">S29*N30</f>
        <v>9448.1482290424938</v>
      </c>
      <c r="R30" s="98">
        <f ca="1">S29*$C$2/2</f>
        <v>7314.2256500000003</v>
      </c>
      <c r="S30" s="99">
        <f ca="1">IF(P30&lt;$A$4,(VLOOKUP(P30,$A$11:$B$52,2,0)*$S$12),(S29-(Q30+R30)))</f>
        <v>256361.70800000001</v>
      </c>
      <c r="U30" s="80">
        <f>P30</f>
        <v>42005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38899</v>
      </c>
      <c r="B31" s="50">
        <v>0.97677827500000003</v>
      </c>
      <c r="C31" s="52"/>
      <c r="D31" s="70" t="str">
        <f ca="1">IF(E31&lt;$A$4,"Actual","Model Num")</f>
        <v>Actual</v>
      </c>
      <c r="E31" s="71">
        <f>DATE(YEAR(E30),MONTH(E30)+6,DAY(E30))</f>
        <v>42186</v>
      </c>
      <c r="F31" s="74">
        <f>MAX(IF(ISERROR(VLOOKUP(E31,$A$12:$B$52,2,0)),VLOOKUP(E31,$P$11:$S$52,4,0)/1000000,(VLOOKUP(E31,$A$12:$B$52,2,0))),0)</f>
        <v>0.21836788600000001</v>
      </c>
      <c r="G31" s="128">
        <f>F31*1000000</f>
        <v>218367.886</v>
      </c>
      <c r="H31" s="64"/>
      <c r="I31" s="80">
        <f>E31</f>
        <v>42186</v>
      </c>
      <c r="J31" s="210">
        <f>$M$12*$N$7</f>
        <v>40543.870000000003</v>
      </c>
      <c r="K31" s="88">
        <f>($F$7/360)*($O$2/100)*M30</f>
        <v>17517.906700126117</v>
      </c>
      <c r="L31" s="90">
        <f>J31-K31</f>
        <v>23025.963299873885</v>
      </c>
      <c r="M31" s="79">
        <f>M30-L31</f>
        <v>649446.46280861425</v>
      </c>
      <c r="N31" s="126">
        <f>L31/M30</f>
        <v>3.4240754573569933E-2</v>
      </c>
      <c r="O31" s="52"/>
      <c r="P31" s="80">
        <f>I31</f>
        <v>42186</v>
      </c>
      <c r="Q31" s="97">
        <f ca="1">S30*N31</f>
        <v>8778.0183256891996</v>
      </c>
      <c r="R31" s="98">
        <f ca="1">S30*$C$2/2</f>
        <v>6409.0427000000009</v>
      </c>
      <c r="S31" s="99">
        <f ca="1">IF(P31&lt;$A$4,(VLOOKUP(P31,$A$11:$B$52,2,0)*$S$12),(S30-(Q31+R31)))</f>
        <v>218367.886</v>
      </c>
      <c r="U31" s="80">
        <f>P31</f>
        <v>42186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38728</v>
      </c>
      <c r="B32" s="50">
        <v>1</v>
      </c>
      <c r="C32" s="52"/>
      <c r="D32" s="70" t="str">
        <f ca="1">IF(E32&lt;$A$4,"Actual","Model Num")</f>
        <v>Actual</v>
      </c>
      <c r="E32" s="71">
        <f>DATE(YEAR(E31),MONTH(E31)+6,DAY(E31))</f>
        <v>42370</v>
      </c>
      <c r="F32" s="74">
        <f>MAX(IF(ISERROR(VLOOKUP(E32,$A$12:$B$52,2,0)),VLOOKUP(E32,$P$11:$S$52,4,0)/1000000,(VLOOKUP(E32,$A$12:$B$52,2,0))),0)</f>
        <v>0.18879330499999999</v>
      </c>
      <c r="G32" s="128">
        <f>F32*1000000</f>
        <v>188793.30499999999</v>
      </c>
      <c r="H32" s="64"/>
      <c r="I32" s="80">
        <f>E32</f>
        <v>42370</v>
      </c>
      <c r="J32" s="210">
        <f>$M$12*$N$7</f>
        <v>40543.870000000003</v>
      </c>
      <c r="K32" s="88">
        <f>($F$7/360)*($O$2/100)*M31</f>
        <v>16918.080356164402</v>
      </c>
      <c r="L32" s="90">
        <f>J32-K32</f>
        <v>23625.7896438356</v>
      </c>
      <c r="M32" s="79">
        <f>M31-L32</f>
        <v>625820.67316477862</v>
      </c>
      <c r="N32" s="126">
        <f>L32/M31</f>
        <v>3.6378348327070494E-2</v>
      </c>
      <c r="O32" s="52"/>
      <c r="P32" s="80">
        <f>I32</f>
        <v>42370</v>
      </c>
      <c r="Q32" s="97">
        <f ca="1">S31*N32</f>
        <v>7943.8630203540206</v>
      </c>
      <c r="R32" s="98">
        <f ca="1">S31*$C$2/2</f>
        <v>5459.19715</v>
      </c>
      <c r="S32" s="99">
        <f ca="1">IF(P32&lt;$A$4,(VLOOKUP(P32,$A$11:$B$52,2,0)*$S$12),(S31-(Q32+R32)))</f>
        <v>188793.30499999999</v>
      </c>
      <c r="U32" s="80">
        <f>P32</f>
        <v>42370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49"/>
      <c r="B33" s="50"/>
      <c r="C33" s="52"/>
      <c r="D33" s="70" t="str">
        <f ca="1">IF(E33&lt;$A$4,"Actual","Model Num")</f>
        <v>Model Num</v>
      </c>
      <c r="E33" s="71">
        <f>DATE(YEAR(E32),MONTH(E32)+6,DAY(E32))</f>
        <v>42552</v>
      </c>
      <c r="F33" s="74">
        <f ca="1">MAX(IF(ISERROR(VLOOKUP(E33,$A$12:$B$52,2,0)),VLOOKUP(E33,$P$11:$S$52,4,0)/1000000,(VLOOKUP(E33,$A$12:$B$52,2,0))),0)</f>
        <v>0.17676054026913227</v>
      </c>
      <c r="G33" s="128">
        <f ca="1">F33*1000000</f>
        <v>176760.54026913227</v>
      </c>
      <c r="H33" s="64"/>
      <c r="I33" s="80">
        <f>E33</f>
        <v>42552</v>
      </c>
      <c r="J33" s="210">
        <f>$M$12*$N$7</f>
        <v>40543.870000000003</v>
      </c>
      <c r="K33" s="88">
        <f>($F$7/360)*($O$2/100)*M32</f>
        <v>16302.628535942484</v>
      </c>
      <c r="L33" s="90">
        <f>J33-K33</f>
        <v>24241.241464057519</v>
      </c>
      <c r="M33" s="79">
        <f>M32-L33</f>
        <v>601579.43170072115</v>
      </c>
      <c r="N33" s="126">
        <f>L33/M32</f>
        <v>3.8735124139427077E-2</v>
      </c>
      <c r="O33" s="52"/>
      <c r="P33" s="80">
        <f>I33</f>
        <v>42552</v>
      </c>
      <c r="Q33" s="97">
        <f ca="1">S32*N33</f>
        <v>7312.9321058677187</v>
      </c>
      <c r="R33" s="98">
        <f ca="1">S32*$C$2/2</f>
        <v>4719.832625</v>
      </c>
      <c r="S33" s="99">
        <f ca="1">IF(P33&lt;$A$4,(VLOOKUP(P33,$A$11:$B$52,2,0)*$S$12),(S32-(Q33+R33)))</f>
        <v>176760.54026913227</v>
      </c>
      <c r="U33" s="80">
        <f>P33</f>
        <v>42552</v>
      </c>
      <c r="V33" s="97">
        <f ca="1">IF(U33&lt;$A$4,0,(YEARFRAC($A$4,U33,1)))</f>
        <v>0.22950819672131148</v>
      </c>
      <c r="W33" s="141">
        <f ca="1">V33*(S32-S33)</f>
        <v>2761.6181349532485</v>
      </c>
    </row>
    <row r="34" spans="1:23">
      <c r="A34" s="49"/>
      <c r="B34" s="50"/>
      <c r="C34" s="52"/>
      <c r="D34" s="70" t="str">
        <f ca="1">IF(E34&lt;$A$4,"Actual","Model Num")</f>
        <v>Model Num</v>
      </c>
      <c r="E34" s="71">
        <f>DATE(YEAR(E33),MONTH(E33)+6,DAY(E33))</f>
        <v>42736</v>
      </c>
      <c r="F34" s="74">
        <f ca="1">MAX(IF(ISERROR(VLOOKUP(E34,$A$12:$B$52,2,0)),VLOOKUP(E34,$P$11:$S$52,4,0)/1000000,(VLOOKUP(E34,$A$12:$B$52,2,0))),0)</f>
        <v>0.16503323758322386</v>
      </c>
      <c r="G34" s="128">
        <f ca="1">F34*1000000</f>
        <v>165033.23758322385</v>
      </c>
      <c r="H34" s="64"/>
      <c r="I34" s="80">
        <f>E34</f>
        <v>42736</v>
      </c>
      <c r="J34" s="210">
        <f>$M$12*$N$7</f>
        <v>40543.870000000003</v>
      </c>
      <c r="K34" s="88">
        <f>($F$7/360)*($O$2/100)*M33</f>
        <v>15671.144195803787</v>
      </c>
      <c r="L34" s="90">
        <f>J34-K34</f>
        <v>24872.725804196216</v>
      </c>
      <c r="M34" s="79">
        <f>M33-L34</f>
        <v>576706.70589652495</v>
      </c>
      <c r="N34" s="126">
        <f>L34/M33</f>
        <v>4.1345705144670092E-2</v>
      </c>
      <c r="O34" s="52"/>
      <c r="P34" s="80">
        <f>I34</f>
        <v>42736</v>
      </c>
      <c r="Q34" s="97">
        <f ca="1">S33*N34</f>
        <v>7308.2891791801267</v>
      </c>
      <c r="R34" s="98">
        <f ca="1">S33*$C$2/2</f>
        <v>4419.0135067283072</v>
      </c>
      <c r="S34" s="99">
        <f ca="1">IF(P34&lt;$A$4,(VLOOKUP(P34,$A$11:$B$52,2,0)*$S$12),(S33-(Q34+R34)))</f>
        <v>165033.23758322385</v>
      </c>
      <c r="U34" s="80">
        <f>P34</f>
        <v>42736</v>
      </c>
      <c r="V34" s="97">
        <f ca="1">IF(U34&lt;$A$4,0,(YEARFRAC($A$4,U34,1)))</f>
        <v>0.73424657534246573</v>
      </c>
      <c r="W34" s="141">
        <f ca="1">V34*(S33-S34)</f>
        <v>8610.7318351327576</v>
      </c>
    </row>
    <row r="35" spans="1:23">
      <c r="A35" s="49"/>
      <c r="B35" s="50"/>
      <c r="D35" s="70" t="str">
        <f ca="1">IF(E35&lt;$A$4,"Actual","Model Num")</f>
        <v>Model Num</v>
      </c>
      <c r="E35" s="71">
        <f>DATE(YEAR(E34),MONTH(E34)+6,DAY(E34))</f>
        <v>42917</v>
      </c>
      <c r="F35" s="74">
        <f ca="1">MAX(IF(ISERROR(VLOOKUP(E35,$A$12:$B$52,2,0)),VLOOKUP(E35,$P$11:$S$52,4,0)/1000000,(VLOOKUP(E35,$A$12:$B$52,2,0))),0)</f>
        <v>0.15360428851897387</v>
      </c>
      <c r="G35" s="128">
        <f ca="1">F35*1000000</f>
        <v>153604.28851897386</v>
      </c>
      <c r="I35" s="80">
        <f>E35</f>
        <v>42917</v>
      </c>
      <c r="J35" s="210">
        <f>$M$12*$N$7</f>
        <v>40543.870000000003</v>
      </c>
      <c r="K35" s="88">
        <f>($F$7/360)*($O$2/100)*M34</f>
        <v>15023.209688604475</v>
      </c>
      <c r="L35" s="90">
        <f>J35-K35</f>
        <v>25520.660311395528</v>
      </c>
      <c r="M35" s="79">
        <f>M34-L35</f>
        <v>551186.04558512941</v>
      </c>
      <c r="N35" s="126">
        <f>L35/M34</f>
        <v>4.4252407767171945E-2</v>
      </c>
      <c r="O35" s="52"/>
      <c r="P35" s="80">
        <f>I35</f>
        <v>42917</v>
      </c>
      <c r="Q35" s="97">
        <f ca="1">S34*N35</f>
        <v>7303.1181246693877</v>
      </c>
      <c r="R35" s="98">
        <f ca="1">S34*$C$2/2</f>
        <v>4125.8309395805964</v>
      </c>
      <c r="S35" s="99">
        <f ca="1">IF(P35&lt;$A$4,(VLOOKUP(P35,$A$11:$B$52,2,0)*$S$12),(S34-(Q35+R35)))</f>
        <v>153604.28851897386</v>
      </c>
      <c r="U35" s="80">
        <f>P35</f>
        <v>42917</v>
      </c>
      <c r="V35" s="97">
        <f ca="1">IF(U35&lt;$A$4,0,(YEARFRAC($A$4,U35,1)))</f>
        <v>1.2284541723666211</v>
      </c>
      <c r="W35" s="141">
        <f ca="1">V35*(S34-S35)</f>
        <v>14039.940163743488</v>
      </c>
    </row>
    <row r="36" spans="1:23">
      <c r="A36" s="49"/>
      <c r="B36" s="50"/>
      <c r="D36" s="70" t="str">
        <f ca="1">IF(E36&lt;$A$4,"Actual","Model Num")</f>
        <v>Model Num</v>
      </c>
      <c r="E36" s="71">
        <f>DATE(YEAR(E35),MONTH(E35)+6,DAY(E35))</f>
        <v>43101</v>
      </c>
      <c r="F36" s="74">
        <f ca="1">MAX(IF(ISERROR(VLOOKUP(E36,$A$12:$B$52,2,0)),VLOOKUP(E36,$P$11:$S$52,4,0)/1000000,(VLOOKUP(E36,$A$12:$B$52,2,0))),0)</f>
        <v>0.14246682488589776</v>
      </c>
      <c r="G36" s="128">
        <f ca="1">F36*1000000</f>
        <v>142466.82488589777</v>
      </c>
      <c r="I36" s="80">
        <f>E36</f>
        <v>43101</v>
      </c>
      <c r="J36" s="210">
        <f>$M$12*$N$7</f>
        <v>40543.870000000003</v>
      </c>
      <c r="K36" s="88">
        <f>($F$7/360)*($O$2/100)*M35</f>
        <v>14358.396487492621</v>
      </c>
      <c r="L36" s="90">
        <f>J36-K36</f>
        <v>26185.473512507382</v>
      </c>
      <c r="M36" s="79">
        <f>M35-L36</f>
        <v>525000.57207262202</v>
      </c>
      <c r="N36" s="126">
        <f>L36/M35</f>
        <v>4.7507504448356171E-2</v>
      </c>
      <c r="O36" s="52"/>
      <c r="P36" s="80">
        <f>I36</f>
        <v>43101</v>
      </c>
      <c r="Q36" s="97">
        <f ca="1">S35*N36</f>
        <v>7297.3564201017352</v>
      </c>
      <c r="R36" s="98">
        <f ca="1">S35*$C$2/2</f>
        <v>3840.1072129743466</v>
      </c>
      <c r="S36" s="99">
        <f ca="1">IF(P36&lt;$A$4,(VLOOKUP(P36,$A$11:$B$52,2,0)*$S$12),(S35-(Q36+R36)))</f>
        <v>142466.82488589777</v>
      </c>
      <c r="U36" s="80">
        <f>P36</f>
        <v>43101</v>
      </c>
      <c r="V36" s="97">
        <f ca="1">IF(U36&lt;$A$4,0,(YEARFRAC($A$4,U36,1)))</f>
        <v>1.7326642335766425</v>
      </c>
      <c r="W36" s="141">
        <f ca="1">V36*(S35-S36)</f>
        <v>19297.4848897915</v>
      </c>
    </row>
    <row r="37" spans="1:23">
      <c r="A37" s="49"/>
      <c r="B37" s="50"/>
      <c r="D37" s="70" t="str">
        <f ca="1">IF(E37&lt;$A$4,"Actual","Model Num")</f>
        <v>Model Num</v>
      </c>
      <c r="E37" s="71">
        <f>DATE(YEAR(E36),MONTH(E36)+6,DAY(E36))</f>
        <v>43282</v>
      </c>
      <c r="F37" s="74">
        <f ca="1">MAX(IF(ISERROR(VLOOKUP(E37,$A$12:$B$52,2,0)),VLOOKUP(E37,$P$11:$S$52,4,0)/1000000,(VLOOKUP(E37,$A$12:$B$52,2,0))),0)</f>
        <v>0.13161422432167655</v>
      </c>
      <c r="G37" s="128">
        <f ca="1">F37*1000000</f>
        <v>131614.22432167653</v>
      </c>
      <c r="I37" s="80">
        <f>E37</f>
        <v>43282</v>
      </c>
      <c r="J37" s="210">
        <f>$M$12*$N$7</f>
        <v>40543.870000000003</v>
      </c>
      <c r="K37" s="88">
        <f>($F$7/360)*($O$2/100)*M36</f>
        <v>13676.264902491803</v>
      </c>
      <c r="L37" s="90">
        <f>J37-K37</f>
        <v>26867.6050975082</v>
      </c>
      <c r="M37" s="79">
        <f>M36-L37</f>
        <v>498132.96697511384</v>
      </c>
      <c r="N37" s="126">
        <f>L37/M36</f>
        <v>5.1176334897005925E-2</v>
      </c>
      <c r="O37" s="52"/>
      <c r="P37" s="80">
        <f>I37</f>
        <v>43282</v>
      </c>
      <c r="Q37" s="97">
        <f ca="1">S36*N37</f>
        <v>7290.9299420738025</v>
      </c>
      <c r="R37" s="98">
        <f ca="1">S36*$C$2/2</f>
        <v>3561.6706221474446</v>
      </c>
      <c r="S37" s="99">
        <f ca="1">IF(P37&lt;$A$4,(VLOOKUP(P37,$A$11:$B$52,2,0)*$S$12),(S36-(Q37+R37)))</f>
        <v>131614.22432167653</v>
      </c>
      <c r="U37" s="80">
        <f>P37</f>
        <v>43282</v>
      </c>
      <c r="V37" s="97">
        <f ca="1">IF(U37&lt;$A$4,0,(YEARFRAC($A$4,U37,1)))</f>
        <v>2.2281021897810218</v>
      </c>
      <c r="W37" s="141">
        <f ca="1">V37*(S36-S37)</f>
        <v>24180.703081960099</v>
      </c>
    </row>
    <row r="38" spans="1:23">
      <c r="A38" s="49"/>
      <c r="B38" s="50"/>
      <c r="D38" s="70" t="str">
        <f ca="1">IF(E38&lt;$A$4,"Actual","Model Num")</f>
        <v>Model Num</v>
      </c>
      <c r="E38" s="71">
        <f>DATE(YEAR(E37),MONTH(E37)+6,DAY(E37))</f>
        <v>43466</v>
      </c>
      <c r="F38" s="74">
        <f ca="1">MAX(IF(ISERROR(VLOOKUP(E38,$A$12:$B$52,2,0)),VLOOKUP(E38,$P$11:$S$52,4,0)/1000000,(VLOOKUP(E38,$A$12:$B$52,2,0))),0)</f>
        <v>0.12104011881773047</v>
      </c>
      <c r="G38" s="128">
        <f ca="1">F38*1000000</f>
        <v>121040.11881773047</v>
      </c>
      <c r="I38" s="80">
        <f>E38</f>
        <v>43466</v>
      </c>
      <c r="J38" s="210">
        <f>$M$12*$N$7</f>
        <v>40543.870000000003</v>
      </c>
      <c r="K38" s="88">
        <f>($F$7/360)*($O$2/100)*M37</f>
        <v>12976.363789701716</v>
      </c>
      <c r="L38" s="90">
        <f>J38-K38</f>
        <v>27567.506210298285</v>
      </c>
      <c r="M38" s="79">
        <f>M37-L38</f>
        <v>470565.46076481557</v>
      </c>
      <c r="N38" s="126">
        <f>L38/M37</f>
        <v>5.5341661841215833E-2</v>
      </c>
      <c r="O38" s="52"/>
      <c r="P38" s="80">
        <f>I38</f>
        <v>43466</v>
      </c>
      <c r="Q38" s="97">
        <f ca="1">S37*N38</f>
        <v>7283.7498959041468</v>
      </c>
      <c r="R38" s="98">
        <f ca="1">S37*$C$2/2</f>
        <v>3290.3556080419135</v>
      </c>
      <c r="S38" s="99">
        <f ca="1">IF(P38&lt;$A$4,(VLOOKUP(P38,$A$11:$B$52,2,0)*$S$12),(S37-(Q38+R38)))</f>
        <v>121040.11881773047</v>
      </c>
      <c r="U38" s="80">
        <f>P38</f>
        <v>43466</v>
      </c>
      <c r="V38" s="97">
        <f ca="1">IF(U38&lt;$A$4,0,(YEARFRAC($A$4,U38,1)))</f>
        <v>2.732375085557837</v>
      </c>
      <c r="W38" s="141">
        <f ca="1">V38*(S37-S38)</f>
        <v>28892.422431042218</v>
      </c>
    </row>
    <row r="39" spans="1:23">
      <c r="A39" s="49"/>
      <c r="B39" s="50"/>
      <c r="D39" s="70" t="str">
        <f ca="1">IF(E39&lt;$A$4,"Actual","Model Num")</f>
        <v>Model Num</v>
      </c>
      <c r="E39" s="71">
        <f>DATE(YEAR(E38),MONTH(E38)+6,DAY(E38))</f>
        <v>43647</v>
      </c>
      <c r="F39" s="74">
        <f ca="1">MAX(IF(ISERROR(VLOOKUP(E39,$A$12:$B$52,2,0)),VLOOKUP(E39,$P$11:$S$52,4,0)/1000000,(VLOOKUP(E39,$A$12:$B$52,2,0))),0)</f>
        <v>0.11073840719188124</v>
      </c>
      <c r="G39" s="128">
        <f ca="1">F39*1000000</f>
        <v>110738.40719188124</v>
      </c>
      <c r="I39" s="80">
        <f>E39</f>
        <v>43647</v>
      </c>
      <c r="J39" s="210">
        <f>$M$12*$N$7</f>
        <v>40543.870000000003</v>
      </c>
      <c r="K39" s="88">
        <f>($F$7/360)*($O$2/100)*M38</f>
        <v>12258.230252923446</v>
      </c>
      <c r="L39" s="90">
        <f>J39-K39</f>
        <v>28285.639747076559</v>
      </c>
      <c r="M39" s="79">
        <f>M38-L39</f>
        <v>442279.82101773901</v>
      </c>
      <c r="N39" s="126">
        <f>L39/M38</f>
        <v>6.0109893533417384E-2</v>
      </c>
      <c r="O39" s="52"/>
      <c r="P39" s="80">
        <f>I39</f>
        <v>43647</v>
      </c>
      <c r="Q39" s="97">
        <f ca="1">S38*N39</f>
        <v>7275.7086554059688</v>
      </c>
      <c r="R39" s="98">
        <f ca="1">S38*$C$2/2</f>
        <v>3026.0029704432618</v>
      </c>
      <c r="S39" s="99">
        <f ca="1">IF(P39&lt;$A$4,(VLOOKUP(P39,$A$11:$B$52,2,0)*$S$12),(S38-(Q39+R39)))</f>
        <v>110738.40719188124</v>
      </c>
      <c r="U39" s="80">
        <f>P39</f>
        <v>43647</v>
      </c>
      <c r="V39" s="97">
        <f ca="1">IF(U39&lt;$A$4,0,(YEARFRAC($A$4,U39,1)))</f>
        <v>3.2279260780287475</v>
      </c>
      <c r="W39" s="141">
        <f ca="1">V39*(S38-S39)</f>
        <v>33253.163605410664</v>
      </c>
    </row>
    <row r="40" spans="1:23">
      <c r="A40" s="49"/>
      <c r="B40" s="50"/>
      <c r="D40" s="70" t="str">
        <f ca="1">IF(E40&lt;$A$4,"Actual","Model Num")</f>
        <v>Model Num</v>
      </c>
      <c r="E40" s="71">
        <f>DATE(YEAR(E39),MONTH(E39)+6,DAY(E39))</f>
        <v>43831</v>
      </c>
      <c r="F40" s="74">
        <f ca="1">MAX(IF(ISERROR(VLOOKUP(E40,$A$12:$B$52,2,0)),VLOOKUP(E40,$P$11:$S$52,4,0)/1000000,(VLOOKUP(E40,$A$12:$B$52,2,0))),0)</f>
        <v>0.10070327300031151</v>
      </c>
      <c r="G40" s="128">
        <f ca="1">F40*1000000</f>
        <v>100703.27300031151</v>
      </c>
      <c r="I40" s="80">
        <f>E40</f>
        <v>43831</v>
      </c>
      <c r="J40" s="210">
        <f>$M$12*$N$7</f>
        <v>40543.870000000003</v>
      </c>
      <c r="K40" s="88">
        <f>($F$7/360)*($O$2/100)*M39</f>
        <v>11521.389337512101</v>
      </c>
      <c r="L40" s="90">
        <f>J40-K40</f>
        <v>29022.480662487902</v>
      </c>
      <c r="M40" s="79">
        <f>M39-L40</f>
        <v>413257.3403552511</v>
      </c>
      <c r="N40" s="126">
        <f>L40/M39</f>
        <v>6.5620178184262815E-2</v>
      </c>
      <c r="O40" s="52"/>
      <c r="P40" s="80">
        <f>I40</f>
        <v>43831</v>
      </c>
      <c r="Q40" s="97">
        <f ca="1">S39*N40</f>
        <v>7266.6740117726977</v>
      </c>
      <c r="R40" s="98">
        <f ca="1">S39*$C$2/2</f>
        <v>2768.4601797970313</v>
      </c>
      <c r="S40" s="99">
        <f ca="1">IF(P40&lt;$A$4,(VLOOKUP(P40,$A$11:$B$52,2,0)*$S$12),(S39-(Q40+R40)))</f>
        <v>100703.27300031151</v>
      </c>
      <c r="U40" s="80">
        <f>P40</f>
        <v>43831</v>
      </c>
      <c r="V40" s="97">
        <f ca="1">IF(U40&lt;$A$4,0,(YEARFRAC($A$4,U40,1)))</f>
        <v>3.7301587301587302</v>
      </c>
      <c r="W40" s="141">
        <f ca="1">V40*(S39-S40)</f>
        <v>37432.643412998186</v>
      </c>
    </row>
    <row r="41" spans="1:23">
      <c r="A41" s="49"/>
      <c r="B41" s="50"/>
      <c r="D41" s="70" t="str">
        <f ca="1">IF(E41&lt;$A$4,"Actual","Model Num")</f>
        <v>Model Num</v>
      </c>
      <c r="E41" s="71">
        <f>DATE(YEAR(E40),MONTH(E40)+6,DAY(E40))</f>
        <v>44013</v>
      </c>
      <c r="F41" s="74">
        <f ca="1">MAX(IF(ISERROR(VLOOKUP(E41,$A$12:$B$52,2,0)),VLOOKUP(E41,$P$11:$S$52,4,0)/1000000,(VLOOKUP(E41,$A$12:$B$52,2,0))),0)</f>
        <v>9.0929210135454824E-2</v>
      </c>
      <c r="G41" s="128">
        <f ca="1">F41*1000000</f>
        <v>90929.210135454821</v>
      </c>
      <c r="I41" s="80">
        <f>E41</f>
        <v>44013</v>
      </c>
      <c r="J41" s="210">
        <f>$M$12*$N$7</f>
        <v>40543.870000000003</v>
      </c>
      <c r="K41" s="88">
        <f>($F$7/360)*($O$2/100)*M40</f>
        <v>10765.353716254291</v>
      </c>
      <c r="L41" s="90">
        <f>J41-K41</f>
        <v>29778.51628374571</v>
      </c>
      <c r="M41" s="79">
        <f>M40-L41</f>
        <v>383478.8240715054</v>
      </c>
      <c r="N41" s="126">
        <f>L41/M40</f>
        <v>7.2058045619097802E-2</v>
      </c>
      <c r="O41" s="52"/>
      <c r="P41" s="80">
        <f>I41</f>
        <v>44013</v>
      </c>
      <c r="Q41" s="97">
        <f ca="1">S40*N41</f>
        <v>7256.4810398489071</v>
      </c>
      <c r="R41" s="98">
        <f ca="1">S40*$C$2/2</f>
        <v>2517.5818250077882</v>
      </c>
      <c r="S41" s="99">
        <f ca="1">IF(P41&lt;$A$4,(VLOOKUP(P41,$A$11:$B$52,2,0)*$S$12),(S40-(Q41+R41)))</f>
        <v>90929.210135454821</v>
      </c>
      <c r="U41" s="80">
        <f>P41</f>
        <v>44013</v>
      </c>
      <c r="V41" s="97">
        <f ca="1">IF(U41&lt;$A$4,0,(YEARFRAC($A$4,U41,1)))</f>
        <v>4.2282430213464695</v>
      </c>
      <c r="W41" s="141">
        <f ca="1">V41*(S40-S41)</f>
        <v>41327.113098531991</v>
      </c>
    </row>
    <row r="42" spans="1:23">
      <c r="A42" s="49"/>
      <c r="B42" s="50"/>
      <c r="D42" s="70" t="str">
        <f ca="1">IF(E42&lt;$A$4,"Actual","Model Num")</f>
        <v>Model Num</v>
      </c>
      <c r="E42" s="71">
        <f>DATE(YEAR(E41),MONTH(E41)+6,DAY(E41))</f>
        <v>44197</v>
      </c>
      <c r="F42" s="74">
        <f ca="1">MAX(IF(ISERROR(VLOOKUP(E42,$A$12:$B$52,2,0)),VLOOKUP(E42,$P$11:$S$52,4,0)/1000000,(VLOOKUP(E42,$A$12:$B$52,2,0))),0)</f>
        <v>8.1411059593852433E-2</v>
      </c>
      <c r="G42" s="128">
        <f ca="1">F42*1000000</f>
        <v>81411.059593852435</v>
      </c>
      <c r="I42" s="80">
        <f>E42</f>
        <v>44197</v>
      </c>
      <c r="J42" s="210">
        <f>$M$12*$N$7</f>
        <v>40543.870000000003</v>
      </c>
      <c r="K42" s="88">
        <f>($F$7/360)*($O$2/100)*M41</f>
        <v>9989.6233670627153</v>
      </c>
      <c r="L42" s="90">
        <f>J42-K42</f>
        <v>30554.246632937287</v>
      </c>
      <c r="M42" s="79">
        <f>M41-L42</f>
        <v>352924.57743856811</v>
      </c>
      <c r="N42" s="126">
        <f>L42/M41</f>
        <v>7.9676489847689713E-2</v>
      </c>
      <c r="O42" s="52"/>
      <c r="P42" s="80">
        <f>I42</f>
        <v>44197</v>
      </c>
      <c r="Q42" s="97">
        <f ca="1">S41*N42</f>
        <v>7244.9202882160107</v>
      </c>
      <c r="R42" s="98">
        <f ca="1">S41*$C$2/2</f>
        <v>2273.2302533863708</v>
      </c>
      <c r="S42" s="99">
        <f ca="1">IF(P42&lt;$A$4,(VLOOKUP(P42,$A$11:$B$52,2,0)*$S$12),(S41-(Q42+R42)))</f>
        <v>81411.059593852435</v>
      </c>
      <c r="U42" s="80">
        <f>P42</f>
        <v>44197</v>
      </c>
      <c r="V42" s="97">
        <f ca="1">IF(U42&lt;$A$4,0,(YEARFRAC($A$4,U42,1)))</f>
        <v>4.7326642335766422</v>
      </c>
      <c r="W42" s="141">
        <f ca="1">V42*(S41-S42)</f>
        <v>45046.21063803976</v>
      </c>
    </row>
    <row r="43" spans="1:23">
      <c r="A43" s="49"/>
      <c r="B43" s="50"/>
      <c r="D43" s="70" t="str">
        <f ca="1">IF(E43&lt;$A$4,"Actual","Model Num")</f>
        <v>Model Num</v>
      </c>
      <c r="E43" s="71">
        <f>DATE(YEAR(E42),MONTH(E42)+6,DAY(E42))</f>
        <v>44378</v>
      </c>
      <c r="F43" s="74">
        <f ca="1">MAX(IF(ISERROR(VLOOKUP(E43,$A$12:$B$52,2,0)),VLOOKUP(E43,$P$11:$S$52,4,0)/1000000,(VLOOKUP(E43,$A$12:$B$52,2,0))),0)</f>
        <v>7.2144063006434514E-2</v>
      </c>
      <c r="G43" s="128">
        <f ca="1">F43*1000000</f>
        <v>72144.063006434517</v>
      </c>
      <c r="I43" s="80">
        <f>E43</f>
        <v>44378</v>
      </c>
      <c r="J43" s="210">
        <f>$M$12*$N$7</f>
        <v>40543.870000000003</v>
      </c>
      <c r="K43" s="88">
        <f>($F$7/360)*($O$2/100)*M42</f>
        <v>9193.6852422746997</v>
      </c>
      <c r="L43" s="90">
        <f>J43-K43</f>
        <v>31350.184757725303</v>
      </c>
      <c r="M43" s="79">
        <f>M42-L43</f>
        <v>321574.39268084284</v>
      </c>
      <c r="N43" s="126">
        <f>L43/M42</f>
        <v>8.8829701193542637E-2</v>
      </c>
      <c r="O43" s="52"/>
      <c r="P43" s="80">
        <f>I43</f>
        <v>44378</v>
      </c>
      <c r="Q43" s="97">
        <f ca="1">S42*N43</f>
        <v>7231.7200975716041</v>
      </c>
      <c r="R43" s="98">
        <f ca="1">S42*$C$2/2</f>
        <v>2035.2764898463111</v>
      </c>
      <c r="S43" s="99">
        <f ca="1">IF(P43&lt;$A$4,(VLOOKUP(P43,$A$11:$B$52,2,0)*$S$12),(S42-(Q43+R43)))</f>
        <v>72144.063006434517</v>
      </c>
      <c r="U43" s="80">
        <f>P43</f>
        <v>44378</v>
      </c>
      <c r="V43" s="97">
        <f ca="1">IF(U43&lt;$A$4,0,(YEARFRAC($A$4,U43,1)))</f>
        <v>5.2281021897810218</v>
      </c>
      <c r="W43" s="141">
        <f ca="1">V43*(S42-S43)</f>
        <v>48448.805151372871</v>
      </c>
    </row>
    <row r="44" spans="1:23">
      <c r="A44" s="49"/>
      <c r="B44" s="50"/>
      <c r="D44" s="70" t="str">
        <f ca="1">IF(E44&lt;$A$4,"Actual","Model Num")</f>
        <v>Model Num</v>
      </c>
      <c r="E44" s="71">
        <f>DATE(YEAR(E43),MONTH(E43)+6,DAY(E43))</f>
        <v>44562</v>
      </c>
      <c r="F44" s="74">
        <f ca="1">MAX(IF(ISERROR(VLOOKUP(E44,$A$12:$B$52,2,0)),VLOOKUP(E44,$P$11:$S$52,4,0)/1000000,(VLOOKUP(E44,$A$12:$B$52,2,0))),0)</f>
        <v>6.312394228035928E-2</v>
      </c>
      <c r="G44" s="128">
        <f ca="1">F44*1000000</f>
        <v>63123.942280359282</v>
      </c>
      <c r="I44" s="80">
        <f>E44</f>
        <v>44562</v>
      </c>
      <c r="J44" s="210">
        <f>$M$12*$N$7</f>
        <v>40543.870000000003</v>
      </c>
      <c r="K44" s="88">
        <f>($F$7/360)*($O$2/100)*M43</f>
        <v>8377.0129293359569</v>
      </c>
      <c r="L44" s="90">
        <f>J44-K44</f>
        <v>32166.857070664046</v>
      </c>
      <c r="M44" s="79">
        <f>M43-L44</f>
        <v>289407.53561017878</v>
      </c>
      <c r="N44" s="126">
        <f>L44/M43</f>
        <v>0.10002928654393545</v>
      </c>
      <c r="O44" s="52"/>
      <c r="P44" s="80">
        <f>I44</f>
        <v>44562</v>
      </c>
      <c r="Q44" s="97">
        <f ca="1">S43*N44</f>
        <v>7216.5191509143715</v>
      </c>
      <c r="R44" s="98">
        <f ca="1">S43*$C$2/2</f>
        <v>1803.6015751608629</v>
      </c>
      <c r="S44" s="99">
        <f ca="1">IF(P44&lt;$A$4,(VLOOKUP(P44,$A$11:$B$52,2,0)*$S$12),(S43-(Q44+R44)))</f>
        <v>63123.942280359282</v>
      </c>
      <c r="U44" s="80">
        <f>P44</f>
        <v>44562</v>
      </c>
      <c r="V44" s="97">
        <f ca="1">IF(U44&lt;$A$4,0,(YEARFRAC($A$4,U44,1)))</f>
        <v>5.7324990222917487</v>
      </c>
      <c r="W44" s="141">
        <f ca="1">V44*(S43-S44)</f>
        <v>51707.833243179819</v>
      </c>
    </row>
    <row r="45" spans="1:23">
      <c r="A45" s="49"/>
      <c r="B45" s="50"/>
      <c r="D45" s="70" t="str">
        <f ca="1">IF(E45&lt;$A$4,"Actual","Model Num")</f>
        <v>Model Num</v>
      </c>
      <c r="E45" s="71">
        <f>DATE(YEAR(E44),MONTH(E44)+6,DAY(E44))</f>
        <v>44743</v>
      </c>
      <c r="F45" s="74">
        <f ca="1">MAX(IF(ISERROR(VLOOKUP(E45,$A$12:$B$52,2,0)),VLOOKUP(E45,$P$11:$S$52,4,0)/1000000,(VLOOKUP(E45,$A$12:$B$52,2,0))),0)</f>
        <v>5.4347021760494885E-2</v>
      </c>
      <c r="G45" s="128">
        <f ca="1">F45*1000000</f>
        <v>54347.021760494885</v>
      </c>
      <c r="I45" s="80">
        <f>E45</f>
        <v>44743</v>
      </c>
      <c r="J45" s="210">
        <f>$M$12*$N$7</f>
        <v>40543.870000000003</v>
      </c>
      <c r="K45" s="88">
        <f>($F$7/360)*($O$2/100)*M44</f>
        <v>7539.0663026451575</v>
      </c>
      <c r="L45" s="90">
        <f>J45-K45</f>
        <v>33004.803697354844</v>
      </c>
      <c r="M45" s="79">
        <f>M44-L45</f>
        <v>256402.73191282392</v>
      </c>
      <c r="N45" s="126">
        <f>L45/M44</f>
        <v>0.11404265485958559</v>
      </c>
      <c r="O45" s="52"/>
      <c r="P45" s="80">
        <f>I45</f>
        <v>44743</v>
      </c>
      <c r="Q45" s="97">
        <f ca="1">S44*N45</f>
        <v>7198.8219628554161</v>
      </c>
      <c r="R45" s="98">
        <f ca="1">S44*$C$2/2</f>
        <v>1578.0985570089822</v>
      </c>
      <c r="S45" s="99">
        <f ca="1">IF(P45&lt;$A$4,(VLOOKUP(P45,$A$11:$B$52,2,0)*$S$12),(S44-(Q45+R45)))</f>
        <v>54347.021760494885</v>
      </c>
      <c r="U45" s="80">
        <f>P45</f>
        <v>44743</v>
      </c>
      <c r="V45" s="97">
        <f ca="1">IF(U45&lt;$A$4,0,(YEARFRAC($A$4,U45,1)))</f>
        <v>6.2280015643332032</v>
      </c>
      <c r="W45" s="141">
        <f ca="1">V45*(S44-S45)</f>
        <v>54662.674727743659</v>
      </c>
    </row>
    <row r="46" spans="1:23">
      <c r="A46" s="49"/>
      <c r="B46" s="50"/>
      <c r="D46" s="70" t="str">
        <f ca="1">IF(E46&lt;$A$4,"Actual","Model Num")</f>
        <v>Model Num</v>
      </c>
      <c r="E46" s="71">
        <f>DATE(YEAR(E45),MONTH(E45)+6,DAY(E45))</f>
        <v>44927</v>
      </c>
      <c r="F46" s="74">
        <f ca="1">MAX(IF(ISERROR(VLOOKUP(E46,$A$12:$B$52,2,0)),VLOOKUP(E46,$P$11:$S$52,4,0)/1000000,(VLOOKUP(E46,$A$12:$B$52,2,0))),0)</f>
        <v>4.5810423465607715E-2</v>
      </c>
      <c r="G46" s="128">
        <f ca="1">F46*1000000</f>
        <v>45810.423465607717</v>
      </c>
      <c r="I46" s="80">
        <f>E46</f>
        <v>44927</v>
      </c>
      <c r="J46" s="210">
        <f>$M$12*$N$7</f>
        <v>40543.870000000003</v>
      </c>
      <c r="K46" s="88">
        <f>($F$7/360)*($O$2/100)*M45</f>
        <v>6679.2911663290633</v>
      </c>
      <c r="L46" s="90">
        <f>J46-K46</f>
        <v>33864.578833670937</v>
      </c>
      <c r="M46" s="79">
        <f>M45-L46</f>
        <v>222538.15307915298</v>
      </c>
      <c r="N46" s="126">
        <f>L46/M45</f>
        <v>0.13207573328502906</v>
      </c>
      <c r="O46" s="52"/>
      <c r="P46" s="80">
        <f>I46</f>
        <v>44927</v>
      </c>
      <c r="Q46" s="97">
        <f ca="1">S45*N46</f>
        <v>7177.9227508747927</v>
      </c>
      <c r="R46" s="98">
        <f ca="1">S45*$C$2/2</f>
        <v>1358.6755440123723</v>
      </c>
      <c r="S46" s="99">
        <f ca="1">IF(P46&lt;$A$4,(VLOOKUP(P46,$A$11:$B$52,2,0)*$S$12),(S45-(Q46+R46)))</f>
        <v>45810.423465607717</v>
      </c>
      <c r="U46" s="80">
        <f>P46</f>
        <v>44927</v>
      </c>
      <c r="V46" s="97">
        <f ca="1">IF(U46&lt;$A$4,0,(YEARFRAC($A$4,U46,1)))</f>
        <v>6.7323750855578375</v>
      </c>
      <c r="W46" s="141">
        <f ca="1">V46*(S45-S46)</f>
        <v>57471.581675913883</v>
      </c>
    </row>
    <row r="47" spans="1:23">
      <c r="A47" s="49"/>
      <c r="B47" s="50"/>
      <c r="D47" s="70" t="str">
        <f ca="1">IF(E47&lt;$A$4,"Actual","Model Num")</f>
        <v>Model Num</v>
      </c>
      <c r="E47" s="71">
        <f>DATE(YEAR(E46),MONTH(E46)+6,DAY(E46))</f>
        <v>45108</v>
      </c>
      <c r="F47" s="74">
        <f ca="1">MAX(IF(ISERROR(VLOOKUP(E47,$A$12:$B$52,2,0)),VLOOKUP(E47,$P$11:$S$52,4,0)/1000000,(VLOOKUP(E47,$A$12:$B$52,2,0))),0)</f>
        <v>3.7512396665697889E-2</v>
      </c>
      <c r="G47" s="128">
        <f ca="1">F47*1000000</f>
        <v>37512.396665697888</v>
      </c>
      <c r="I47" s="80">
        <f>E47</f>
        <v>45108</v>
      </c>
      <c r="J47" s="210">
        <f>$M$12*$N$7</f>
        <v>40543.870000000003</v>
      </c>
      <c r="K47" s="88">
        <f>($F$7/360)*($O$2/100)*M46</f>
        <v>5797.1188877119348</v>
      </c>
      <c r="L47" s="90">
        <f>J47-K47</f>
        <v>34746.751112288068</v>
      </c>
      <c r="M47" s="79">
        <f>M46-L47</f>
        <v>187791.40196686491</v>
      </c>
      <c r="N47" s="126">
        <f>L47/M46</f>
        <v>0.15613839978230271</v>
      </c>
      <c r="O47" s="52"/>
      <c r="P47" s="80">
        <f>I47</f>
        <v>45108</v>
      </c>
      <c r="Q47" s="97">
        <f ca="1">S46*N47</f>
        <v>7152.7662132696387</v>
      </c>
      <c r="R47" s="98">
        <f ca="1">S46*$C$2/2</f>
        <v>1145.260586640193</v>
      </c>
      <c r="S47" s="99">
        <f ca="1">IF(P47&lt;$A$4,(VLOOKUP(P47,$A$11:$B$52,2,0)*$S$12),(S46-(Q47+R47)))</f>
        <v>37512.396665697888</v>
      </c>
      <c r="U47" s="80">
        <f>P47</f>
        <v>45108</v>
      </c>
      <c r="V47" s="97">
        <f ca="1">IF(U47&lt;$A$4,0,(YEARFRAC($A$4,U47,1)))</f>
        <v>7.2279260780287471</v>
      </c>
      <c r="W47" s="141">
        <f ca="1">V47*(S46-S47)</f>
        <v>59977.52430324968</v>
      </c>
    </row>
    <row r="48" spans="1:23">
      <c r="A48" s="49"/>
      <c r="B48" s="50"/>
      <c r="D48" s="70" t="str">
        <f ca="1">IF(E48&lt;$A$4,"Actual","Model Num")</f>
        <v>Model Num</v>
      </c>
      <c r="E48" s="71">
        <f>DATE(YEAR(E47),MONTH(E47)+6,DAY(E47))</f>
        <v>45292</v>
      </c>
      <c r="F48" s="74">
        <f ca="1">MAX(IF(ISERROR(VLOOKUP(E48,$A$12:$B$52,2,0)),VLOOKUP(E48,$P$11:$S$52,4,0)/1000000,(VLOOKUP(E48,$A$12:$B$52,2,0))),0)</f>
        <v>2.9452916907244931E-2</v>
      </c>
      <c r="G48" s="128">
        <f ca="1">F48*1000000</f>
        <v>29452.916907244929</v>
      </c>
      <c r="I48" s="80">
        <f>E48</f>
        <v>45292</v>
      </c>
      <c r="J48" s="210">
        <f>$M$12*$N$7</f>
        <v>40543.870000000003</v>
      </c>
      <c r="K48" s="88">
        <f>($F$7/360)*($O$2/100)*M47</f>
        <v>4891.9660212368308</v>
      </c>
      <c r="L48" s="90">
        <f>J48-K48</f>
        <v>35651.90397876317</v>
      </c>
      <c r="M48" s="79">
        <f>M47-L48</f>
        <v>152139.49798810174</v>
      </c>
      <c r="N48" s="126">
        <f>L48/M47</f>
        <v>0.18984843611239355</v>
      </c>
      <c r="O48" s="52"/>
      <c r="P48" s="80">
        <f>I48</f>
        <v>45292</v>
      </c>
      <c r="Q48" s="97">
        <f ca="1">S47*N48</f>
        <v>7121.6698418105107</v>
      </c>
      <c r="R48" s="98">
        <f ca="1">S47*$C$2/2</f>
        <v>937.80991664244721</v>
      </c>
      <c r="S48" s="99">
        <f ca="1">IF(P48&lt;$A$4,(VLOOKUP(P48,$A$11:$B$52,2,0)*$S$12),(S47-(Q48+R48)))</f>
        <v>29452.916907244929</v>
      </c>
      <c r="U48" s="80">
        <f>P48</f>
        <v>45292</v>
      </c>
      <c r="V48" s="97">
        <f ca="1">IF(U48&lt;$A$4,0,(YEARFRAC($A$4,U48,1)))</f>
        <v>7.7299270072992705</v>
      </c>
      <c r="W48" s="141">
        <f ca="1">V48*(S47-S48)</f>
        <v>62299.190249647327</v>
      </c>
    </row>
    <row r="49" spans="1:23">
      <c r="A49" s="49"/>
      <c r="B49" s="50"/>
      <c r="D49" s="70" t="str">
        <f ca="1">IF(E49&lt;$A$4,"Actual","Model Num")</f>
        <v>Model Num</v>
      </c>
      <c r="E49" s="71">
        <f>DATE(YEAR(E48),MONTH(E48)+6,DAY(E48))</f>
        <v>45474</v>
      </c>
      <c r="F49" s="74">
        <f ca="1">MAX(IF(ISERROR(VLOOKUP(E49,$A$12:$B$52,2,0)),VLOOKUP(E49,$P$11:$S$52,4,0)/1000000,(VLOOKUP(E49,$A$12:$B$52,2,0))),0)</f>
        <v>2.1634892986139444E-2</v>
      </c>
      <c r="G49" s="128">
        <f ca="1">F49*1000000</f>
        <v>21634.892986139443</v>
      </c>
      <c r="I49" s="80">
        <f>E49</f>
        <v>45474</v>
      </c>
      <c r="J49" s="210">
        <f>$M$12*$N$7</f>
        <v>40543.870000000003</v>
      </c>
      <c r="K49" s="88">
        <f>($F$7/360)*($O$2/100)*M48</f>
        <v>3963.23392259005</v>
      </c>
      <c r="L49" s="90">
        <f>J49-K49</f>
        <v>36580.636077409952</v>
      </c>
      <c r="M49" s="79">
        <f>M48-L49</f>
        <v>115558.86191069178</v>
      </c>
      <c r="N49" s="126">
        <f>L49/M48</f>
        <v>0.24044141436743</v>
      </c>
      <c r="O49" s="52"/>
      <c r="P49" s="80">
        <f>I49</f>
        <v>45474</v>
      </c>
      <c r="Q49" s="97">
        <f ca="1">S48*N49</f>
        <v>7081.7009984243632</v>
      </c>
      <c r="R49" s="98">
        <f ca="1">S48*$C$2/2</f>
        <v>736.32292268112326</v>
      </c>
      <c r="S49" s="99">
        <f ca="1">IF(P49&lt;$A$4,(VLOOKUP(P49,$A$11:$B$52,2,0)*$S$12),(S48-(Q49+R49)))</f>
        <v>21634.892986139443</v>
      </c>
      <c r="U49" s="80">
        <f>P49</f>
        <v>45474</v>
      </c>
      <c r="V49" s="97">
        <f ca="1">IF(U49&lt;$A$4,0,(YEARFRAC($A$4,U49,1)))</f>
        <v>8.2281021897810227</v>
      </c>
      <c r="W49" s="141">
        <f ca="1">V49*(S48-S49)</f>
        <v>64327.49974500847</v>
      </c>
    </row>
    <row r="50" spans="1:23">
      <c r="A50" s="49"/>
      <c r="B50" s="50"/>
      <c r="D50" s="70" t="str">
        <f ca="1">IF(E50&lt;$A$4,"Actual","Model Num")</f>
        <v>Model Num</v>
      </c>
      <c r="E50" s="71">
        <f>DATE(YEAR(E49),MONTH(E49)+6,DAY(E49))</f>
        <v>45658</v>
      </c>
      <c r="F50" s="74">
        <f ca="1">MAX(IF(ISERROR(VLOOKUP(E50,$A$12:$B$52,2,0)),VLOOKUP(E50,$P$11:$S$52,4,0)/1000000,(VLOOKUP(E50,$A$12:$B$52,2,0))),0)</f>
        <v>1.4066999313231562E-2</v>
      </c>
      <c r="G50" s="128">
        <f ca="1">F50*1000000</f>
        <v>14066.999313231563</v>
      </c>
      <c r="I50" s="80">
        <f>E50</f>
        <v>45658</v>
      </c>
      <c r="J50" s="210">
        <f>$M$12*$N$7</f>
        <v>40543.870000000003</v>
      </c>
      <c r="K50" s="88">
        <f>($F$7/360)*($O$2/100)*M49</f>
        <v>3010.3083527735207</v>
      </c>
      <c r="L50" s="90">
        <f>J50-K50</f>
        <v>37533.561647226481</v>
      </c>
      <c r="M50" s="79">
        <f>M49-L50</f>
        <v>78025.300263465295</v>
      </c>
      <c r="N50" s="126">
        <f>L50/M49</f>
        <v>0.32480037468899464</v>
      </c>
      <c r="O50" s="52"/>
      <c r="P50" s="80">
        <f>I50</f>
        <v>45658</v>
      </c>
      <c r="Q50" s="97">
        <f ca="1">S49*N50</f>
        <v>7027.0213482543932</v>
      </c>
      <c r="R50" s="98">
        <f ca="1">S49*$C$2/2</f>
        <v>540.87232465348609</v>
      </c>
      <c r="S50" s="99">
        <f ca="1">IF(P50&lt;$A$4,(VLOOKUP(P50,$A$11:$B$52,2,0)*$S$12),(S49-(Q50+R50)))</f>
        <v>14066.999313231563</v>
      </c>
      <c r="U50" s="80">
        <f>P50</f>
        <v>45658</v>
      </c>
      <c r="V50" s="97">
        <f ca="1">IF(U50&lt;$A$4,0,(YEARFRAC($A$4,U50,1)))</f>
        <v>8.7325485901998352</v>
      </c>
      <c r="W50" s="141">
        <f ca="1">V50*(S49-S50)</f>
        <v>66086.99922413395</v>
      </c>
    </row>
    <row r="51" spans="1:23">
      <c r="A51" s="49"/>
      <c r="B51" s="50"/>
      <c r="D51" s="70" t="str">
        <f ca="1">IF(E51&lt;$A$4,"Actual","Model Num")</f>
        <v>Model Num</v>
      </c>
      <c r="E51" s="71">
        <f>DATE(YEAR(E50),MONTH(E50)+6,DAY(E50))</f>
        <v>45839</v>
      </c>
      <c r="F51" s="74">
        <f ca="1">MAX(IF(ISERROR(VLOOKUP(E51,$A$12:$B$52,2,0)),VLOOKUP(E51,$P$11:$S$52,4,0)/1000000,(VLOOKUP(E51,$A$12:$B$52,2,0))),0)</f>
        <v>6.7722099489312144E-3</v>
      </c>
      <c r="G51" s="128">
        <f ca="1">F51*1000000</f>
        <v>6772.2099489312141</v>
      </c>
      <c r="I51" s="80">
        <f>E51</f>
        <v>45839</v>
      </c>
      <c r="J51" s="210">
        <f>$M$12*$N$7</f>
        <v>40543.870000000003</v>
      </c>
      <c r="K51" s="88">
        <f>($F$7/360)*($O$2/100)*M50</f>
        <v>2032.5590718632709</v>
      </c>
      <c r="L51" s="90">
        <f>J51-K51</f>
        <v>38511.310928136729</v>
      </c>
      <c r="M51" s="79">
        <f>M50-L51</f>
        <v>39513.989335328566</v>
      </c>
      <c r="N51" s="126">
        <f>L51/M50</f>
        <v>0.49357465845177056</v>
      </c>
      <c r="O51" s="52"/>
      <c r="P51" s="80">
        <f>I51</f>
        <v>45839</v>
      </c>
      <c r="Q51" s="97">
        <f ca="1">S50*N51</f>
        <v>6943.1143814695597</v>
      </c>
      <c r="R51" s="98">
        <f ca="1">S50*$C$2/2</f>
        <v>351.67498283078908</v>
      </c>
      <c r="S51" s="99">
        <f ca="1">IF(P51&lt;$A$4,(VLOOKUP(P51,$A$11:$B$52,2,0)*$S$12),(S50-(Q51+R51)))</f>
        <v>6772.2099489312141</v>
      </c>
      <c r="U51" s="80">
        <f>P51</f>
        <v>45839</v>
      </c>
      <c r="V51" s="97">
        <f ca="1">IF(U51&lt;$A$4,0,(YEARFRAC($A$4,U51,1)))</f>
        <v>9.2280317547221458</v>
      </c>
      <c r="W51" s="141">
        <f ca="1">V51*(S50-S51)</f>
        <v>67316.547897772994</v>
      </c>
    </row>
    <row r="52" spans="1:23" s="82" customFormat="1" ht="13.5" thickBot="1">
      <c r="A52" s="49"/>
      <c r="B52" s="50"/>
      <c r="D52" s="70" t="str">
        <f ca="1">IF(E52&lt;$A$4,"Actual","Model Num")</f>
        <v>Model Num</v>
      </c>
      <c r="E52" s="71">
        <f>DATE(YEAR(E51),MONTH(E51)+6,DAY(E51))</f>
        <v>46023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46023</v>
      </c>
      <c r="J52" s="211">
        <f>$M$12*$N$7</f>
        <v>40543.870000000003</v>
      </c>
      <c r="K52" s="89">
        <f>($F$7/360)*($O$2/100)*M51</f>
        <v>1029.3394221853091</v>
      </c>
      <c r="L52" s="91">
        <f>J52-K52</f>
        <v>39514.530577814694</v>
      </c>
      <c r="M52" s="85">
        <f>M51-L52</f>
        <v>-0.54124248612788506</v>
      </c>
      <c r="N52" s="127">
        <f>L52/M51</f>
        <v>1.0000136974903124</v>
      </c>
      <c r="O52" s="86"/>
      <c r="P52" s="84">
        <f>I52</f>
        <v>46023</v>
      </c>
      <c r="Q52" s="100">
        <f ca="1">S51*N52</f>
        <v>6772.3027112113832</v>
      </c>
      <c r="R52" s="98">
        <f ca="1">S51*$C$2/2</f>
        <v>169.30524872328036</v>
      </c>
      <c r="S52" s="102">
        <v>0</v>
      </c>
      <c r="U52" s="142">
        <f>P52</f>
        <v>46023</v>
      </c>
      <c r="V52" s="143">
        <f ca="1">IF(U52&lt;$A$4,0,(YEARFRAC($A$4,U52,1)))</f>
        <v>9.7324539571926341</v>
      </c>
      <c r="W52" s="141">
        <f ca="1">V52*(S51-S52)</f>
        <v>65910.221516414924</v>
      </c>
    </row>
    <row r="53" spans="1:23">
      <c r="A53" s="49"/>
      <c r="B53" s="50"/>
    </row>
    <row r="54" spans="1:23">
      <c r="A54" s="49"/>
      <c r="B54" s="50"/>
    </row>
    <row r="55" spans="1:23">
      <c r="A55" s="49"/>
      <c r="B55" s="50"/>
    </row>
    <row r="56" spans="1:23">
      <c r="A56" s="49"/>
      <c r="B56" s="50"/>
    </row>
    <row r="57" spans="1:23">
      <c r="A57" s="49"/>
      <c r="B57" s="50"/>
    </row>
    <row r="58" spans="1:23">
      <c r="A58" s="49"/>
      <c r="B58" s="50"/>
    </row>
    <row r="59" spans="1:23">
      <c r="A59" s="49"/>
      <c r="B59" s="50"/>
    </row>
    <row r="60" spans="1:23">
      <c r="A60" s="49"/>
      <c r="B60" s="50"/>
    </row>
    <row r="61" spans="1:23">
      <c r="A61" s="49"/>
      <c r="B61" s="50"/>
    </row>
    <row r="62" spans="1:23">
      <c r="A62" s="49"/>
      <c r="B62" s="50"/>
    </row>
    <row r="63" spans="1:23">
      <c r="A63" s="49"/>
      <c r="B63" s="50"/>
    </row>
    <row r="64" spans="1:23">
      <c r="A64" s="49"/>
      <c r="B64" s="50"/>
    </row>
    <row r="65" spans="1:2">
      <c r="A65" s="49"/>
      <c r="B65" s="50"/>
    </row>
    <row r="66" spans="1:2">
      <c r="A66" s="49"/>
      <c r="B66" s="50"/>
    </row>
    <row r="67" spans="1:2">
      <c r="A67" s="49"/>
      <c r="B67" s="50"/>
    </row>
    <row r="68" spans="1:2">
      <c r="A68" s="49"/>
      <c r="B68" s="50"/>
    </row>
    <row r="69" spans="1:2">
      <c r="A69" s="49"/>
      <c r="B69" s="50"/>
    </row>
    <row r="70" spans="1:2">
      <c r="A70" s="49"/>
      <c r="B70" s="50"/>
    </row>
    <row r="71" spans="1:2">
      <c r="A71" s="49"/>
      <c r="B71" s="50"/>
    </row>
    <row r="72" spans="1:2">
      <c r="A72" s="49"/>
      <c r="B72" s="50"/>
    </row>
    <row r="73" spans="1:2">
      <c r="A73" s="49"/>
      <c r="B73" s="50"/>
    </row>
    <row r="74" spans="1:2">
      <c r="A74" s="49"/>
      <c r="B74" s="50"/>
    </row>
    <row r="75" spans="1:2">
      <c r="A75" s="49"/>
      <c r="B75" s="50"/>
    </row>
    <row r="76" spans="1:2">
      <c r="A76" s="49"/>
      <c r="B76" s="50"/>
    </row>
    <row r="77" spans="1:2">
      <c r="A77" s="49"/>
      <c r="B77" s="50"/>
    </row>
    <row r="78" spans="1:2">
      <c r="A78" s="49"/>
      <c r="B78" s="50"/>
    </row>
    <row r="79" spans="1:2">
      <c r="A79" s="49"/>
      <c r="B79" s="50"/>
    </row>
    <row r="80" spans="1:2">
      <c r="A80" s="49"/>
      <c r="B80" s="50"/>
    </row>
    <row r="81" spans="1:2">
      <c r="A81" s="49"/>
      <c r="B81" s="50"/>
    </row>
    <row r="82" spans="1:2">
      <c r="A82" s="49"/>
      <c r="B82" s="50"/>
    </row>
    <row r="83" spans="1:2">
      <c r="A83" s="49"/>
      <c r="B83" s="50"/>
    </row>
    <row r="84" spans="1:2">
      <c r="A84" s="49"/>
      <c r="B84" s="50"/>
    </row>
    <row r="85" spans="1:2">
      <c r="A85" s="49"/>
      <c r="B85" s="50"/>
    </row>
    <row r="86" spans="1:2">
      <c r="A86" s="49"/>
      <c r="B86" s="50"/>
    </row>
    <row r="87" spans="1:2">
      <c r="A87" s="49"/>
      <c r="B87" s="50"/>
    </row>
    <row r="88" spans="1:2">
      <c r="A88" s="49"/>
      <c r="B88" s="50"/>
    </row>
    <row r="89" spans="1:2">
      <c r="A89" s="49"/>
      <c r="B89" s="50"/>
    </row>
    <row r="90" spans="1:2">
      <c r="A90" s="49"/>
      <c r="B90" s="50"/>
    </row>
    <row r="91" spans="1:2">
      <c r="A91" s="49"/>
      <c r="B91" s="50"/>
    </row>
    <row r="92" spans="1:2">
      <c r="A92" s="49"/>
      <c r="B92" s="50"/>
    </row>
    <row r="93" spans="1:2">
      <c r="A93" s="49"/>
      <c r="B93" s="50"/>
    </row>
    <row r="94" spans="1:2">
      <c r="A94" s="49"/>
      <c r="B94" s="50"/>
    </row>
    <row r="95" spans="1:2">
      <c r="A95" s="49"/>
      <c r="B95" s="50"/>
    </row>
    <row r="96" spans="1:2">
      <c r="A96" s="49"/>
      <c r="B96" s="50"/>
    </row>
    <row r="97" spans="1:2">
      <c r="A97" s="49"/>
      <c r="B97" s="50"/>
    </row>
    <row r="98" spans="1:2">
      <c r="A98" s="49"/>
      <c r="B98" s="50"/>
    </row>
    <row r="99" spans="1:2">
      <c r="A99" s="49"/>
      <c r="B99" s="50"/>
    </row>
    <row r="100" spans="1:2">
      <c r="A100" s="49"/>
      <c r="B100" s="50"/>
    </row>
    <row r="101" spans="1:2">
      <c r="A101" s="49"/>
      <c r="B101" s="50"/>
    </row>
    <row r="102" spans="1:2">
      <c r="A102" s="49"/>
      <c r="B102" s="50"/>
    </row>
    <row r="103" spans="1:2">
      <c r="A103" s="49"/>
      <c r="B103" s="50"/>
    </row>
    <row r="104" spans="1:2">
      <c r="A104" s="49"/>
      <c r="B104" s="50"/>
    </row>
    <row r="105" spans="1:2">
      <c r="A105" s="49"/>
      <c r="B105" s="50"/>
    </row>
    <row r="106" spans="1:2">
      <c r="A106" s="49"/>
      <c r="B106" s="50"/>
    </row>
    <row r="107" spans="1:2">
      <c r="A107" s="49"/>
      <c r="B107" s="50"/>
    </row>
    <row r="108" spans="1:2">
      <c r="A108" s="49"/>
      <c r="B108" s="50"/>
    </row>
    <row r="109" spans="1:2">
      <c r="A109" s="49"/>
      <c r="B109" s="50"/>
    </row>
    <row r="110" spans="1:2">
      <c r="A110" s="49"/>
      <c r="B110" s="50"/>
    </row>
    <row r="111" spans="1:2">
      <c r="A111" s="49"/>
      <c r="B111" s="50"/>
    </row>
    <row r="112" spans="1:2">
      <c r="A112" s="49"/>
      <c r="B112" s="50"/>
    </row>
    <row r="113" spans="1:2">
      <c r="A113" s="49"/>
      <c r="B113" s="50"/>
    </row>
    <row r="114" spans="1:2">
      <c r="A114" s="49"/>
      <c r="B114" s="50"/>
    </row>
    <row r="115" spans="1:2">
      <c r="A115" s="49"/>
      <c r="B115" s="50"/>
    </row>
    <row r="116" spans="1:2">
      <c r="A116" s="49"/>
      <c r="B116" s="50"/>
    </row>
    <row r="117" spans="1:2">
      <c r="A117" s="49"/>
      <c r="B117" s="50"/>
    </row>
    <row r="118" spans="1:2">
      <c r="A118" s="49"/>
      <c r="B118" s="50"/>
    </row>
    <row r="119" spans="1:2">
      <c r="A119" s="49"/>
      <c r="B119" s="50"/>
    </row>
    <row r="120" spans="1:2">
      <c r="A120" s="49"/>
      <c r="B120" s="50"/>
    </row>
    <row r="121" spans="1:2">
      <c r="A121" s="49"/>
      <c r="B121" s="50"/>
    </row>
    <row r="122" spans="1:2">
      <c r="A122" s="49"/>
      <c r="B122" s="50"/>
    </row>
    <row r="123" spans="1:2">
      <c r="A123" s="49"/>
      <c r="B123" s="50"/>
    </row>
    <row r="124" spans="1:2">
      <c r="A124" s="49"/>
      <c r="B124" s="50"/>
    </row>
    <row r="125" spans="1:2">
      <c r="A125" s="49"/>
      <c r="B125" s="50"/>
    </row>
    <row r="126" spans="1:2">
      <c r="A126" s="49"/>
      <c r="B126" s="50"/>
    </row>
    <row r="127" spans="1:2">
      <c r="A127" s="49"/>
      <c r="B127" s="50"/>
    </row>
    <row r="128" spans="1:2">
      <c r="A128" s="49"/>
      <c r="B128" s="50"/>
    </row>
    <row r="129" spans="1:2">
      <c r="A129" s="49"/>
      <c r="B129" s="50"/>
    </row>
    <row r="130" spans="1:2">
      <c r="A130" s="49"/>
      <c r="B130" s="50"/>
    </row>
    <row r="131" spans="1:2">
      <c r="A131" s="49"/>
      <c r="B131" s="50"/>
    </row>
    <row r="132" spans="1:2">
      <c r="A132" s="49"/>
      <c r="B132" s="50"/>
    </row>
    <row r="133" spans="1:2">
      <c r="A133" s="49"/>
      <c r="B133" s="50"/>
    </row>
    <row r="134" spans="1:2">
      <c r="A134" s="49"/>
      <c r="B134" s="50"/>
    </row>
    <row r="135" spans="1:2">
      <c r="A135" s="49"/>
      <c r="B135" s="50"/>
    </row>
    <row r="136" spans="1:2">
      <c r="A136" s="49"/>
      <c r="B136" s="50"/>
    </row>
    <row r="137" spans="1:2">
      <c r="A137" s="49"/>
      <c r="B137" s="50"/>
    </row>
    <row r="138" spans="1:2">
      <c r="A138" s="49"/>
      <c r="B138" s="50"/>
    </row>
    <row r="139" spans="1:2">
      <c r="A139" s="49"/>
      <c r="B139" s="50"/>
    </row>
    <row r="140" spans="1:2">
      <c r="A140" s="49"/>
      <c r="B140" s="50"/>
    </row>
    <row r="141" spans="1:2">
      <c r="A141" s="49"/>
      <c r="B141" s="50"/>
    </row>
    <row r="142" spans="1:2">
      <c r="A142" s="49"/>
      <c r="B142" s="50"/>
    </row>
    <row r="143" spans="1:2">
      <c r="A143" s="49"/>
      <c r="B143" s="50"/>
    </row>
    <row r="144" spans="1:2">
      <c r="A144" s="49"/>
      <c r="B144" s="50"/>
    </row>
    <row r="145" spans="1:2">
      <c r="A145" s="49"/>
      <c r="B145" s="50"/>
    </row>
    <row r="146" spans="1:2">
      <c r="A146" s="49"/>
      <c r="B146" s="50"/>
    </row>
    <row r="147" spans="1:2">
      <c r="A147" s="49"/>
      <c r="B147" s="50"/>
    </row>
    <row r="148" spans="1:2">
      <c r="A148" s="49"/>
      <c r="B148" s="50"/>
    </row>
    <row r="149" spans="1:2">
      <c r="A149" s="49"/>
      <c r="B149" s="50"/>
    </row>
    <row r="150" spans="1:2">
      <c r="A150" s="49"/>
      <c r="B150" s="50"/>
    </row>
    <row r="151" spans="1:2">
      <c r="A151" s="49"/>
      <c r="B151" s="50"/>
    </row>
    <row r="152" spans="1:2">
      <c r="A152" s="49"/>
      <c r="B152" s="50"/>
    </row>
    <row r="153" spans="1:2">
      <c r="A153" s="49"/>
      <c r="B153" s="50"/>
    </row>
    <row r="154" spans="1:2">
      <c r="A154" s="49"/>
      <c r="B154" s="50"/>
    </row>
    <row r="155" spans="1:2">
      <c r="A155" s="49"/>
      <c r="B155" s="50"/>
    </row>
    <row r="156" spans="1:2">
      <c r="A156" s="49"/>
      <c r="B156" s="50"/>
    </row>
    <row r="157" spans="1:2">
      <c r="A157" s="49"/>
      <c r="B157" s="50"/>
    </row>
    <row r="158" spans="1:2">
      <c r="A158" s="49"/>
      <c r="B158" s="50"/>
    </row>
    <row r="159" spans="1:2">
      <c r="A159" s="49"/>
      <c r="B159" s="50"/>
    </row>
    <row r="160" spans="1:2">
      <c r="A160" s="49"/>
      <c r="B160" s="50"/>
    </row>
    <row r="161" spans="1:2">
      <c r="A161" s="49"/>
      <c r="B161" s="50"/>
    </row>
    <row r="162" spans="1:2">
      <c r="A162" s="49"/>
      <c r="B162" s="50"/>
    </row>
    <row r="163" spans="1:2">
      <c r="A163" s="49"/>
      <c r="B163" s="50"/>
    </row>
    <row r="164" spans="1:2">
      <c r="A164" s="49"/>
      <c r="B164" s="50"/>
    </row>
    <row r="165" spans="1:2">
      <c r="A165" s="49"/>
      <c r="B165" s="50"/>
    </row>
    <row r="166" spans="1:2">
      <c r="A166" s="49"/>
      <c r="B166" s="50"/>
    </row>
    <row r="167" spans="1:2">
      <c r="A167" s="49"/>
      <c r="B167" s="50"/>
    </row>
    <row r="168" spans="1:2">
      <c r="A168" s="49"/>
      <c r="B168" s="50"/>
    </row>
    <row r="169" spans="1:2">
      <c r="A169" s="49"/>
      <c r="B169" s="50"/>
    </row>
    <row r="170" spans="1:2">
      <c r="A170" s="49"/>
      <c r="B170" s="50"/>
    </row>
    <row r="171" spans="1:2">
      <c r="A171" s="49"/>
      <c r="B171" s="50"/>
    </row>
    <row r="172" spans="1:2">
      <c r="A172" s="49"/>
      <c r="B172" s="50"/>
    </row>
    <row r="173" spans="1:2">
      <c r="A173" s="49"/>
      <c r="B173" s="50"/>
    </row>
    <row r="174" spans="1:2">
      <c r="A174" s="49"/>
      <c r="B174" s="50"/>
    </row>
    <row r="175" spans="1:2">
      <c r="A175" s="49"/>
      <c r="B175" s="50"/>
    </row>
    <row r="176" spans="1:2">
      <c r="A176" s="49"/>
      <c r="B176" s="50"/>
    </row>
    <row r="177" spans="1:2">
      <c r="A177" s="49"/>
      <c r="B177" s="50"/>
    </row>
    <row r="178" spans="1:2">
      <c r="A178" s="49"/>
      <c r="B178" s="50"/>
    </row>
    <row r="179" spans="1:2">
      <c r="A179" s="49"/>
      <c r="B179" s="50"/>
    </row>
    <row r="180" spans="1:2">
      <c r="A180" s="49"/>
      <c r="B180" s="50"/>
    </row>
    <row r="181" spans="1:2">
      <c r="A181" s="49"/>
      <c r="B181" s="50"/>
    </row>
    <row r="182" spans="1:2">
      <c r="A182" s="49"/>
      <c r="B182" s="50"/>
    </row>
    <row r="183" spans="1:2">
      <c r="A183" s="49"/>
      <c r="B183" s="50"/>
    </row>
    <row r="184" spans="1:2">
      <c r="A184" s="49"/>
      <c r="B184" s="50"/>
    </row>
    <row r="185" spans="1:2">
      <c r="A185" s="49"/>
      <c r="B185" s="50"/>
    </row>
    <row r="186" spans="1:2">
      <c r="A186" s="49"/>
      <c r="B186" s="50"/>
    </row>
    <row r="187" spans="1:2">
      <c r="A187" s="49"/>
      <c r="B187" s="50"/>
    </row>
    <row r="188" spans="1:2">
      <c r="A188" s="49"/>
      <c r="B188" s="50"/>
    </row>
    <row r="189" spans="1:2">
      <c r="A189" s="49"/>
      <c r="B189" s="50"/>
    </row>
    <row r="190" spans="1:2">
      <c r="A190" s="49"/>
      <c r="B190" s="50"/>
    </row>
    <row r="191" spans="1:2">
      <c r="A191" s="49"/>
      <c r="B191" s="50"/>
    </row>
    <row r="192" spans="1:2">
      <c r="A192" s="49"/>
      <c r="B192" s="50"/>
    </row>
    <row r="193" spans="1:2">
      <c r="A193" s="49"/>
      <c r="B193" s="50"/>
    </row>
    <row r="194" spans="1:2">
      <c r="A194" s="49"/>
      <c r="B194" s="50"/>
    </row>
    <row r="195" spans="1:2">
      <c r="A195" s="49"/>
      <c r="B195" s="50"/>
    </row>
    <row r="196" spans="1:2">
      <c r="A196" s="49"/>
      <c r="B196" s="50"/>
    </row>
    <row r="197" spans="1:2">
      <c r="A197" s="49"/>
      <c r="B197" s="50"/>
    </row>
    <row r="198" spans="1:2">
      <c r="A198" s="49"/>
      <c r="B198" s="50"/>
    </row>
    <row r="199" spans="1:2">
      <c r="A199" s="49"/>
      <c r="B199" s="50"/>
    </row>
    <row r="200" spans="1:2">
      <c r="A200" s="49"/>
      <c r="B200" s="50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27" priority="1" stopIfTrue="1">
      <formula>$D1="Actual"</formula>
    </cfRule>
  </conditionalFormatting>
  <conditionalFormatting sqref="A4">
    <cfRule type="expression" dxfId="26" priority="2" stopIfTrue="1">
      <formula>#REF!="Actual"</formula>
    </cfRule>
  </conditionalFormatting>
  <conditionalFormatting sqref="C6:C9">
    <cfRule type="cellIs" dxfId="25" priority="3" stopIfTrue="1" operator="equal">
      <formula>"PROB!!"</formula>
    </cfRule>
  </conditionalFormatting>
  <conditionalFormatting sqref="A7">
    <cfRule type="expression" dxfId="24" priority="4" stopIfTrue="1">
      <formula>A7="Warning - Update"</formula>
    </cfRule>
  </conditionalFormatting>
  <pageMargins left="0.75" right="0.75" top="1" bottom="1" header="0.5" footer="0.5"/>
  <headerFooter alignWithMargin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indexed="40"/>
  </sheetPr>
  <dimension ref="A1:W53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425781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129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29</v>
      </c>
      <c r="B2" s="67" t="str">
        <f>MID(A2,3,9)</f>
        <v>83162CPU1</v>
      </c>
      <c r="C2" s="131">
        <v>0.05</v>
      </c>
      <c r="D2" s="67">
        <f>IF(ISERROR(VLOOKUP(A2,'Bond Position per Summit'!$C$42:$E$56,3,0)),0,VLOOKUP(A2,'Bond Position per Summit'!$C$42:$E$56,3,0))</f>
        <v>0</v>
      </c>
      <c r="E2" s="67">
        <f>IF(ISERROR(VLOOKUP(A2,'Bond Position per Summit'!$C$65:$E$73,3,0)),0,VLOOKUP(A2,'Bond Position per Summit'!$C$65:$E$73,3,0))</f>
        <v>18612160.880000003</v>
      </c>
      <c r="F2" s="67" t="str">
        <f>_xll.BDP($B2&amp;" Mtge Cusip",F$1)</f>
        <v>SBAP 2005-20I 1</v>
      </c>
      <c r="G2" s="67">
        <f>VLOOKUP(A2,'Bond Position per Summit'!$C$10:$D$32,2,0)</f>
        <v>31500000</v>
      </c>
      <c r="H2" s="67">
        <f>VLOOKUP(A2,'Bond Position per Summit'!$C$10:$E$32,3,0)</f>
        <v>18612160.879999999</v>
      </c>
      <c r="I2" s="67" t="str">
        <f>_xll.BDP($B2&amp;" Mtge Cusip",I$1)</f>
        <v>14/09/2005</v>
      </c>
      <c r="J2" s="67" t="str">
        <f>_xll.BDP($B2&amp;" Mtge Cusip",J$1)</f>
        <v>14/09/2005</v>
      </c>
      <c r="K2" s="67" t="str">
        <f>_xll.BDP($B2&amp;" Mtge Cusip",K$1)</f>
        <v>01/03/2006</v>
      </c>
      <c r="L2" s="67" t="str">
        <f>_xll.BDP($B2&amp;" Mtge Cusip",L$1)</f>
        <v>01/09/2025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4.76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31500000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0.169387021193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167</v>
      </c>
      <c r="I6" s="108" t="s">
        <v>81</v>
      </c>
      <c r="J6" s="118">
        <v>37316</v>
      </c>
      <c r="K6" s="113">
        <f>ROUND(J6/J5,8)</f>
        <v>3.7316000000000002E-2</v>
      </c>
      <c r="L6" s="108" t="s">
        <v>81</v>
      </c>
      <c r="M6" s="112">
        <v>1175470</v>
      </c>
      <c r="N6" s="134">
        <f>ROUND(M6/M5,8)</f>
        <v>3.7316509999999997E-2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39035</v>
      </c>
      <c r="K7" s="115">
        <f>ROUND(J7/J5,8)</f>
        <v>3.9035E-2</v>
      </c>
      <c r="L7" s="109" t="s">
        <v>82</v>
      </c>
      <c r="M7" s="114">
        <v>1229615</v>
      </c>
      <c r="N7" s="133">
        <f>ROUND(M7/M5,8)</f>
        <v>3.9035399999999998E-2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4.4505784029219599</v>
      </c>
    </row>
    <row r="12" spans="1:23">
      <c r="A12" s="49">
        <f>_xll.BDS($B2&amp;" Mtge Cusip",A11,"cols=2;rows=22")</f>
        <v>42430</v>
      </c>
      <c r="B12" s="50">
        <v>0.169387021</v>
      </c>
      <c r="C12" s="52"/>
      <c r="D12" s="70" t="str">
        <f ca="1">IF(E12&lt;$A$4,"Actual","Model Num")</f>
        <v>Actual</v>
      </c>
      <c r="E12" s="71">
        <v>38609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38609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38609</v>
      </c>
      <c r="Q12" s="94"/>
      <c r="R12" s="95"/>
      <c r="S12" s="96">
        <f>M12</f>
        <v>1000000</v>
      </c>
      <c r="U12" s="139">
        <f>P12</f>
        <v>38609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42248</v>
      </c>
      <c r="B13" s="50">
        <v>0.21611166200000001</v>
      </c>
      <c r="C13" s="52"/>
      <c r="D13" s="70" t="str">
        <f ca="1">IF(E13&lt;$A$4,"Actual","Model Num")</f>
        <v>Actual</v>
      </c>
      <c r="E13" s="71">
        <v>38777</v>
      </c>
      <c r="F13" s="74">
        <f>MAX(IF(ISERROR(VLOOKUP(E13,$A$12:$B$52,2,0)),VLOOKUP(E13,$P$11:$S$52,4,0)/1000000,(VLOOKUP(E13,$A$12:$B$52,2,0))),0)</f>
        <v>0.97905238100000003</v>
      </c>
      <c r="G13" s="128">
        <f>F13*1000000</f>
        <v>979052.38100000005</v>
      </c>
      <c r="H13" s="64"/>
      <c r="I13" s="80">
        <f>E13</f>
        <v>38777</v>
      </c>
      <c r="J13" s="125">
        <f>$M$12*$N$6</f>
        <v>37316.509999999995</v>
      </c>
      <c r="K13" s="88">
        <f>($F$6/360)*($O$2/100)*M12</f>
        <v>22081.111111111109</v>
      </c>
      <c r="L13" s="90">
        <f>J13-K13</f>
        <v>15235.398888888885</v>
      </c>
      <c r="M13" s="79">
        <f>M12-L13</f>
        <v>984764.60111111111</v>
      </c>
      <c r="N13" s="126">
        <f>L13/M12</f>
        <v>1.5235398888888885E-2</v>
      </c>
      <c r="O13" s="52"/>
      <c r="P13" s="80">
        <f>I13</f>
        <v>38777</v>
      </c>
      <c r="Q13" s="97">
        <f>S12*N13</f>
        <v>15235.398888888885</v>
      </c>
      <c r="R13" s="98">
        <f>S12*$C$2/2</f>
        <v>25000</v>
      </c>
      <c r="S13" s="99">
        <f ca="1">IF(P13&lt;$A$4,(VLOOKUP(P13,$A$11:$B$52,2,0)*$S$12),(S12-(Q13+R13)))</f>
        <v>979052.38100000005</v>
      </c>
      <c r="U13" s="80">
        <f>P13</f>
        <v>38777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42064</v>
      </c>
      <c r="B14" s="50">
        <v>0.25781808499999997</v>
      </c>
      <c r="C14" s="52"/>
      <c r="D14" s="70" t="str">
        <f ca="1">IF(E14&lt;$A$4,"Actual","Model Num")</f>
        <v>Actual</v>
      </c>
      <c r="E14" s="71">
        <f>DATE(YEAR(E13),MONTH(E13)+6,DAY(E13))</f>
        <v>38961</v>
      </c>
      <c r="F14" s="74">
        <f>MAX(IF(ISERROR(VLOOKUP(E14,$A$12:$B$52,2,0)),VLOOKUP(E14,$P$11:$S$52,4,0)/1000000,(VLOOKUP(E14,$A$12:$B$52,2,0))),0)</f>
        <v>0.95018664799999997</v>
      </c>
      <c r="G14" s="128">
        <f>F14*1000000</f>
        <v>950186.64799999993</v>
      </c>
      <c r="H14" s="64"/>
      <c r="I14" s="80">
        <f>E14</f>
        <v>38961</v>
      </c>
      <c r="J14" s="210">
        <f>$M$12*$N$7</f>
        <v>39035.4</v>
      </c>
      <c r="K14" s="88">
        <f>($F$7/360)*($O$2/100)*M13</f>
        <v>23437.397506444442</v>
      </c>
      <c r="L14" s="90">
        <f>J14-K14</f>
        <v>15598.002493555559</v>
      </c>
      <c r="M14" s="79">
        <f>M13-L14</f>
        <v>969166.59861755557</v>
      </c>
      <c r="N14" s="126">
        <f>L14/M13</f>
        <v>1.583932086506391E-2</v>
      </c>
      <c r="O14" s="52"/>
      <c r="P14" s="80">
        <f>I14</f>
        <v>38961</v>
      </c>
      <c r="Q14" s="97">
        <f ca="1">S13*N14</f>
        <v>15507.524806363801</v>
      </c>
      <c r="R14" s="98">
        <f ca="1">S13*$C$2/2</f>
        <v>24476.309525000004</v>
      </c>
      <c r="S14" s="99">
        <f ca="1">IF(P14&lt;$A$4,(VLOOKUP(P14,$A$11:$B$52,2,0)*$S$12),(S13-(Q14+R14)))</f>
        <v>950186.64799999993</v>
      </c>
      <c r="U14" s="80">
        <f>P14</f>
        <v>38961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41883</v>
      </c>
      <c r="B15" s="50">
        <v>0.28697489199999998</v>
      </c>
      <c r="C15" s="52"/>
      <c r="D15" s="70" t="str">
        <f ca="1">IF(E15&lt;$A$4,"Actual","Model Num")</f>
        <v>Actual</v>
      </c>
      <c r="E15" s="71">
        <f>DATE(YEAR(E14),MONTH(E14)+6,DAY(E14))</f>
        <v>39142</v>
      </c>
      <c r="F15" s="74">
        <f>MAX(IF(ISERROR(VLOOKUP(E15,$A$12:$B$52,2,0)),VLOOKUP(E15,$P$11:$S$52,4,0)/1000000,(VLOOKUP(E15,$A$12:$B$52,2,0))),0)</f>
        <v>0.89901358499999995</v>
      </c>
      <c r="G15" s="128">
        <f>F15*1000000</f>
        <v>899013.58499999996</v>
      </c>
      <c r="H15" s="64"/>
      <c r="I15" s="80">
        <f>E15</f>
        <v>39142</v>
      </c>
      <c r="J15" s="210">
        <f>$M$12*$N$7</f>
        <v>39035.4</v>
      </c>
      <c r="K15" s="88">
        <f>($F$7/360)*($O$2/100)*M14</f>
        <v>23066.16504709782</v>
      </c>
      <c r="L15" s="90">
        <f>J15-K15</f>
        <v>15969.234952902181</v>
      </c>
      <c r="M15" s="79">
        <f>M14-L15</f>
        <v>953197.36366465339</v>
      </c>
      <c r="N15" s="126">
        <f>L15/M14</f>
        <v>1.6477285717111087E-2</v>
      </c>
      <c r="O15" s="52"/>
      <c r="P15" s="80">
        <f>I15</f>
        <v>39142</v>
      </c>
      <c r="Q15" s="97">
        <f ca="1">S14*N15</f>
        <v>15656.496883680058</v>
      </c>
      <c r="R15" s="98">
        <f ca="1">S14*$C$2/2</f>
        <v>23754.6662</v>
      </c>
      <c r="S15" s="99">
        <f ca="1">IF(P15&lt;$A$4,(VLOOKUP(P15,$A$11:$B$52,2,0)*$S$12),(S14-(Q15+R15)))</f>
        <v>899013.58499999996</v>
      </c>
      <c r="U15" s="80">
        <f>P15</f>
        <v>39142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41699</v>
      </c>
      <c r="B16" s="50">
        <v>0.32634911900000002</v>
      </c>
      <c r="C16" s="52"/>
      <c r="D16" s="70" t="str">
        <f ca="1">IF(E16&lt;$A$4,"Actual","Model Num")</f>
        <v>Actual</v>
      </c>
      <c r="E16" s="71">
        <f>DATE(YEAR(E15),MONTH(E15)+6,DAY(E15))</f>
        <v>39326</v>
      </c>
      <c r="F16" s="74">
        <f>MAX(IF(ISERROR(VLOOKUP(E16,$A$12:$B$52,2,0)),VLOOKUP(E16,$P$11:$S$52,4,0)/1000000,(VLOOKUP(E16,$A$12:$B$52,2,0))),0)</f>
        <v>0.86797376800000003</v>
      </c>
      <c r="G16" s="128">
        <f>F16*1000000</f>
        <v>867973.76800000004</v>
      </c>
      <c r="H16" s="64"/>
      <c r="I16" s="80">
        <f>E16</f>
        <v>39326</v>
      </c>
      <c r="J16" s="210">
        <f>$M$12*$N$7</f>
        <v>39035.4</v>
      </c>
      <c r="K16" s="88">
        <f>($F$7/360)*($O$2/100)*M15</f>
        <v>22686.097255218749</v>
      </c>
      <c r="L16" s="90">
        <f>J16-K16</f>
        <v>16349.302744781253</v>
      </c>
      <c r="M16" s="79">
        <f>M15-L16</f>
        <v>936848.06091987214</v>
      </c>
      <c r="N16" s="126">
        <f>L16/M15</f>
        <v>1.7152064586000198E-2</v>
      </c>
      <c r="O16" s="52"/>
      <c r="P16" s="80">
        <f>I16</f>
        <v>39326</v>
      </c>
      <c r="Q16" s="97">
        <f ca="1">S15*N16</f>
        <v>15419.939073611578</v>
      </c>
      <c r="R16" s="98">
        <f ca="1">S15*$C$2/2</f>
        <v>22475.339625000001</v>
      </c>
      <c r="S16" s="99">
        <f ca="1">IF(P16&lt;$A$4,(VLOOKUP(P16,$A$11:$B$52,2,0)*$S$12),(S15-(Q16+R16)))</f>
        <v>867973.76800000004</v>
      </c>
      <c r="U16" s="80">
        <f>P16</f>
        <v>39326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41518</v>
      </c>
      <c r="B17" s="50">
        <v>0.35812223199999998</v>
      </c>
      <c r="C17" s="52"/>
      <c r="D17" s="70" t="str">
        <f ca="1">IF(E17&lt;$A$4,"Actual","Model Num")</f>
        <v>Actual</v>
      </c>
      <c r="E17" s="71">
        <f>DATE(YEAR(E16),MONTH(E16)+6,DAY(E16))</f>
        <v>39508</v>
      </c>
      <c r="F17" s="74">
        <f>MAX(IF(ISERROR(VLOOKUP(E17,$A$12:$B$52,2,0)),VLOOKUP(E17,$P$11:$S$52,4,0)/1000000,(VLOOKUP(E17,$A$12:$B$52,2,0))),0)</f>
        <v>0.81394397799999996</v>
      </c>
      <c r="G17" s="128">
        <f>F17*1000000</f>
        <v>813943.978</v>
      </c>
      <c r="H17" s="64"/>
      <c r="I17" s="80">
        <f>E17</f>
        <v>39508</v>
      </c>
      <c r="J17" s="210">
        <f>$M$12*$N$7</f>
        <v>39035.4</v>
      </c>
      <c r="K17" s="88">
        <f>($F$7/360)*($O$2/100)*M16</f>
        <v>22296.983849892957</v>
      </c>
      <c r="L17" s="90">
        <f>J17-K17</f>
        <v>16738.416150107045</v>
      </c>
      <c r="M17" s="79">
        <f>M16-L17</f>
        <v>920109.64476976509</v>
      </c>
      <c r="N17" s="126">
        <f>L17/M16</f>
        <v>1.786673511782896E-2</v>
      </c>
      <c r="O17" s="52"/>
      <c r="P17" s="80">
        <f>I17</f>
        <v>39508</v>
      </c>
      <c r="Q17" s="97">
        <f ca="1">S16*N17</f>
        <v>15507.857402079928</v>
      </c>
      <c r="R17" s="98">
        <f ca="1">S16*$C$2/2</f>
        <v>21699.344200000003</v>
      </c>
      <c r="S17" s="99">
        <f ca="1">IF(P17&lt;$A$4,(VLOOKUP(P17,$A$11:$B$52,2,0)*$S$12),(S16-(Q17+R17)))</f>
        <v>813943.978</v>
      </c>
      <c r="U17" s="80">
        <f>P17</f>
        <v>39508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41334</v>
      </c>
      <c r="B18" s="50">
        <v>0.392151272</v>
      </c>
      <c r="C18" s="52"/>
      <c r="D18" s="70" t="str">
        <f ca="1">IF(E18&lt;$A$4,"Actual","Model Num")</f>
        <v>Actual</v>
      </c>
      <c r="E18" s="71">
        <f>DATE(YEAR(E17),MONTH(E17)+6,DAY(E17))</f>
        <v>39692</v>
      </c>
      <c r="F18" s="74">
        <f>MAX(IF(ISERROR(VLOOKUP(E18,$A$12:$B$52,2,0)),VLOOKUP(E18,$P$11:$S$52,4,0)/1000000,(VLOOKUP(E18,$A$12:$B$52,2,0))),0)</f>
        <v>0.76169769300000001</v>
      </c>
      <c r="G18" s="128">
        <f>F18*1000000</f>
        <v>761697.69299999997</v>
      </c>
      <c r="H18" s="64"/>
      <c r="I18" s="80">
        <f>E18</f>
        <v>39692</v>
      </c>
      <c r="J18" s="210">
        <f>$M$12*$N$7</f>
        <v>39035.4</v>
      </c>
      <c r="K18" s="88">
        <f>($F$7/360)*($O$2/100)*M17</f>
        <v>21898.609545520409</v>
      </c>
      <c r="L18" s="90">
        <f>J18-K18</f>
        <v>17136.790454479593</v>
      </c>
      <c r="M18" s="79">
        <f>M17-L18</f>
        <v>902972.85431528545</v>
      </c>
      <c r="N18" s="126">
        <f>L18/M17</f>
        <v>1.8624726468080503E-2</v>
      </c>
      <c r="O18" s="52"/>
      <c r="P18" s="80">
        <f>I18</f>
        <v>39692</v>
      </c>
      <c r="Q18" s="97">
        <f ca="1">S17*N18</f>
        <v>15159.483950591335</v>
      </c>
      <c r="R18" s="98">
        <f ca="1">S17*$C$2/2</f>
        <v>20348.599450000002</v>
      </c>
      <c r="S18" s="99">
        <f ca="1">IF(P18&lt;$A$4,(VLOOKUP(P18,$A$11:$B$52,2,0)*$S$12),(S17-(Q18+R18)))</f>
        <v>761697.69299999997</v>
      </c>
      <c r="U18" s="80">
        <f>P18</f>
        <v>39692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41153</v>
      </c>
      <c r="B19" s="50">
        <v>0.44272335299999999</v>
      </c>
      <c r="C19" s="52"/>
      <c r="D19" s="70" t="str">
        <f ca="1">IF(E19&lt;$A$4,"Actual","Model Num")</f>
        <v>Actual</v>
      </c>
      <c r="E19" s="71">
        <f>DATE(YEAR(E18),MONTH(E18)+6,DAY(E18))</f>
        <v>39873</v>
      </c>
      <c r="F19" s="74">
        <f>MAX(IF(ISERROR(VLOOKUP(E19,$A$12:$B$52,2,0)),VLOOKUP(E19,$P$11:$S$52,4,0)/1000000,(VLOOKUP(E19,$A$12:$B$52,2,0))),0)</f>
        <v>0.71808443899999996</v>
      </c>
      <c r="G19" s="128">
        <f>F19*1000000</f>
        <v>718084.43900000001</v>
      </c>
      <c r="H19" s="64"/>
      <c r="I19" s="80">
        <f>E19</f>
        <v>39873</v>
      </c>
      <c r="J19" s="210">
        <f>$M$12*$N$7</f>
        <v>39035.4</v>
      </c>
      <c r="K19" s="88">
        <f>($F$7/360)*($O$2/100)*M18</f>
        <v>21490.753932703792</v>
      </c>
      <c r="L19" s="90">
        <f>J19-K19</f>
        <v>17544.646067296209</v>
      </c>
      <c r="M19" s="79">
        <f>M18-L19</f>
        <v>885428.2082479893</v>
      </c>
      <c r="N19" s="126">
        <f>L19/M18</f>
        <v>1.9429870990529528E-2</v>
      </c>
      <c r="O19" s="52"/>
      <c r="P19" s="80">
        <f>I19</f>
        <v>39873</v>
      </c>
      <c r="Q19" s="97">
        <f ca="1">S18*N19</f>
        <v>14799.687908773965</v>
      </c>
      <c r="R19" s="98">
        <f ca="1">S18*$C$2/2</f>
        <v>19042.442325</v>
      </c>
      <c r="S19" s="99">
        <f ca="1">IF(P19&lt;$A$4,(VLOOKUP(P19,$A$11:$B$52,2,0)*$S$12),(S18-(Q19+R19)))</f>
        <v>718084.43900000001</v>
      </c>
      <c r="U19" s="80">
        <f>P19</f>
        <v>39873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40969</v>
      </c>
      <c r="B20" s="50">
        <v>0.47757213599999998</v>
      </c>
      <c r="C20" s="52"/>
      <c r="D20" s="70" t="str">
        <f ca="1">IF(E20&lt;$A$4,"Actual","Model Num")</f>
        <v>Actual</v>
      </c>
      <c r="E20" s="71">
        <f>DATE(YEAR(E19),MONTH(E19)+6,DAY(E19))</f>
        <v>40057</v>
      </c>
      <c r="F20" s="74">
        <f>MAX(IF(ISERROR(VLOOKUP(E20,$A$12:$B$52,2,0)),VLOOKUP(E20,$P$11:$S$52,4,0)/1000000,(VLOOKUP(E20,$A$12:$B$52,2,0))),0)</f>
        <v>0.66748618199999998</v>
      </c>
      <c r="G20" s="128">
        <f>F20*1000000</f>
        <v>667486.18200000003</v>
      </c>
      <c r="H20" s="64"/>
      <c r="I20" s="80">
        <f>E20</f>
        <v>40057</v>
      </c>
      <c r="J20" s="210">
        <f>$M$12*$N$7</f>
        <v>39035.4</v>
      </c>
      <c r="K20" s="88">
        <f>($F$7/360)*($O$2/100)*M19</f>
        <v>21073.191356302144</v>
      </c>
      <c r="L20" s="90">
        <f>J20-K20</f>
        <v>17962.208643697857</v>
      </c>
      <c r="M20" s="79">
        <f>M19-L20</f>
        <v>867465.9996042914</v>
      </c>
      <c r="N20" s="126">
        <f>L20/M19</f>
        <v>2.0286465324207324E-2</v>
      </c>
      <c r="O20" s="52"/>
      <c r="P20" s="80">
        <f>I20</f>
        <v>40057</v>
      </c>
      <c r="Q20" s="97">
        <f ca="1">S19*N20</f>
        <v>14567.39507162637</v>
      </c>
      <c r="R20" s="98">
        <f ca="1">S19*$C$2/2</f>
        <v>17952.110975</v>
      </c>
      <c r="S20" s="99">
        <f ca="1">IF(P20&lt;$A$4,(VLOOKUP(P20,$A$11:$B$52,2,0)*$S$12),(S19-(Q20+R20)))</f>
        <v>667486.18200000003</v>
      </c>
      <c r="U20" s="80">
        <f>P20</f>
        <v>40057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40787</v>
      </c>
      <c r="B21" s="50">
        <v>0.52181480499999999</v>
      </c>
      <c r="C21" s="52"/>
      <c r="D21" s="70" t="str">
        <f ca="1">IF(E21&lt;$A$4,"Actual","Model Num")</f>
        <v>Actual</v>
      </c>
      <c r="E21" s="71">
        <f>DATE(YEAR(E20),MONTH(E20)+6,DAY(E20))</f>
        <v>40238</v>
      </c>
      <c r="F21" s="74">
        <f>MAX(IF(ISERROR(VLOOKUP(E21,$A$12:$B$52,2,0)),VLOOKUP(E21,$P$11:$S$52,4,0)/1000000,(VLOOKUP(E21,$A$12:$B$52,2,0))),0)</f>
        <v>0.62346254800000001</v>
      </c>
      <c r="G21" s="128">
        <f>F21*1000000</f>
        <v>623462.54799999995</v>
      </c>
      <c r="H21" s="64"/>
      <c r="I21" s="80">
        <f>E21</f>
        <v>40238</v>
      </c>
      <c r="J21" s="210">
        <f>$M$12*$N$7</f>
        <v>39035.4</v>
      </c>
      <c r="K21" s="88">
        <f>($F$7/360)*($O$2/100)*M20</f>
        <v>20645.690790582135</v>
      </c>
      <c r="L21" s="90">
        <f>J21-K21</f>
        <v>18389.709209417866</v>
      </c>
      <c r="M21" s="79">
        <f>M20-L21</f>
        <v>849076.29039487359</v>
      </c>
      <c r="N21" s="126">
        <f>L21/M20</f>
        <v>2.1199342934255207E-2</v>
      </c>
      <c r="O21" s="52"/>
      <c r="P21" s="80">
        <f>I21</f>
        <v>40238</v>
      </c>
      <c r="Q21" s="97">
        <f ca="1">S20*N21</f>
        <v>14150.268476094687</v>
      </c>
      <c r="R21" s="98">
        <f ca="1">S20*$C$2/2</f>
        <v>16687.154550000003</v>
      </c>
      <c r="S21" s="99">
        <f ca="1">IF(P21&lt;$A$4,(VLOOKUP(P21,$A$11:$B$52,2,0)*$S$12),(S20-(Q21+R21)))</f>
        <v>623462.54799999995</v>
      </c>
      <c r="U21" s="80">
        <f>P21</f>
        <v>40238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40603</v>
      </c>
      <c r="B22" s="50">
        <v>0.55008052699999999</v>
      </c>
      <c r="C22" s="52"/>
      <c r="D22" s="70" t="str">
        <f ca="1">IF(E22&lt;$A$4,"Actual","Model Num")</f>
        <v>Actual</v>
      </c>
      <c r="E22" s="71">
        <f>DATE(YEAR(E21),MONTH(E21)+6,DAY(E21))</f>
        <v>40422</v>
      </c>
      <c r="F22" s="74">
        <f>MAX(IF(ISERROR(VLOOKUP(E22,$A$12:$B$52,2,0)),VLOOKUP(E22,$P$11:$S$52,4,0)/1000000,(VLOOKUP(E22,$A$12:$B$52,2,0))),0)</f>
        <v>0.59086225000000003</v>
      </c>
      <c r="G22" s="128">
        <f>F22*1000000</f>
        <v>590862.25</v>
      </c>
      <c r="H22" s="64"/>
      <c r="I22" s="80">
        <f>E22</f>
        <v>40422</v>
      </c>
      <c r="J22" s="210">
        <f>$M$12*$N$7</f>
        <v>39035.4</v>
      </c>
      <c r="K22" s="88">
        <f>($F$7/360)*($O$2/100)*M21</f>
        <v>20208.015711397991</v>
      </c>
      <c r="L22" s="90">
        <f>J22-K22</f>
        <v>18827.38428860201</v>
      </c>
      <c r="M22" s="79">
        <f>M21-L22</f>
        <v>830248.90610627155</v>
      </c>
      <c r="N22" s="126">
        <f>L22/M21</f>
        <v>2.2173960693032777E-2</v>
      </c>
      <c r="O22" s="52"/>
      <c r="P22" s="80">
        <f>I22</f>
        <v>40422</v>
      </c>
      <c r="Q22" s="97">
        <f ca="1">S21*N22</f>
        <v>13824.63403293006</v>
      </c>
      <c r="R22" s="98">
        <f ca="1">S21*$C$2/2</f>
        <v>15586.563699999999</v>
      </c>
      <c r="S22" s="99">
        <f ca="1">IF(P22&lt;$A$4,(VLOOKUP(P22,$A$11:$B$52,2,0)*$S$12),(S21-(Q22+R22)))</f>
        <v>590862.25</v>
      </c>
      <c r="U22" s="80">
        <f>P22</f>
        <v>40422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40422</v>
      </c>
      <c r="B23" s="50">
        <v>0.59086225000000003</v>
      </c>
      <c r="C23" s="52"/>
      <c r="D23" s="70" t="str">
        <f ca="1">IF(E23&lt;$A$4,"Actual","Model Num")</f>
        <v>Actual</v>
      </c>
      <c r="E23" s="71">
        <f>DATE(YEAR(E22),MONTH(E22)+6,DAY(E22))</f>
        <v>40603</v>
      </c>
      <c r="F23" s="74">
        <f>MAX(IF(ISERROR(VLOOKUP(E23,$A$12:$B$52,2,0)),VLOOKUP(E23,$P$11:$S$52,4,0)/1000000,(VLOOKUP(E23,$A$12:$B$52,2,0))),0)</f>
        <v>0.55008052699999999</v>
      </c>
      <c r="G23" s="128">
        <f>F23*1000000</f>
        <v>550080.527</v>
      </c>
      <c r="H23" s="64"/>
      <c r="I23" s="80">
        <f>E23</f>
        <v>40603</v>
      </c>
      <c r="J23" s="210">
        <f>$M$12*$N$7</f>
        <v>39035.4</v>
      </c>
      <c r="K23" s="88">
        <f>($F$7/360)*($O$2/100)*M22</f>
        <v>19759.923965329261</v>
      </c>
      <c r="L23" s="90">
        <f>J23-K23</f>
        <v>19275.476034670741</v>
      </c>
      <c r="M23" s="79">
        <f>M22-L23</f>
        <v>810973.43007160083</v>
      </c>
      <c r="N23" s="126">
        <f>L23/M22</f>
        <v>2.3216502777545951E-2</v>
      </c>
      <c r="O23" s="52"/>
      <c r="P23" s="80">
        <f>I23</f>
        <v>40603</v>
      </c>
      <c r="Q23" s="97">
        <f ca="1">S22*N23</f>
        <v>13717.75506827205</v>
      </c>
      <c r="R23" s="98">
        <f ca="1">S22*$C$2/2</f>
        <v>14771.556250000001</v>
      </c>
      <c r="S23" s="99">
        <f ca="1">IF(P23&lt;$A$4,(VLOOKUP(P23,$A$11:$B$52,2,0)*$S$12),(S22-(Q23+R23)))</f>
        <v>550080.527</v>
      </c>
      <c r="U23" s="80">
        <f>P23</f>
        <v>40603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40238</v>
      </c>
      <c r="B24" s="50">
        <v>0.62346254800000001</v>
      </c>
      <c r="C24" s="52"/>
      <c r="D24" s="70" t="str">
        <f ca="1">IF(E24&lt;$A$4,"Actual","Model Num")</f>
        <v>Actual</v>
      </c>
      <c r="E24" s="71">
        <f>DATE(YEAR(E23),MONTH(E23)+6,DAY(E23))</f>
        <v>40787</v>
      </c>
      <c r="F24" s="74">
        <f>MAX(IF(ISERROR(VLOOKUP(E24,$A$12:$B$52,2,0)),VLOOKUP(E24,$P$11:$S$52,4,0)/1000000,(VLOOKUP(E24,$A$12:$B$52,2,0))),0)</f>
        <v>0.52181480499999999</v>
      </c>
      <c r="G24" s="128">
        <f>F24*1000000</f>
        <v>521814.80499999999</v>
      </c>
      <c r="H24" s="64"/>
      <c r="I24" s="80">
        <f>E24</f>
        <v>40787</v>
      </c>
      <c r="J24" s="210">
        <f>$M$12*$N$7</f>
        <v>39035.4</v>
      </c>
      <c r="K24" s="88">
        <f>($F$7/360)*($O$2/100)*M23</f>
        <v>19301.1676357041</v>
      </c>
      <c r="L24" s="90">
        <f>J24-K24</f>
        <v>19734.232364295902</v>
      </c>
      <c r="M24" s="79">
        <f>M23-L24</f>
        <v>791239.19770730496</v>
      </c>
      <c r="N24" s="126">
        <f>L24/M23</f>
        <v>2.4334006063002046E-2</v>
      </c>
      <c r="O24" s="52"/>
      <c r="P24" s="80">
        <f>I24</f>
        <v>40787</v>
      </c>
      <c r="Q24" s="97">
        <f ca="1">S23*N24</f>
        <v>13385.66287915736</v>
      </c>
      <c r="R24" s="98">
        <f ca="1">S23*$C$2/2</f>
        <v>13752.013175</v>
      </c>
      <c r="S24" s="99">
        <f ca="1">IF(P24&lt;$A$4,(VLOOKUP(P24,$A$11:$B$52,2,0)*$S$12),(S23-(Q24+R24)))</f>
        <v>521814.80499999999</v>
      </c>
      <c r="U24" s="80">
        <f>P24</f>
        <v>40787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40057</v>
      </c>
      <c r="B25" s="50">
        <v>0.66748618199999998</v>
      </c>
      <c r="C25" s="52"/>
      <c r="D25" s="70" t="str">
        <f ca="1">IF(E25&lt;$A$4,"Actual","Model Num")</f>
        <v>Actual</v>
      </c>
      <c r="E25" s="71">
        <f>DATE(YEAR(E24),MONTH(E24)+6,DAY(E24))</f>
        <v>40969</v>
      </c>
      <c r="F25" s="74">
        <f>MAX(IF(ISERROR(VLOOKUP(E25,$A$12:$B$52,2,0)),VLOOKUP(E25,$P$11:$S$52,4,0)/1000000,(VLOOKUP(E25,$A$12:$B$52,2,0))),0)</f>
        <v>0.47757213599999998</v>
      </c>
      <c r="G25" s="128">
        <f>F25*1000000</f>
        <v>477572.136</v>
      </c>
      <c r="H25" s="64"/>
      <c r="I25" s="80">
        <f>E25</f>
        <v>40969</v>
      </c>
      <c r="J25" s="210">
        <f>$M$12*$N$7</f>
        <v>39035.4</v>
      </c>
      <c r="K25" s="88">
        <f>($F$7/360)*($O$2/100)*M24</f>
        <v>18831.492905433857</v>
      </c>
      <c r="L25" s="90">
        <f>J25-K25</f>
        <v>20203.907094566144</v>
      </c>
      <c r="M25" s="79">
        <f>M24-L25</f>
        <v>771035.29061273881</v>
      </c>
      <c r="N25" s="126">
        <f>L25/M24</f>
        <v>2.5534512386531146E-2</v>
      </c>
      <c r="O25" s="52"/>
      <c r="P25" s="80">
        <f>I25</f>
        <v>40969</v>
      </c>
      <c r="Q25" s="97">
        <f ca="1">S24*N25</f>
        <v>13324.286601747834</v>
      </c>
      <c r="R25" s="98">
        <f ca="1">S24*$C$2/2</f>
        <v>13045.370125000001</v>
      </c>
      <c r="S25" s="99">
        <f ca="1">IF(P25&lt;$A$4,(VLOOKUP(P25,$A$11:$B$52,2,0)*$S$12),(S24-(Q25+R25)))</f>
        <v>477572.136</v>
      </c>
      <c r="U25" s="80">
        <f>P25</f>
        <v>40969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39873</v>
      </c>
      <c r="B26" s="50">
        <v>0.71808443899999996</v>
      </c>
      <c r="C26" s="52"/>
      <c r="D26" s="70" t="str">
        <f ca="1">IF(E26&lt;$A$4,"Actual","Model Num")</f>
        <v>Actual</v>
      </c>
      <c r="E26" s="71">
        <f>DATE(YEAR(E25),MONTH(E25)+6,DAY(E25))</f>
        <v>41153</v>
      </c>
      <c r="F26" s="74">
        <f>MAX(IF(ISERROR(VLOOKUP(E26,$A$12:$B$52,2,0)),VLOOKUP(E26,$P$11:$S$52,4,0)/1000000,(VLOOKUP(E26,$A$12:$B$52,2,0))),0)</f>
        <v>0.44272335299999999</v>
      </c>
      <c r="G26" s="128">
        <f>F26*1000000</f>
        <v>442723.353</v>
      </c>
      <c r="H26" s="64"/>
      <c r="I26" s="80">
        <f>E26</f>
        <v>41153</v>
      </c>
      <c r="J26" s="210">
        <f>$M$12*$N$7</f>
        <v>39035.4</v>
      </c>
      <c r="K26" s="88">
        <f>($F$7/360)*($O$2/100)*M25</f>
        <v>18350.639916583183</v>
      </c>
      <c r="L26" s="90">
        <f>J26-K26</f>
        <v>20684.760083416819</v>
      </c>
      <c r="M26" s="79">
        <f>M25-L26</f>
        <v>750350.53052932199</v>
      </c>
      <c r="N26" s="126">
        <f>L26/M25</f>
        <v>2.6827254647421805E-2</v>
      </c>
      <c r="O26" s="52"/>
      <c r="P26" s="80">
        <f>I26</f>
        <v>41153</v>
      </c>
      <c r="Q26" s="97">
        <f ca="1">S25*N26</f>
        <v>12811.949304985159</v>
      </c>
      <c r="R26" s="98">
        <f ca="1">S25*$C$2/2</f>
        <v>11939.303400000001</v>
      </c>
      <c r="S26" s="99">
        <f ca="1">IF(P26&lt;$A$4,(VLOOKUP(P26,$A$11:$B$52,2,0)*$S$12),(S25-(Q26+R26)))</f>
        <v>442723.353</v>
      </c>
      <c r="U26" s="80">
        <f>P26</f>
        <v>41153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39692</v>
      </c>
      <c r="B27" s="50">
        <v>0.76169769300000001</v>
      </c>
      <c r="C27" s="52"/>
      <c r="D27" s="70" t="str">
        <f ca="1">IF(E27&lt;$A$4,"Actual","Model Num")</f>
        <v>Actual</v>
      </c>
      <c r="E27" s="71">
        <f>DATE(YEAR(E26),MONTH(E26)+6,DAY(E26))</f>
        <v>41334</v>
      </c>
      <c r="F27" s="74">
        <f>MAX(IF(ISERROR(VLOOKUP(E27,$A$12:$B$52,2,0)),VLOOKUP(E27,$P$11:$S$52,4,0)/1000000,(VLOOKUP(E27,$A$12:$B$52,2,0))),0)</f>
        <v>0.392151272</v>
      </c>
      <c r="G27" s="128">
        <f>F27*1000000</f>
        <v>392151.272</v>
      </c>
      <c r="H27" s="64"/>
      <c r="I27" s="80">
        <f>E27</f>
        <v>41334</v>
      </c>
      <c r="J27" s="210">
        <f>$M$12*$N$7</f>
        <v>39035.4</v>
      </c>
      <c r="K27" s="88">
        <f>($F$7/360)*($O$2/100)*M26</f>
        <v>17858.342626597863</v>
      </c>
      <c r="L27" s="90">
        <f>J27-K27</f>
        <v>21177.057373402138</v>
      </c>
      <c r="M27" s="79">
        <f>M26-L27</f>
        <v>729173.47315591981</v>
      </c>
      <c r="N27" s="126">
        <f>L27/M26</f>
        <v>2.8222885853713124E-2</v>
      </c>
      <c r="O27" s="52"/>
      <c r="P27" s="80">
        <f>I27</f>
        <v>41334</v>
      </c>
      <c r="Q27" s="97">
        <f ca="1">S26*N27</f>
        <v>12494.930656492143</v>
      </c>
      <c r="R27" s="98">
        <f ca="1">S26*$C$2/2</f>
        <v>11068.083825000002</v>
      </c>
      <c r="S27" s="99">
        <f ca="1">IF(P27&lt;$A$4,(VLOOKUP(P27,$A$11:$B$52,2,0)*$S$12),(S26-(Q27+R27)))</f>
        <v>392151.272</v>
      </c>
      <c r="U27" s="80">
        <f>P27</f>
        <v>41334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39508</v>
      </c>
      <c r="B28" s="50">
        <v>0.81394397799999996</v>
      </c>
      <c r="C28" s="52"/>
      <c r="D28" s="70" t="str">
        <f ca="1">IF(E28&lt;$A$4,"Actual","Model Num")</f>
        <v>Actual</v>
      </c>
      <c r="E28" s="71">
        <f>DATE(YEAR(E27),MONTH(E27)+6,DAY(E27))</f>
        <v>41518</v>
      </c>
      <c r="F28" s="74">
        <f>MAX(IF(ISERROR(VLOOKUP(E28,$A$12:$B$52,2,0)),VLOOKUP(E28,$P$11:$S$52,4,0)/1000000,(VLOOKUP(E28,$A$12:$B$52,2,0))),0)</f>
        <v>0.35812223199999998</v>
      </c>
      <c r="G28" s="128">
        <f>F28*1000000</f>
        <v>358122.23199999996</v>
      </c>
      <c r="H28" s="64"/>
      <c r="I28" s="80">
        <f>E28</f>
        <v>41518</v>
      </c>
      <c r="J28" s="210">
        <f>$M$12*$N$7</f>
        <v>39035.4</v>
      </c>
      <c r="K28" s="88">
        <f>($F$7/360)*($O$2/100)*M27</f>
        <v>17354.328661110889</v>
      </c>
      <c r="L28" s="90">
        <f>J28-K28</f>
        <v>21681.071338889113</v>
      </c>
      <c r="M28" s="79">
        <f>M27-L28</f>
        <v>707492.40181703074</v>
      </c>
      <c r="N28" s="126">
        <f>L28/M27</f>
        <v>2.973376314013693E-2</v>
      </c>
      <c r="O28" s="52"/>
      <c r="P28" s="80">
        <f>I28</f>
        <v>41518</v>
      </c>
      <c r="Q28" s="97">
        <f ca="1">S27*N28</f>
        <v>11660.133036751411</v>
      </c>
      <c r="R28" s="98">
        <f ca="1">S27*$C$2/2</f>
        <v>9803.7818000000007</v>
      </c>
      <c r="S28" s="99">
        <f ca="1">IF(P28&lt;$A$4,(VLOOKUP(P28,$A$11:$B$52,2,0)*$S$12),(S27-(Q28+R28)))</f>
        <v>358122.23199999996</v>
      </c>
      <c r="U28" s="80">
        <f>P28</f>
        <v>41518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39326</v>
      </c>
      <c r="B29" s="50">
        <v>0.86797376800000003</v>
      </c>
      <c r="C29" s="52"/>
      <c r="D29" s="70" t="str">
        <f ca="1">IF(E29&lt;$A$4,"Actual","Model Num")</f>
        <v>Actual</v>
      </c>
      <c r="E29" s="71">
        <f>DATE(YEAR(E28),MONTH(E28)+6,DAY(E28))</f>
        <v>41699</v>
      </c>
      <c r="F29" s="74">
        <f>MAX(IF(ISERROR(VLOOKUP(E29,$A$12:$B$52,2,0)),VLOOKUP(E29,$P$11:$S$52,4,0)/1000000,(VLOOKUP(E29,$A$12:$B$52,2,0))),0)</f>
        <v>0.32634911900000002</v>
      </c>
      <c r="G29" s="128">
        <f>F29*1000000</f>
        <v>326349.11900000001</v>
      </c>
      <c r="H29" s="64"/>
      <c r="I29" s="80">
        <f>E29</f>
        <v>41699</v>
      </c>
      <c r="J29" s="210">
        <f>$M$12*$N$7</f>
        <v>39035.4</v>
      </c>
      <c r="K29" s="88">
        <f>($F$7/360)*($O$2/100)*M28</f>
        <v>16838.319163245331</v>
      </c>
      <c r="L29" s="90">
        <f>J29-K29</f>
        <v>22197.080836754671</v>
      </c>
      <c r="M29" s="79">
        <f>M28-L29</f>
        <v>685295.3209802761</v>
      </c>
      <c r="N29" s="126">
        <f>L29/M28</f>
        <v>3.1374302790738953E-2</v>
      </c>
      <c r="O29" s="52"/>
      <c r="P29" s="80">
        <f>I29</f>
        <v>41699</v>
      </c>
      <c r="Q29" s="97">
        <f ca="1">S28*N29</f>
        <v>11235.835342863262</v>
      </c>
      <c r="R29" s="98">
        <f ca="1">S28*$C$2/2</f>
        <v>8953.0558000000001</v>
      </c>
      <c r="S29" s="99">
        <f ca="1">IF(P29&lt;$A$4,(VLOOKUP(P29,$A$11:$B$52,2,0)*$S$12),(S28-(Q29+R29)))</f>
        <v>326349.11900000001</v>
      </c>
      <c r="U29" s="80">
        <f>P29</f>
        <v>41699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39142</v>
      </c>
      <c r="B30" s="50">
        <v>0.89901358499999995</v>
      </c>
      <c r="C30" s="52"/>
      <c r="D30" s="70" t="str">
        <f ca="1">IF(E30&lt;$A$4,"Actual","Model Num")</f>
        <v>Actual</v>
      </c>
      <c r="E30" s="71">
        <f>DATE(YEAR(E29),MONTH(E29)+6,DAY(E29))</f>
        <v>41883</v>
      </c>
      <c r="F30" s="74">
        <f>MAX(IF(ISERROR(VLOOKUP(E30,$A$12:$B$52,2,0)),VLOOKUP(E30,$P$11:$S$52,4,0)/1000000,(VLOOKUP(E30,$A$12:$B$52,2,0))),0)</f>
        <v>0.28697489199999998</v>
      </c>
      <c r="G30" s="128">
        <f>F30*1000000</f>
        <v>286974.89199999999</v>
      </c>
      <c r="H30" s="64"/>
      <c r="I30" s="80">
        <f>E30</f>
        <v>41883</v>
      </c>
      <c r="J30" s="210">
        <f>$M$12*$N$7</f>
        <v>39035.4</v>
      </c>
      <c r="K30" s="88">
        <f>($F$7/360)*($O$2/100)*M29</f>
        <v>16310.028639330571</v>
      </c>
      <c r="L30" s="90">
        <f>J30-K30</f>
        <v>22725.371360669429</v>
      </c>
      <c r="M30" s="79">
        <f>M29-L30</f>
        <v>662569.94961960672</v>
      </c>
      <c r="N30" s="126">
        <f>L30/M29</f>
        <v>3.3161427876323563E-2</v>
      </c>
      <c r="O30" s="52"/>
      <c r="P30" s="80">
        <f>I30</f>
        <v>41883</v>
      </c>
      <c r="Q30" s="97">
        <f ca="1">S29*N30</f>
        <v>10822.202772220237</v>
      </c>
      <c r="R30" s="98">
        <f ca="1">S29*$C$2/2</f>
        <v>8158.7279750000007</v>
      </c>
      <c r="S30" s="99">
        <f ca="1">IF(P30&lt;$A$4,(VLOOKUP(P30,$A$11:$B$52,2,0)*$S$12),(S29-(Q30+R30)))</f>
        <v>286974.89199999999</v>
      </c>
      <c r="U30" s="80">
        <f>P30</f>
        <v>41883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38961</v>
      </c>
      <c r="B31" s="50">
        <v>0.95018664799999997</v>
      </c>
      <c r="C31" s="52"/>
      <c r="D31" s="70" t="str">
        <f ca="1">IF(E31&lt;$A$4,"Actual","Model Num")</f>
        <v>Actual</v>
      </c>
      <c r="E31" s="71">
        <f>DATE(YEAR(E30),MONTH(E30)+6,DAY(E30))</f>
        <v>42064</v>
      </c>
      <c r="F31" s="74">
        <f>MAX(IF(ISERROR(VLOOKUP(E31,$A$12:$B$52,2,0)),VLOOKUP(E31,$P$11:$S$52,4,0)/1000000,(VLOOKUP(E31,$A$12:$B$52,2,0))),0)</f>
        <v>0.25781808499999997</v>
      </c>
      <c r="G31" s="128">
        <f>F31*1000000</f>
        <v>257818.08499999996</v>
      </c>
      <c r="H31" s="64"/>
      <c r="I31" s="80">
        <f>E31</f>
        <v>42064</v>
      </c>
      <c r="J31" s="210">
        <f>$M$12*$N$7</f>
        <v>39035.4</v>
      </c>
      <c r="K31" s="88">
        <f>($F$7/360)*($O$2/100)*M30</f>
        <v>15769.164800946639</v>
      </c>
      <c r="L31" s="90">
        <f>J31-K31</f>
        <v>23266.235199053364</v>
      </c>
      <c r="M31" s="79">
        <f>M30-L31</f>
        <v>639303.7144205533</v>
      </c>
      <c r="N31" s="126">
        <f>L31/M30</f>
        <v>3.5115137975108783E-2</v>
      </c>
      <c r="O31" s="52"/>
      <c r="P31" s="80">
        <f>I31</f>
        <v>42064</v>
      </c>
      <c r="Q31" s="97">
        <f ca="1">S30*N31</f>
        <v>10077.162927971942</v>
      </c>
      <c r="R31" s="98">
        <f ca="1">S30*$C$2/2</f>
        <v>7174.3723</v>
      </c>
      <c r="S31" s="99">
        <f ca="1">IF(P31&lt;$A$4,(VLOOKUP(P31,$A$11:$B$52,2,0)*$S$12),(S30-(Q31+R31)))</f>
        <v>257818.08499999996</v>
      </c>
      <c r="U31" s="80">
        <f>P31</f>
        <v>42064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38777</v>
      </c>
      <c r="B32" s="50">
        <v>0.97905238100000003</v>
      </c>
      <c r="C32" s="52"/>
      <c r="D32" s="70" t="str">
        <f ca="1">IF(E32&lt;$A$4,"Actual","Model Num")</f>
        <v>Actual</v>
      </c>
      <c r="E32" s="71">
        <f>DATE(YEAR(E31),MONTH(E31)+6,DAY(E31))</f>
        <v>42248</v>
      </c>
      <c r="F32" s="74">
        <f>MAX(IF(ISERROR(VLOOKUP(E32,$A$12:$B$52,2,0)),VLOOKUP(E32,$P$11:$S$52,4,0)/1000000,(VLOOKUP(E32,$A$12:$B$52,2,0))),0)</f>
        <v>0.21611166200000001</v>
      </c>
      <c r="G32" s="128">
        <f>F32*1000000</f>
        <v>216111.66200000001</v>
      </c>
      <c r="H32" s="64"/>
      <c r="I32" s="80">
        <f>E32</f>
        <v>42248</v>
      </c>
      <c r="J32" s="210">
        <f>$M$12*$N$7</f>
        <v>39035.4</v>
      </c>
      <c r="K32" s="88">
        <f>($F$7/360)*($O$2/100)*M31</f>
        <v>15215.428403209167</v>
      </c>
      <c r="L32" s="90">
        <f>J32-K32</f>
        <v>23819.971596790834</v>
      </c>
      <c r="M32" s="79">
        <f>M31-L32</f>
        <v>615483.74282376247</v>
      </c>
      <c r="N32" s="126">
        <f>L32/M31</f>
        <v>3.725924167104297E-2</v>
      </c>
      <c r="O32" s="52"/>
      <c r="P32" s="80">
        <f>I32</f>
        <v>42248</v>
      </c>
      <c r="Q32" s="97">
        <f ca="1">S31*N32</f>
        <v>9606.1063361804972</v>
      </c>
      <c r="R32" s="98">
        <f ca="1">S31*$C$2/2</f>
        <v>6445.4521249999998</v>
      </c>
      <c r="S32" s="99">
        <f ca="1">IF(P32&lt;$A$4,(VLOOKUP(P32,$A$11:$B$52,2,0)*$S$12),(S31-(Q32+R32)))</f>
        <v>216111.66200000001</v>
      </c>
      <c r="U32" s="80">
        <f>P32</f>
        <v>42248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49">
        <v>38609</v>
      </c>
      <c r="B33" s="50">
        <v>1</v>
      </c>
      <c r="C33" s="52"/>
      <c r="D33" s="70" t="str">
        <f ca="1">IF(E33&lt;$A$4,"Actual","Model Num")</f>
        <v>Actual</v>
      </c>
      <c r="E33" s="71">
        <f>DATE(YEAR(E32),MONTH(E32)+6,DAY(E32))</f>
        <v>42430</v>
      </c>
      <c r="F33" s="74">
        <f>MAX(IF(ISERROR(VLOOKUP(E33,$A$12:$B$52,2,0)),VLOOKUP(E33,$P$11:$S$52,4,0)/1000000,(VLOOKUP(E33,$A$12:$B$52,2,0))),0)</f>
        <v>0.169387021</v>
      </c>
      <c r="G33" s="128">
        <f>F33*1000000</f>
        <v>169387.02100000001</v>
      </c>
      <c r="H33" s="64"/>
      <c r="I33" s="80">
        <f>E33</f>
        <v>42430</v>
      </c>
      <c r="J33" s="210">
        <f>$M$12*$N$7</f>
        <v>39035.4</v>
      </c>
      <c r="K33" s="88">
        <f>($F$7/360)*($O$2/100)*M32</f>
        <v>14648.513079205546</v>
      </c>
      <c r="L33" s="90">
        <f>J33-K33</f>
        <v>24386.886920794455</v>
      </c>
      <c r="M33" s="79">
        <f>M32-L33</f>
        <v>591096.85590296797</v>
      </c>
      <c r="N33" s="126">
        <f>L33/M32</f>
        <v>3.9622308802033449E-2</v>
      </c>
      <c r="O33" s="52"/>
      <c r="P33" s="80">
        <f>I33</f>
        <v>42430</v>
      </c>
      <c r="Q33" s="97">
        <f ca="1">S32*N33</f>
        <v>8562.8430074846783</v>
      </c>
      <c r="R33" s="98">
        <f ca="1">S32*$C$2/2</f>
        <v>5402.7915500000008</v>
      </c>
      <c r="S33" s="99">
        <f ca="1">IF(P33&lt;$A$4,(VLOOKUP(P33,$A$11:$B$52,2,0)*$S$12),(S32-(Q33+R33)))</f>
        <v>169387.02100000001</v>
      </c>
      <c r="U33" s="80">
        <f>P33</f>
        <v>42430</v>
      </c>
      <c r="V33" s="97">
        <f ca="1">IF(U33&lt;$A$4,0,(YEARFRAC($A$4,U33,1)))</f>
        <v>0</v>
      </c>
      <c r="W33" s="141">
        <f ca="1">V33*(S32-S33)</f>
        <v>0</v>
      </c>
    </row>
    <row r="34" spans="1:23">
      <c r="A34" s="50"/>
      <c r="B34" s="50"/>
      <c r="C34" s="52"/>
      <c r="D34" s="70" t="str">
        <f ca="1">IF(E34&lt;$A$4,"Actual","Model Num")</f>
        <v>Model Num</v>
      </c>
      <c r="E34" s="71">
        <f>DATE(YEAR(E33),MONTH(E33)+6,DAY(E33))</f>
        <v>42614</v>
      </c>
      <c r="F34" s="74">
        <f ca="1">MAX(IF(ISERROR(VLOOKUP(E34,$A$12:$B$52,2,0)),VLOOKUP(E34,$P$11:$S$52,4,0)/1000000,(VLOOKUP(E34,$A$12:$B$52,2,0))),0)</f>
        <v>0.15799762006686227</v>
      </c>
      <c r="G34" s="128">
        <f ca="1">F34*1000000</f>
        <v>157997.62006686226</v>
      </c>
      <c r="H34" s="64"/>
      <c r="I34" s="80">
        <f>E34</f>
        <v>42614</v>
      </c>
      <c r="J34" s="210">
        <f>$M$12*$N$7</f>
        <v>39035.4</v>
      </c>
      <c r="K34" s="88">
        <f>($F$7/360)*($O$2/100)*M33</f>
        <v>14068.105170490637</v>
      </c>
      <c r="L34" s="90">
        <f>J34-K34</f>
        <v>24967.294829509367</v>
      </c>
      <c r="M34" s="79">
        <f>M33-L34</f>
        <v>566129.56107345864</v>
      </c>
      <c r="N34" s="126">
        <f>L34/M33</f>
        <v>4.223892341868233E-2</v>
      </c>
      <c r="O34" s="52"/>
      <c r="P34" s="80">
        <f>I34</f>
        <v>42614</v>
      </c>
      <c r="Q34" s="97">
        <f ca="1">S33*N34</f>
        <v>7154.7254081377359</v>
      </c>
      <c r="R34" s="98">
        <f ca="1">S33*$C$2/2</f>
        <v>4234.6755250000006</v>
      </c>
      <c r="S34" s="99">
        <f ca="1">IF(P34&lt;$A$4,(VLOOKUP(P34,$A$11:$B$52,2,0)*$S$12),(S33-(Q34+R34)))</f>
        <v>157997.62006686226</v>
      </c>
      <c r="U34" s="80">
        <f>P34</f>
        <v>42614</v>
      </c>
      <c r="V34" s="97">
        <f ca="1">IF(U34&lt;$A$4,0,(YEARFRAC($A$4,U34,1)))</f>
        <v>0.39890710382513661</v>
      </c>
      <c r="W34" s="141">
        <f ca="1">V34*(S33-S34)</f>
        <v>4543.3129405412865</v>
      </c>
    </row>
    <row r="35" spans="1:23">
      <c r="A35" s="31"/>
      <c r="B35" s="31"/>
      <c r="D35" s="70" t="str">
        <f ca="1">IF(E35&lt;$A$4,"Actual","Model Num")</f>
        <v>Model Num</v>
      </c>
      <c r="E35" s="71">
        <f>DATE(YEAR(E34),MONTH(E34)+6,DAY(E34))</f>
        <v>42795</v>
      </c>
      <c r="F35" s="74">
        <f ca="1">MAX(IF(ISERROR(VLOOKUP(E35,$A$12:$B$52,2,0)),VLOOKUP(E35,$P$11:$S$52,4,0)/1000000,(VLOOKUP(E35,$A$12:$B$52,2,0))),0)</f>
        <v>0.14691387302772344</v>
      </c>
      <c r="G35" s="128">
        <f ca="1">F35*1000000</f>
        <v>146913.87302772343</v>
      </c>
      <c r="I35" s="80">
        <f>E35</f>
        <v>42795</v>
      </c>
      <c r="J35" s="210">
        <f>$M$12*$N$7</f>
        <v>39035.4</v>
      </c>
      <c r="K35" s="88">
        <f>($F$7/360)*($O$2/100)*M34</f>
        <v>13473.883553548314</v>
      </c>
      <c r="L35" s="90">
        <f>J35-K35</f>
        <v>25561.516446451686</v>
      </c>
      <c r="M35" s="79">
        <f>M34-L35</f>
        <v>540568.04462700698</v>
      </c>
      <c r="N35" s="126">
        <f>L35/M34</f>
        <v>4.5151354396657142E-2</v>
      </c>
      <c r="O35" s="52"/>
      <c r="P35" s="80">
        <f>I35</f>
        <v>42795</v>
      </c>
      <c r="Q35" s="97">
        <f ca="1">S34*N35</f>
        <v>7133.806537467286</v>
      </c>
      <c r="R35" s="98">
        <f ca="1">S34*$C$2/2</f>
        <v>3949.9405016715568</v>
      </c>
      <c r="S35" s="99">
        <f ca="1">IF(P35&lt;$A$4,(VLOOKUP(P35,$A$11:$B$52,2,0)*$S$12),(S34-(Q35+R35)))</f>
        <v>146913.87302772343</v>
      </c>
      <c r="U35" s="80">
        <f>P35</f>
        <v>42795</v>
      </c>
      <c r="V35" s="97">
        <f ca="1">IF(U35&lt;$A$4,0,(YEARFRAC($A$4,U35,1)))</f>
        <v>0.89589041095890409</v>
      </c>
      <c r="W35" s="141">
        <f ca="1">V35*(S34-S35)</f>
        <v>9929.8226898586272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42979</v>
      </c>
      <c r="F36" s="74">
        <f ca="1">MAX(IF(ISERROR(VLOOKUP(E36,$A$12:$B$52,2,0)),VLOOKUP(E36,$P$11:$S$52,4,0)/1000000,(VLOOKUP(E36,$A$12:$B$52,2,0))),0)</f>
        <v>0.13612865886047715</v>
      </c>
      <c r="G36" s="128">
        <f ca="1">F36*1000000</f>
        <v>136128.65886047715</v>
      </c>
      <c r="I36" s="80">
        <f>E36</f>
        <v>42979</v>
      </c>
      <c r="J36" s="210">
        <f>$M$12*$N$7</f>
        <v>39035.4</v>
      </c>
      <c r="K36" s="88">
        <f>($F$7/360)*($O$2/100)*M35</f>
        <v>12865.519462122766</v>
      </c>
      <c r="L36" s="90">
        <f>J36-K36</f>
        <v>26169.880537877238</v>
      </c>
      <c r="M36" s="79">
        <f>M35-L36</f>
        <v>514398.16408912977</v>
      </c>
      <c r="N36" s="126">
        <f>L36/M35</f>
        <v>4.8411815677958742E-2</v>
      </c>
      <c r="O36" s="52"/>
      <c r="P36" s="80">
        <f>I36</f>
        <v>42979</v>
      </c>
      <c r="Q36" s="97">
        <f ca="1">S35*N36</f>
        <v>7112.3673415531812</v>
      </c>
      <c r="R36" s="98">
        <f ca="1">S35*$C$2/2</f>
        <v>3672.846825693086</v>
      </c>
      <c r="S36" s="99">
        <f ca="1">IF(P36&lt;$A$4,(VLOOKUP(P36,$A$11:$B$52,2,0)*$S$12),(S35-(Q36+R36)))</f>
        <v>136128.65886047715</v>
      </c>
      <c r="U36" s="80">
        <f>P36</f>
        <v>42979</v>
      </c>
      <c r="V36" s="97">
        <f ca="1">IF(U36&lt;$A$4,0,(YEARFRAC($A$4,U36,1)))</f>
        <v>1.3980848153214773</v>
      </c>
      <c r="W36" s="141">
        <f ca="1">V36*(S35-S36)</f>
        <v>15078.64415721709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43160</v>
      </c>
      <c r="F37" s="74">
        <f ca="1">MAX(IF(ISERROR(VLOOKUP(E37,$A$12:$B$52,2,0)),VLOOKUP(E37,$P$11:$S$52,4,0)/1000000,(VLOOKUP(E37,$A$12:$B$52,2,0))),0)</f>
        <v>0.12563510304019573</v>
      </c>
      <c r="G37" s="128">
        <f ca="1">F37*1000000</f>
        <v>125635.10304019574</v>
      </c>
      <c r="I37" s="80">
        <f>E37</f>
        <v>43160</v>
      </c>
      <c r="J37" s="210">
        <f>$M$12*$N$7</f>
        <v>39035.4</v>
      </c>
      <c r="K37" s="88">
        <f>($F$7/360)*($O$2/100)*M36</f>
        <v>12242.676305321287</v>
      </c>
      <c r="L37" s="90">
        <f>J37-K37</f>
        <v>26792.723694678716</v>
      </c>
      <c r="M37" s="79">
        <f>M36-L37</f>
        <v>487605.44039445103</v>
      </c>
      <c r="N37" s="126">
        <f>L37/M36</f>
        <v>5.2085574104102639E-2</v>
      </c>
      <c r="O37" s="52"/>
      <c r="P37" s="80">
        <f>I37</f>
        <v>43160</v>
      </c>
      <c r="Q37" s="97">
        <f ca="1">S36*N37</f>
        <v>7090.3393487694912</v>
      </c>
      <c r="R37" s="98">
        <f ca="1">S36*$C$2/2</f>
        <v>3403.2164715119288</v>
      </c>
      <c r="S37" s="99">
        <f ca="1">IF(P37&lt;$A$4,(VLOOKUP(P37,$A$11:$B$52,2,0)*$S$12),(S36-(Q37+R37)))</f>
        <v>125635.10304019574</v>
      </c>
      <c r="U37" s="80">
        <f>P37</f>
        <v>43160</v>
      </c>
      <c r="V37" s="97">
        <f ca="1">IF(U37&lt;$A$4,0,(YEARFRAC($A$4,U37,1)))</f>
        <v>1.894160583941606</v>
      </c>
      <c r="W37" s="141">
        <f ca="1">V37*(S36-S37)</f>
        <v>19876.479820168082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43344</v>
      </c>
      <c r="F38" s="74">
        <f ca="1">MAX(IF(ISERROR(VLOOKUP(E38,$A$12:$B$52,2,0)),VLOOKUP(E38,$P$11:$S$52,4,0)/1000000,(VLOOKUP(E38,$A$12:$B$52,2,0))),0)</f>
        <v>0.11542658500379976</v>
      </c>
      <c r="G38" s="128">
        <f ca="1">F38*1000000</f>
        <v>115426.58500379976</v>
      </c>
      <c r="I38" s="80">
        <f>E38</f>
        <v>43344</v>
      </c>
      <c r="J38" s="210">
        <f>$M$12*$N$7</f>
        <v>39035.4</v>
      </c>
      <c r="K38" s="88">
        <f>($F$7/360)*($O$2/100)*M37</f>
        <v>11605.009481387933</v>
      </c>
      <c r="L38" s="90">
        <f>J38-K38</f>
        <v>27430.390518612068</v>
      </c>
      <c r="M38" s="79">
        <f>M37-L38</f>
        <v>460175.04987583897</v>
      </c>
      <c r="N38" s="126">
        <f>L38/M37</f>
        <v>5.6255300384717009E-2</v>
      </c>
      <c r="O38" s="52"/>
      <c r="P38" s="80">
        <f>I38</f>
        <v>43344</v>
      </c>
      <c r="Q38" s="97">
        <f ca="1">S37*N38</f>
        <v>7067.6404603910842</v>
      </c>
      <c r="R38" s="98">
        <f ca="1">S37*$C$2/2</f>
        <v>3140.8775760048939</v>
      </c>
      <c r="S38" s="99">
        <f ca="1">IF(P38&lt;$A$4,(VLOOKUP(P38,$A$11:$B$52,2,0)*$S$12),(S37-(Q38+R38)))</f>
        <v>115426.58500379976</v>
      </c>
      <c r="U38" s="80">
        <f>P38</f>
        <v>43344</v>
      </c>
      <c r="V38" s="97">
        <f ca="1">IF(U38&lt;$A$4,0,(YEARFRAC($A$4,U38,1)))</f>
        <v>2.3978102189781021</v>
      </c>
      <c r="W38" s="141">
        <f ca="1">V38*(S37-S38)</f>
        <v>24478.088868292551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43525</v>
      </c>
      <c r="F39" s="74">
        <f ca="1">MAX(IF(ISERROR(VLOOKUP(E39,$A$12:$B$52,2,0)),VLOOKUP(E39,$P$11:$S$52,4,0)/1000000,(VLOOKUP(E39,$A$12:$B$52,2,0))),0)</f>
        <v>0.10549674930561584</v>
      </c>
      <c r="G39" s="128">
        <f ca="1">F39*1000000</f>
        <v>105496.74930561584</v>
      </c>
      <c r="I39" s="80">
        <f>E39</f>
        <v>43525</v>
      </c>
      <c r="J39" s="210">
        <f>$M$12*$N$7</f>
        <v>39035.4</v>
      </c>
      <c r="K39" s="88">
        <f>($F$7/360)*($O$2/100)*M38</f>
        <v>10952.166187044966</v>
      </c>
      <c r="L39" s="90">
        <f>J39-K39</f>
        <v>28083.233812955033</v>
      </c>
      <c r="M39" s="79">
        <f>M38-L39</f>
        <v>432091.81606288394</v>
      </c>
      <c r="N39" s="126">
        <f>L39/M38</f>
        <v>6.1027284770289576E-2</v>
      </c>
      <c r="O39" s="52"/>
      <c r="P39" s="80">
        <f>I39</f>
        <v>43525</v>
      </c>
      <c r="Q39" s="97">
        <f ca="1">S38*N39</f>
        <v>7044.1710730889245</v>
      </c>
      <c r="R39" s="98">
        <f ca="1">S38*$C$2/2</f>
        <v>2885.6646250949943</v>
      </c>
      <c r="S39" s="99">
        <f ca="1">IF(P39&lt;$A$4,(VLOOKUP(P39,$A$11:$B$52,2,0)*$S$12),(S38-(Q39+R39)))</f>
        <v>105496.74930561584</v>
      </c>
      <c r="U39" s="80">
        <f>P39</f>
        <v>43525</v>
      </c>
      <c r="V39" s="97">
        <f ca="1">IF(U39&lt;$A$4,0,(YEARFRAC($A$4,U39,1)))</f>
        <v>2.8939082819986313</v>
      </c>
      <c r="W39" s="141">
        <f ca="1">V39*(S38-S39)</f>
        <v>28736.033765860098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43709</v>
      </c>
      <c r="F40" s="74">
        <f ca="1">MAX(IF(ISERROR(VLOOKUP(E40,$A$12:$B$52,2,0)),VLOOKUP(E40,$P$11:$S$52,4,0)/1000000,(VLOOKUP(E40,$A$12:$B$52,2,0))),0)</f>
        <v>9.5839521857381593E-2</v>
      </c>
      <c r="G40" s="128">
        <f ca="1">F40*1000000</f>
        <v>95839.521857381595</v>
      </c>
      <c r="I40" s="80">
        <f>E40</f>
        <v>43709</v>
      </c>
      <c r="J40" s="210">
        <f>$M$12*$N$7</f>
        <v>39035.4</v>
      </c>
      <c r="K40" s="88">
        <f>($F$7/360)*($O$2/100)*M39</f>
        <v>10283.785222296638</v>
      </c>
      <c r="L40" s="90">
        <f>J40-K40</f>
        <v>28751.614777703362</v>
      </c>
      <c r="M40" s="79">
        <f>M39-L40</f>
        <v>403340.20128518058</v>
      </c>
      <c r="N40" s="126">
        <f>L40/M39</f>
        <v>6.6540521502307354E-2</v>
      </c>
      <c r="O40" s="52"/>
      <c r="P40" s="80">
        <f>I40</f>
        <v>43709</v>
      </c>
      <c r="Q40" s="97">
        <f ca="1">S39*N40</f>
        <v>7019.8087155938592</v>
      </c>
      <c r="R40" s="98">
        <f ca="1">S39*$C$2/2</f>
        <v>2637.4187326403962</v>
      </c>
      <c r="S40" s="99">
        <f ca="1">IF(P40&lt;$A$4,(VLOOKUP(P40,$A$11:$B$52,2,0)*$S$12),(S39-(Q40+R40)))</f>
        <v>95839.521857381595</v>
      </c>
      <c r="U40" s="80">
        <f>P40</f>
        <v>43709</v>
      </c>
      <c r="V40" s="97">
        <f ca="1">IF(U40&lt;$A$4,0,(YEARFRAC($A$4,U40,1)))</f>
        <v>3.3976728268309375</v>
      </c>
      <c r="W40" s="141">
        <f ca="1">V40*(S39-S40)</f>
        <v>32812.099283391377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43891</v>
      </c>
      <c r="F41" s="74">
        <f ca="1">MAX(IF(ISERROR(VLOOKUP(E41,$A$12:$B$52,2,0)),VLOOKUP(E41,$P$11:$S$52,4,0)/1000000,(VLOOKUP(E41,$A$12:$B$52,2,0))),0)</f>
        <v>8.6449133351877497E-2</v>
      </c>
      <c r="G41" s="128">
        <f ca="1">F41*1000000</f>
        <v>86449.133351877492</v>
      </c>
      <c r="I41" s="80">
        <f>E41</f>
        <v>43891</v>
      </c>
      <c r="J41" s="210">
        <f>$M$12*$N$7</f>
        <v>39035.4</v>
      </c>
      <c r="K41" s="88">
        <f>($F$7/360)*($O$2/100)*M40</f>
        <v>9599.4967905872963</v>
      </c>
      <c r="L41" s="90">
        <f>J41-K41</f>
        <v>29435.903209412703</v>
      </c>
      <c r="M41" s="79">
        <f>M40-L41</f>
        <v>373904.29807576787</v>
      </c>
      <c r="N41" s="126">
        <f>L41/M40</f>
        <v>7.2980335497477802E-2</v>
      </c>
      <c r="O41" s="52"/>
      <c r="P41" s="80">
        <f>I41</f>
        <v>43891</v>
      </c>
      <c r="Q41" s="97">
        <f ca="1">S40*N41</f>
        <v>6994.4004590695658</v>
      </c>
      <c r="R41" s="98">
        <f ca="1">S40*$C$2/2</f>
        <v>2395.9880464345401</v>
      </c>
      <c r="S41" s="99">
        <f ca="1">IF(P41&lt;$A$4,(VLOOKUP(P41,$A$11:$B$52,2,0)*$S$12),(S40-(Q41+R41)))</f>
        <v>86449.133351877492</v>
      </c>
      <c r="U41" s="80">
        <f>P41</f>
        <v>43891</v>
      </c>
      <c r="V41" s="97">
        <f ca="1">IF(U41&lt;$A$4,0,(YEARFRAC($A$4,U41,1)))</f>
        <v>3.894362342638205</v>
      </c>
      <c r="W41" s="141">
        <f ca="1">V41*(S40-S41)</f>
        <v>36569.575378577829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44075</v>
      </c>
      <c r="F42" s="74">
        <f ca="1">MAX(IF(ISERROR(VLOOKUP(E42,$A$12:$B$52,2,0)),VLOOKUP(E42,$P$11:$S$52,4,0)/1000000,(VLOOKUP(E42,$A$12:$B$52,2,0))),0)</f>
        <v>7.7320153127150515E-2</v>
      </c>
      <c r="G42" s="128">
        <f ca="1">F42*1000000</f>
        <v>77320.153127150508</v>
      </c>
      <c r="I42" s="80">
        <f>E42</f>
        <v>44075</v>
      </c>
      <c r="J42" s="210">
        <f>$M$12*$N$7</f>
        <v>39035.4</v>
      </c>
      <c r="K42" s="88">
        <f>($F$7/360)*($O$2/100)*M41</f>
        <v>8898.9222942032739</v>
      </c>
      <c r="L42" s="90">
        <f>J42-K42</f>
        <v>30136.477705796729</v>
      </c>
      <c r="M42" s="79">
        <f>M41-L42</f>
        <v>343767.82036997116</v>
      </c>
      <c r="N42" s="126">
        <f>L42/M41</f>
        <v>8.0599441784672612E-2</v>
      </c>
      <c r="O42" s="52"/>
      <c r="P42" s="80">
        <f>I42</f>
        <v>44075</v>
      </c>
      <c r="Q42" s="97">
        <f ca="1">S41*N42</f>
        <v>6967.7518909300497</v>
      </c>
      <c r="R42" s="98">
        <f ca="1">S41*$C$2/2</f>
        <v>2161.2283337969375</v>
      </c>
      <c r="S42" s="99">
        <f ca="1">IF(P42&lt;$A$4,(VLOOKUP(P42,$A$11:$B$52,2,0)*$S$12),(S41-(Q42+R42)))</f>
        <v>77320.153127150508</v>
      </c>
      <c r="U42" s="80">
        <f>P42</f>
        <v>44075</v>
      </c>
      <c r="V42" s="97">
        <f ca="1">IF(U42&lt;$A$4,0,(YEARFRAC($A$4,U42,1)))</f>
        <v>4.39792008757526</v>
      </c>
      <c r="W42" s="141">
        <f ca="1">V42*(S41-S42)</f>
        <v>40148.525509404113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44256</v>
      </c>
      <c r="F43" s="74">
        <f ca="1">MAX(IF(ISERROR(VLOOKUP(E43,$A$12:$B$52,2,0)),VLOOKUP(E43,$P$11:$S$52,4,0)/1000000,(VLOOKUP(E43,$A$12:$B$52,2,0))),0)</f>
        <v>6.8447538701779359E-2</v>
      </c>
      <c r="G43" s="128">
        <f ca="1">F43*1000000</f>
        <v>68447.538701779355</v>
      </c>
      <c r="I43" s="80">
        <f>E43</f>
        <v>44256</v>
      </c>
      <c r="J43" s="210">
        <f>$M$12*$N$7</f>
        <v>39035.4</v>
      </c>
      <c r="K43" s="88">
        <f>($F$7/360)*($O$2/100)*M42</f>
        <v>8181.6741248053131</v>
      </c>
      <c r="L43" s="90">
        <f>J43-K43</f>
        <v>30853.725875194687</v>
      </c>
      <c r="M43" s="79">
        <f>M42-L43</f>
        <v>312914.09449477645</v>
      </c>
      <c r="N43" s="126">
        <f>L43/M42</f>
        <v>8.9751640633463511E-2</v>
      </c>
      <c r="O43" s="52"/>
      <c r="P43" s="80">
        <f>I43</f>
        <v>44256</v>
      </c>
      <c r="Q43" s="97">
        <f ca="1">S42*N43</f>
        <v>6939.6105971923826</v>
      </c>
      <c r="R43" s="98">
        <f ca="1">S42*$C$2/2</f>
        <v>1933.0038281787629</v>
      </c>
      <c r="S43" s="99">
        <f ca="1">IF(P43&lt;$A$4,(VLOOKUP(P43,$A$11:$B$52,2,0)*$S$12),(S42-(Q43+R43)))</f>
        <v>68447.538701779355</v>
      </c>
      <c r="U43" s="80">
        <f>P43</f>
        <v>44256</v>
      </c>
      <c r="V43" s="97">
        <f ca="1">IF(U43&lt;$A$4,0,(YEARFRAC($A$4,U43,1)))</f>
        <v>4.8941605839416065</v>
      </c>
      <c r="W43" s="141">
        <f ca="1">V43*(S42-S43)</f>
        <v>43423.999797163204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44440</v>
      </c>
      <c r="F44" s="74">
        <f ca="1">MAX(IF(ISERROR(VLOOKUP(E44,$A$12:$B$52,2,0)),VLOOKUP(E44,$P$11:$S$52,4,0)/1000000,(VLOOKUP(E44,$A$12:$B$52,2,0))),0)</f>
        <v>5.982670972919249E-2</v>
      </c>
      <c r="G44" s="128">
        <f ca="1">F44*1000000</f>
        <v>59826.709729192487</v>
      </c>
      <c r="I44" s="80">
        <f>E44</f>
        <v>44440</v>
      </c>
      <c r="J44" s="210">
        <f>$M$12*$N$7</f>
        <v>39035.4</v>
      </c>
      <c r="K44" s="88">
        <f>($F$7/360)*($O$2/100)*M43</f>
        <v>7447.3554489756789</v>
      </c>
      <c r="L44" s="90">
        <f>J44-K44</f>
        <v>31588.044551024323</v>
      </c>
      <c r="M44" s="79">
        <f>M43-L44</f>
        <v>281326.04994375212</v>
      </c>
      <c r="N44" s="126">
        <f>L44/M43</f>
        <v>0.10094797615948115</v>
      </c>
      <c r="O44" s="52"/>
      <c r="P44" s="80">
        <f>I44</f>
        <v>44440</v>
      </c>
      <c r="Q44" s="97">
        <f ca="1">S43*N44</f>
        <v>6909.6405050423855</v>
      </c>
      <c r="R44" s="98">
        <f ca="1">S43*$C$2/2</f>
        <v>1711.188467544484</v>
      </c>
      <c r="S44" s="99">
        <f ca="1">IF(P44&lt;$A$4,(VLOOKUP(P44,$A$11:$B$52,2,0)*$S$12),(S43-(Q44+R44)))</f>
        <v>59826.709729192487</v>
      </c>
      <c r="U44" s="80">
        <f>P44</f>
        <v>44440</v>
      </c>
      <c r="V44" s="97">
        <f ca="1">IF(U44&lt;$A$4,0,(YEARFRAC($A$4,U44,1)))</f>
        <v>5.3978102189781021</v>
      </c>
      <c r="W44" s="141">
        <f ca="1">V44*(S43-S44)</f>
        <v>46533.598724291885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44621</v>
      </c>
      <c r="F45" s="74">
        <f ca="1">MAX(IF(ISERROR(VLOOKUP(E45,$A$12:$B$52,2,0)),VLOOKUP(E45,$P$11:$S$52,4,0)/1000000,(VLOOKUP(E45,$A$12:$B$52,2,0))),0)</f>
        <v>5.1453661731152553E-2</v>
      </c>
      <c r="G45" s="128">
        <f ca="1">F45*1000000</f>
        <v>51453.661731152555</v>
      </c>
      <c r="I45" s="80">
        <f>E45</f>
        <v>44621</v>
      </c>
      <c r="J45" s="210">
        <f>$M$12*$N$7</f>
        <v>39035.4</v>
      </c>
      <c r="K45" s="88">
        <f>($F$7/360)*($O$2/100)*M44</f>
        <v>6695.5599886612999</v>
      </c>
      <c r="L45" s="90">
        <f>J45-K45</f>
        <v>32339.840011338703</v>
      </c>
      <c r="M45" s="79">
        <f>M44-L45</f>
        <v>248986.20993241342</v>
      </c>
      <c r="N45" s="126">
        <f>L45/M44</f>
        <v>0.11495501400529627</v>
      </c>
      <c r="O45" s="52"/>
      <c r="P45" s="80">
        <f>I45</f>
        <v>44621</v>
      </c>
      <c r="Q45" s="97">
        <f ca="1">S44*N45</f>
        <v>6877.3802548101175</v>
      </c>
      <c r="R45" s="98">
        <f ca="1">S44*$C$2/2</f>
        <v>1495.6677432298122</v>
      </c>
      <c r="S45" s="99">
        <f ca="1">IF(P45&lt;$A$4,(VLOOKUP(P45,$A$11:$B$52,2,0)*$S$12),(S44-(Q45+R45)))</f>
        <v>51453.661731152555</v>
      </c>
      <c r="U45" s="80">
        <f>P45</f>
        <v>44621</v>
      </c>
      <c r="V45" s="97">
        <f ca="1">IF(U45&lt;$A$4,0,(YEARFRAC($A$4,U45,1)))</f>
        <v>5.8940164254986316</v>
      </c>
      <c r="W45" s="141">
        <f ca="1">V45*(S44-S45)</f>
        <v>49350.882431935795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44805</v>
      </c>
      <c r="F46" s="74">
        <f ca="1">MAX(IF(ISERROR(VLOOKUP(E46,$A$12:$B$52,2,0)),VLOOKUP(E46,$P$11:$S$52,4,0)/1000000,(VLOOKUP(E46,$A$12:$B$52,2,0))),0)</f>
        <v>4.3325148226908639E-2</v>
      </c>
      <c r="G46" s="128">
        <f ca="1">F46*1000000</f>
        <v>43325.148226908641</v>
      </c>
      <c r="I46" s="80">
        <f>E46</f>
        <v>44805</v>
      </c>
      <c r="J46" s="210">
        <f>$M$12*$N$7</f>
        <v>39035.4</v>
      </c>
      <c r="K46" s="88">
        <f>($F$7/360)*($O$2/100)*M45</f>
        <v>5925.8717963914387</v>
      </c>
      <c r="L46" s="90">
        <f>J46-K46</f>
        <v>33109.528203608563</v>
      </c>
      <c r="M46" s="79">
        <f>M45-L46</f>
        <v>215876.68172880486</v>
      </c>
      <c r="N46" s="126">
        <f>L46/M45</f>
        <v>0.13297735731065607</v>
      </c>
      <c r="O46" s="52"/>
      <c r="P46" s="80">
        <f>I46</f>
        <v>44805</v>
      </c>
      <c r="Q46" s="97">
        <f ca="1">S45*N46</f>
        <v>6842.1719609651036</v>
      </c>
      <c r="R46" s="98">
        <f ca="1">S45*$C$2/2</f>
        <v>1286.341543278814</v>
      </c>
      <c r="S46" s="99">
        <f ca="1">IF(P46&lt;$A$4,(VLOOKUP(P46,$A$11:$B$52,2,0)*$S$12),(S45-(Q46+R46)))</f>
        <v>43325.148226908641</v>
      </c>
      <c r="U46" s="80">
        <f>P46</f>
        <v>44805</v>
      </c>
      <c r="V46" s="97">
        <f ca="1">IF(U46&lt;$A$4,0,(YEARFRAC($A$4,U46,1)))</f>
        <v>6.3977317168556906</v>
      </c>
      <c r="W46" s="141">
        <f ca="1">V46*(S45-S46)</f>
        <v>52004.048656991086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44986</v>
      </c>
      <c r="F47" s="74">
        <f ca="1">MAX(IF(ISERROR(VLOOKUP(E47,$A$12:$B$52,2,0)),VLOOKUP(E47,$P$11:$S$52,4,0)/1000000,(VLOOKUP(E47,$A$12:$B$52,2,0))),0)</f>
        <v>3.5438988663288346E-2</v>
      </c>
      <c r="G47" s="128">
        <f ca="1">F47*1000000</f>
        <v>35438.988663288343</v>
      </c>
      <c r="I47" s="80">
        <f>E47</f>
        <v>44986</v>
      </c>
      <c r="J47" s="210">
        <f>$M$12*$N$7</f>
        <v>39035.4</v>
      </c>
      <c r="K47" s="88">
        <f>($F$7/360)*($O$2/100)*M46</f>
        <v>5137.8650251455556</v>
      </c>
      <c r="L47" s="90">
        <f>J47-K47</f>
        <v>33897.534974854447</v>
      </c>
      <c r="M47" s="79">
        <f>M46-L47</f>
        <v>181979.14675395042</v>
      </c>
      <c r="N47" s="126">
        <f>L47/M46</f>
        <v>0.15702267935282715</v>
      </c>
      <c r="O47" s="52"/>
      <c r="P47" s="80">
        <f>I47</f>
        <v>44986</v>
      </c>
      <c r="Q47" s="97">
        <f ca="1">S46*N47</f>
        <v>6803.0308579475832</v>
      </c>
      <c r="R47" s="98">
        <f ca="1">S46*$C$2/2</f>
        <v>1083.128705672716</v>
      </c>
      <c r="S47" s="99">
        <f ca="1">IF(P47&lt;$A$4,(VLOOKUP(P47,$A$11:$B$52,2,0)*$S$12),(S46-(Q47+R47)))</f>
        <v>35438.988663288343</v>
      </c>
      <c r="U47" s="80">
        <f>P47</f>
        <v>44986</v>
      </c>
      <c r="V47" s="97">
        <f ca="1">IF(U47&lt;$A$4,0,(YEARFRAC($A$4,U47,1)))</f>
        <v>6.8939082819986313</v>
      </c>
      <c r="W47" s="141">
        <f ca="1">V47*(S46-S47)</f>
        <v>54366.460728804683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45170</v>
      </c>
      <c r="F48" s="74">
        <f ca="1">MAX(IF(ISERROR(VLOOKUP(E48,$A$12:$B$52,2,0)),VLOOKUP(E48,$P$11:$S$52,4,0)/1000000,(VLOOKUP(E48,$A$12:$B$52,2,0))),0)</f>
        <v>2.7794628794680219E-2</v>
      </c>
      <c r="G48" s="128">
        <f ca="1">F48*1000000</f>
        <v>27794.628794680219</v>
      </c>
      <c r="I48" s="80">
        <f>E48</f>
        <v>45170</v>
      </c>
      <c r="J48" s="210">
        <f>$M$12*$N$7</f>
        <v>39035.4</v>
      </c>
      <c r="K48" s="88">
        <f>($F$7/360)*($O$2/100)*M47</f>
        <v>4331.10369274402</v>
      </c>
      <c r="L48" s="90">
        <f>J48-K48</f>
        <v>34704.29630725598</v>
      </c>
      <c r="M48" s="79">
        <f>M47-L48</f>
        <v>147274.85044669444</v>
      </c>
      <c r="N48" s="126">
        <f>L48/M47</f>
        <v>0.19070479736988113</v>
      </c>
      <c r="O48" s="52"/>
      <c r="P48" s="80">
        <f>I48</f>
        <v>45170</v>
      </c>
      <c r="Q48" s="97">
        <f ca="1">S47*N48</f>
        <v>6758.3851520259177</v>
      </c>
      <c r="R48" s="98">
        <f ca="1">S47*$C$2/2</f>
        <v>885.97471658220866</v>
      </c>
      <c r="S48" s="99">
        <f ca="1">IF(P48&lt;$A$4,(VLOOKUP(P48,$A$11:$B$52,2,0)*$S$12),(S47-(Q48+R48)))</f>
        <v>27794.628794680219</v>
      </c>
      <c r="U48" s="80">
        <f>P48</f>
        <v>45170</v>
      </c>
      <c r="V48" s="97">
        <f ca="1">IF(U48&lt;$A$4,0,(YEARFRAC($A$4,U48,1)))</f>
        <v>7.397672826830938</v>
      </c>
      <c r="W48" s="141">
        <f ca="1">V48*(S47-S48)</f>
        <v>56550.473278519239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45352</v>
      </c>
      <c r="F49" s="74">
        <f ca="1">MAX(IF(ISERROR(VLOOKUP(E49,$A$12:$B$52,2,0)),VLOOKUP(E49,$P$11:$S$52,4,0)/1000000,(VLOOKUP(E49,$A$12:$B$52,2,0))),0)</f>
        <v>2.0394270965051392E-2</v>
      </c>
      <c r="G49" s="128">
        <f ca="1">F49*1000000</f>
        <v>20394.270965051393</v>
      </c>
      <c r="I49" s="80">
        <f>E49</f>
        <v>45352</v>
      </c>
      <c r="J49" s="210">
        <f>$M$12*$N$7</f>
        <v>39035.4</v>
      </c>
      <c r="K49" s="88">
        <f>($F$7/360)*($O$2/100)*M48</f>
        <v>3505.1414406313274</v>
      </c>
      <c r="L49" s="90">
        <f>J49-K49</f>
        <v>35530.258559368674</v>
      </c>
      <c r="M49" s="79">
        <f>M48-L49</f>
        <v>111744.59188732578</v>
      </c>
      <c r="N49" s="126">
        <f>L49/M48</f>
        <v>0.24125136404214997</v>
      </c>
      <c r="O49" s="52"/>
      <c r="P49" s="80">
        <f>I49</f>
        <v>45352</v>
      </c>
      <c r="Q49" s="97">
        <f ca="1">S48*N49</f>
        <v>6705.4921097618217</v>
      </c>
      <c r="R49" s="98">
        <f ca="1">S48*$C$2/2</f>
        <v>694.86571986700551</v>
      </c>
      <c r="S49" s="99">
        <f ca="1">IF(P49&lt;$A$4,(VLOOKUP(P49,$A$11:$B$52,2,0)*$S$12),(S48-(Q49+R49)))</f>
        <v>20394.270965051393</v>
      </c>
      <c r="U49" s="80">
        <f>P49</f>
        <v>45352</v>
      </c>
      <c r="V49" s="97">
        <f ca="1">IF(U49&lt;$A$4,0,(YEARFRAC($A$4,U49,1)))</f>
        <v>7.8941605839416065</v>
      </c>
      <c r="W49" s="141">
        <f ca="1">V49*(S48-S49)</f>
        <v>58419.613085719524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45536</v>
      </c>
      <c r="F50" s="74">
        <f ca="1">MAX(IF(ISERROR(VLOOKUP(E50,$A$12:$B$52,2,0)),VLOOKUP(E50,$P$11:$S$52,4,0)/1000000,(VLOOKUP(E50,$A$12:$B$52,2,0))),0)</f>
        <v>1.3245528903174777E-2</v>
      </c>
      <c r="G50" s="128">
        <f ca="1">F50*1000000</f>
        <v>13245.528903174778</v>
      </c>
      <c r="I50" s="80">
        <f>E50</f>
        <v>45536</v>
      </c>
      <c r="J50" s="210">
        <f>$M$12*$N$7</f>
        <v>39035.4</v>
      </c>
      <c r="K50" s="88">
        <f>($F$7/360)*($O$2/100)*M49</f>
        <v>2659.5212869183533</v>
      </c>
      <c r="L50" s="90">
        <f>J50-K50</f>
        <v>36375.878713081649</v>
      </c>
      <c r="M50" s="79">
        <f>M49-L50</f>
        <v>75368.713174244127</v>
      </c>
      <c r="N50" s="126">
        <f>L50/M49</f>
        <v>0.32552697270361097</v>
      </c>
      <c r="O50" s="52"/>
      <c r="P50" s="80">
        <f>I50</f>
        <v>45536</v>
      </c>
      <c r="Q50" s="97">
        <f ca="1">S49*N50</f>
        <v>6638.8852877503305</v>
      </c>
      <c r="R50" s="98">
        <f ca="1">S49*$C$2/2</f>
        <v>509.85677412628485</v>
      </c>
      <c r="S50" s="99">
        <f ca="1">IF(P50&lt;$A$4,(VLOOKUP(P50,$A$11:$B$52,2,0)*$S$12),(S49-(Q50+R50)))</f>
        <v>13245.528903174778</v>
      </c>
      <c r="U50" s="80">
        <f>P50</f>
        <v>45536</v>
      </c>
      <c r="V50" s="97">
        <f ca="1">IF(U50&lt;$A$4,0,(YEARFRAC($A$4,U50,1)))</f>
        <v>8.397810218978103</v>
      </c>
      <c r="W50" s="141">
        <f ca="1">V50*(S49-S50)</f>
        <v>60033.779140066035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45717</v>
      </c>
      <c r="F51" s="74">
        <f ca="1">MAX(IF(ISERROR(VLOOKUP(E51,$A$12:$B$52,2,0)),VLOOKUP(E51,$P$11:$S$52,4,0)/1000000,(VLOOKUP(E51,$A$12:$B$52,2,0))),0)</f>
        <v>6.369433302187629E-3</v>
      </c>
      <c r="G51" s="128">
        <f ca="1">F51*1000000</f>
        <v>6369.4333021876291</v>
      </c>
      <c r="I51" s="80">
        <f>E51</f>
        <v>45717</v>
      </c>
      <c r="J51" s="210">
        <f>$M$12*$N$7</f>
        <v>39035.4</v>
      </c>
      <c r="K51" s="88">
        <f>($F$7/360)*($O$2/100)*M50</f>
        <v>1793.7753735470101</v>
      </c>
      <c r="L51" s="90">
        <f>J51-K51</f>
        <v>37241.624626452991</v>
      </c>
      <c r="M51" s="79">
        <f>M50-L51</f>
        <v>38127.088547791136</v>
      </c>
      <c r="N51" s="126">
        <f>L51/M50</f>
        <v>0.49412578585963746</v>
      </c>
      <c r="O51" s="52"/>
      <c r="P51" s="80">
        <f>I51</f>
        <v>45717</v>
      </c>
      <c r="Q51" s="97">
        <f ca="1">S50*N51</f>
        <v>6544.9573784077793</v>
      </c>
      <c r="R51" s="98">
        <f ca="1">S50*$C$2/2</f>
        <v>331.13822257936948</v>
      </c>
      <c r="S51" s="99">
        <f ca="1">IF(P51&lt;$A$4,(VLOOKUP(P51,$A$11:$B$52,2,0)*$S$12),(S50-(Q51+R51)))</f>
        <v>6369.4333021876291</v>
      </c>
      <c r="U51" s="80">
        <f>P51</f>
        <v>45717</v>
      </c>
      <c r="V51" s="97">
        <f ca="1">IF(U51&lt;$A$4,0,(YEARFRAC($A$4,U51,1)))</f>
        <v>8.8940596769778253</v>
      </c>
      <c r="W51" s="141">
        <f ca="1">V51*(S50-S51)</f>
        <v>61156.404619784407</v>
      </c>
    </row>
    <row r="52" spans="1:23" s="82" customFormat="1" ht="13.5" thickBot="1">
      <c r="A52" s="81"/>
      <c r="B52" s="81"/>
      <c r="D52" s="70" t="str">
        <f ca="1">IF(E52&lt;$A$4,"Actual","Model Num")</f>
        <v>Model Num</v>
      </c>
      <c r="E52" s="71">
        <f>DATE(YEAR(E51),MONTH(E51)+6,DAY(E51))</f>
        <v>45901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45901</v>
      </c>
      <c r="J52" s="211">
        <f>$M$12*$N$7</f>
        <v>39035.4</v>
      </c>
      <c r="K52" s="89">
        <f>($F$7/360)*($O$2/100)*M51</f>
        <v>907.42470743742899</v>
      </c>
      <c r="L52" s="91">
        <f>J52-K52</f>
        <v>38127.975292562573</v>
      </c>
      <c r="M52" s="85">
        <f>M51-L52</f>
        <v>-0.8867447714364971</v>
      </c>
      <c r="N52" s="127">
        <f>L52/M51</f>
        <v>1.0000232576051624</v>
      </c>
      <c r="O52" s="86"/>
      <c r="P52" s="84">
        <f>I52</f>
        <v>45901</v>
      </c>
      <c r="Q52" s="100">
        <f ca="1">S51*N52</f>
        <v>6369.5814399524797</v>
      </c>
      <c r="R52" s="98">
        <f ca="1">S51*$C$2/2</f>
        <v>159.23583255469075</v>
      </c>
      <c r="S52" s="102">
        <v>0</v>
      </c>
      <c r="U52" s="142">
        <f>P52</f>
        <v>45901</v>
      </c>
      <c r="V52" s="143">
        <f ca="1">IF(U52&lt;$A$4,0,(YEARFRAC($A$4,U52,1)))</f>
        <v>9.3977552696413902</v>
      </c>
      <c r="W52" s="141">
        <f ca="1">V52*(S51-S52)</f>
        <v>59858.375380263155</v>
      </c>
    </row>
    <row r="53" spans="1:23">
      <c r="A53" s="31"/>
      <c r="B53" s="31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23" priority="1" stopIfTrue="1">
      <formula>$D1="Actual"</formula>
    </cfRule>
  </conditionalFormatting>
  <conditionalFormatting sqref="A4">
    <cfRule type="expression" dxfId="22" priority="2" stopIfTrue="1">
      <formula>#REF!="Actual"</formula>
    </cfRule>
  </conditionalFormatting>
  <conditionalFormatting sqref="C6:C9">
    <cfRule type="cellIs" dxfId="21" priority="3" stopIfTrue="1" operator="equal">
      <formula>"PROB!!"</formula>
    </cfRule>
  </conditionalFormatting>
  <conditionalFormatting sqref="A7">
    <cfRule type="expression" dxfId="20" priority="4" stopIfTrue="1">
      <formula>A7="Warning - Update"</formula>
    </cfRule>
  </conditionalFormatting>
  <pageMargins left="0.75" right="0.75" top="1" bottom="1" header="0.5" footer="0.5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indexed="40"/>
  </sheetPr>
  <dimension ref="A1:W53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425781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129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22</v>
      </c>
      <c r="B2" s="67" t="str">
        <f>MID(A2,3,9)</f>
        <v>83162CPY3</v>
      </c>
      <c r="C2" s="131">
        <v>0.05</v>
      </c>
      <c r="D2" s="67">
        <f>IF(ISERROR(VLOOKUP(A2,'Bond Position per Summit'!$C$42:$E$56,3,0)),0,VLOOKUP(A2,'Bond Position per Summit'!$C$42:$E$56,3,0))</f>
        <v>0</v>
      </c>
      <c r="E2" s="67">
        <f>IF(ISERROR(VLOOKUP(A2,'Bond Position per Summit'!$C$65:$E$73,3,0)),0,VLOOKUP(A2,'Bond Position per Summit'!$C$65:$E$73,3,0))</f>
        <v>50976576.700000003</v>
      </c>
      <c r="F2" s="67" t="str">
        <f>_xll.BDP($B2&amp;" Mtge Cusip",F$1)</f>
        <v>SBAP 2005-20L 1</v>
      </c>
      <c r="G2" s="67">
        <f>VLOOKUP(A2,'Bond Position per Summit'!$C$10:$D$32,2,0)</f>
        <v>82571000</v>
      </c>
      <c r="H2" s="67">
        <f>VLOOKUP(A2,'Bond Position per Summit'!$C$10:$E$32,3,0)</f>
        <v>50976576.700000003</v>
      </c>
      <c r="I2" s="67" t="str">
        <f>_xll.BDP($B2&amp;" Mtge Cusip",I$1)</f>
        <v>14/12/2005</v>
      </c>
      <c r="J2" s="67" t="str">
        <f>_xll.BDP($B2&amp;" Mtge Cusip",J$1)</f>
        <v>14/12/2005</v>
      </c>
      <c r="K2" s="67" t="str">
        <f>_xll.BDP($B2&amp;" Mtge Cusip",K$1)</f>
        <v>01/06/2006</v>
      </c>
      <c r="L2" s="67" t="str">
        <f>_xll.BDP($B2&amp;" Mtge Cusip",L$1)</f>
        <v>01/12/2025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5.39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82571000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0.17475589281100004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167</v>
      </c>
      <c r="I6" s="108" t="s">
        <v>81</v>
      </c>
      <c r="J6" s="118">
        <v>39209</v>
      </c>
      <c r="K6" s="113">
        <f>ROUND(J6/J5,8)</f>
        <v>3.9209000000000001E-2</v>
      </c>
      <c r="L6" s="108" t="s">
        <v>81</v>
      </c>
      <c r="M6" s="112">
        <v>3237533</v>
      </c>
      <c r="N6" s="134">
        <f>ROUND(M6/M5,8)</f>
        <v>3.920908E-2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41155</v>
      </c>
      <c r="K7" s="115">
        <f>ROUND(J7/J5,8)</f>
        <v>4.1154999999999997E-2</v>
      </c>
      <c r="L7" s="109" t="s">
        <v>82</v>
      </c>
      <c r="M7" s="114">
        <v>3398248</v>
      </c>
      <c r="N7" s="133">
        <f>ROUND(M7/M5,8)</f>
        <v>4.115547E-2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4.4460091296907462</v>
      </c>
    </row>
    <row r="12" spans="1:23">
      <c r="A12" s="49">
        <f>_xll.BDS($B2&amp;" Mtge Cusip",A11,"cols=2;rows=21")</f>
        <v>42339</v>
      </c>
      <c r="B12" s="50">
        <v>0.174755893</v>
      </c>
      <c r="C12" s="52"/>
      <c r="D12" s="70" t="str">
        <f ca="1">IF(E12&lt;$A$4,"Actual","Model Num")</f>
        <v>Actual</v>
      </c>
      <c r="E12" s="71">
        <v>38700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38700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38700</v>
      </c>
      <c r="Q12" s="94"/>
      <c r="R12" s="95"/>
      <c r="S12" s="96">
        <f>M12</f>
        <v>1000000</v>
      </c>
      <c r="U12" s="139">
        <f>P12</f>
        <v>38700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42156</v>
      </c>
      <c r="B13" s="50">
        <v>0.21610991800000001</v>
      </c>
      <c r="C13" s="52"/>
      <c r="D13" s="70" t="str">
        <f ca="1">IF(E13&lt;$A$4,"Actual","Model Num")</f>
        <v>Actual</v>
      </c>
      <c r="E13" s="71">
        <v>38869</v>
      </c>
      <c r="F13" s="74">
        <f>MAX(IF(ISERROR(VLOOKUP(E13,$A$12:$B$52,2,0)),VLOOKUP(E13,$P$11:$S$52,4,0)/1000000,(VLOOKUP(E13,$A$12:$B$52,2,0))),0)</f>
        <v>0.980981451</v>
      </c>
      <c r="G13" s="128">
        <f>F13*1000000</f>
        <v>980981.451</v>
      </c>
      <c r="H13" s="64"/>
      <c r="I13" s="80">
        <f>E13</f>
        <v>38869</v>
      </c>
      <c r="J13" s="125">
        <f>$M$12*$N$6</f>
        <v>39209.08</v>
      </c>
      <c r="K13" s="88">
        <f>($F$6/360)*($O$2/100)*M12</f>
        <v>25003.611111111113</v>
      </c>
      <c r="L13" s="90">
        <f>J13-K13</f>
        <v>14205.468888888889</v>
      </c>
      <c r="M13" s="79">
        <f>M12-L13</f>
        <v>985794.53111111117</v>
      </c>
      <c r="N13" s="126">
        <f>L13/M12</f>
        <v>1.4205468888888888E-2</v>
      </c>
      <c r="O13" s="52"/>
      <c r="P13" s="80">
        <f>I13</f>
        <v>38869</v>
      </c>
      <c r="Q13" s="97">
        <f>S12*N13</f>
        <v>14205.468888888889</v>
      </c>
      <c r="R13" s="98">
        <f>S12*$C$2/2</f>
        <v>25000</v>
      </c>
      <c r="S13" s="99">
        <f ca="1">IF(P13&lt;$A$4,(VLOOKUP(P13,$A$11:$B$52,2,0)*$S$12),(S12-(Q13+R13)))</f>
        <v>980981.451</v>
      </c>
      <c r="U13" s="80">
        <f>P13</f>
        <v>38869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41974</v>
      </c>
      <c r="B14" s="50">
        <v>0.25737512899999998</v>
      </c>
      <c r="C14" s="52"/>
      <c r="D14" s="70" t="str">
        <f ca="1">IF(E14&lt;$A$4,"Actual","Model Num")</f>
        <v>Actual</v>
      </c>
      <c r="E14" s="71">
        <f>DATE(YEAR(E13),MONTH(E13)+6,DAY(E13))</f>
        <v>39052</v>
      </c>
      <c r="F14" s="74">
        <f>MAX(IF(ISERROR(VLOOKUP(E14,$A$12:$B$52,2,0)),VLOOKUP(E14,$P$11:$S$52,4,0)/1000000,(VLOOKUP(E14,$A$12:$B$52,2,0))),0)</f>
        <v>0.95420436399999997</v>
      </c>
      <c r="G14" s="128">
        <f>F14*1000000</f>
        <v>954204.36399999994</v>
      </c>
      <c r="H14" s="64"/>
      <c r="I14" s="80">
        <f>E14</f>
        <v>39052</v>
      </c>
      <c r="J14" s="210">
        <f>$M$12*$N$7</f>
        <v>41155.47</v>
      </c>
      <c r="K14" s="88">
        <f>($F$7/360)*($O$2/100)*M13</f>
        <v>26567.162613444445</v>
      </c>
      <c r="L14" s="90">
        <f>J14-K14</f>
        <v>14588.307386555556</v>
      </c>
      <c r="M14" s="79">
        <f>M13-L14</f>
        <v>971206.22372455557</v>
      </c>
      <c r="N14" s="126">
        <f>L14/M13</f>
        <v>1.479852740724048E-2</v>
      </c>
      <c r="O14" s="52"/>
      <c r="P14" s="80">
        <f>I14</f>
        <v>39052</v>
      </c>
      <c r="Q14" s="97">
        <f ca="1">S13*N14</f>
        <v>14517.080888618033</v>
      </c>
      <c r="R14" s="98">
        <f ca="1">S13*$C$2/2</f>
        <v>24524.536275000002</v>
      </c>
      <c r="S14" s="99">
        <f ca="1">IF(P14&lt;$A$4,(VLOOKUP(P14,$A$11:$B$52,2,0)*$S$12),(S13-(Q14+R14)))</f>
        <v>954204.36399999994</v>
      </c>
      <c r="U14" s="80">
        <f>P14</f>
        <v>39052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41791</v>
      </c>
      <c r="B15" s="50">
        <v>0.29091588400000001</v>
      </c>
      <c r="C15" s="52"/>
      <c r="D15" s="70" t="str">
        <f ca="1">IF(E15&lt;$A$4,"Actual","Model Num")</f>
        <v>Actual</v>
      </c>
      <c r="E15" s="71">
        <f>DATE(YEAR(E14),MONTH(E14)+6,DAY(E14))</f>
        <v>39234</v>
      </c>
      <c r="F15" s="74">
        <f>MAX(IF(ISERROR(VLOOKUP(E15,$A$12:$B$52,2,0)),VLOOKUP(E15,$P$11:$S$52,4,0)/1000000,(VLOOKUP(E15,$A$12:$B$52,2,0))),0)</f>
        <v>0.90326118399999999</v>
      </c>
      <c r="G15" s="128">
        <f>F15*1000000</f>
        <v>903261.18400000001</v>
      </c>
      <c r="H15" s="64"/>
      <c r="I15" s="80">
        <f>E15</f>
        <v>39234</v>
      </c>
      <c r="J15" s="210">
        <f>$M$12*$N$7</f>
        <v>41155.47</v>
      </c>
      <c r="K15" s="88">
        <f>($F$7/360)*($O$2/100)*M14</f>
        <v>26174.007729376772</v>
      </c>
      <c r="L15" s="90">
        <f>J15-K15</f>
        <v>14981.462270623229</v>
      </c>
      <c r="M15" s="79">
        <f>M14-L15</f>
        <v>956224.76145393238</v>
      </c>
      <c r="N15" s="126">
        <f>L15/M14</f>
        <v>1.5425624244014453E-2</v>
      </c>
      <c r="O15" s="52"/>
      <c r="P15" s="80">
        <f>I15</f>
        <v>39234</v>
      </c>
      <c r="Q15" s="97">
        <f ca="1">S14*N15</f>
        <v>14719.197971062791</v>
      </c>
      <c r="R15" s="98">
        <f ca="1">S14*$C$2/2</f>
        <v>23855.109100000001</v>
      </c>
      <c r="S15" s="99">
        <f ca="1">IF(P15&lt;$A$4,(VLOOKUP(P15,$A$11:$B$52,2,0)*$S$12),(S14-(Q15+R15)))</f>
        <v>903261.18400000001</v>
      </c>
      <c r="U15" s="80">
        <f>P15</f>
        <v>39234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41609</v>
      </c>
      <c r="B16" s="50">
        <v>0.32694610899999998</v>
      </c>
      <c r="C16" s="52"/>
      <c r="D16" s="70" t="str">
        <f ca="1">IF(E16&lt;$A$4,"Actual","Model Num")</f>
        <v>Actual</v>
      </c>
      <c r="E16" s="71">
        <f>DATE(YEAR(E15),MONTH(E15)+6,DAY(E15))</f>
        <v>39417</v>
      </c>
      <c r="F16" s="74">
        <f>MAX(IF(ISERROR(VLOOKUP(E16,$A$12:$B$52,2,0)),VLOOKUP(E16,$P$11:$S$52,4,0)/1000000,(VLOOKUP(E16,$A$12:$B$52,2,0))),0)</f>
        <v>0.86260168199999998</v>
      </c>
      <c r="G16" s="128">
        <f>F16*1000000</f>
        <v>862601.68200000003</v>
      </c>
      <c r="H16" s="64"/>
      <c r="I16" s="80">
        <f>E16</f>
        <v>39417</v>
      </c>
      <c r="J16" s="210">
        <f>$M$12*$N$7</f>
        <v>41155.47</v>
      </c>
      <c r="K16" s="88">
        <f>($F$7/360)*($O$2/100)*M15</f>
        <v>25770.257321183475</v>
      </c>
      <c r="L16" s="90">
        <f>J16-K16</f>
        <v>15385.212678816526</v>
      </c>
      <c r="M16" s="79">
        <f>M15-L16</f>
        <v>940839.54877511587</v>
      </c>
      <c r="N16" s="126">
        <f>L16/M15</f>
        <v>1.6089535953266291E-2</v>
      </c>
      <c r="O16" s="52"/>
      <c r="P16" s="80">
        <f>I16</f>
        <v>39417</v>
      </c>
      <c r="Q16" s="97">
        <f ca="1">S15*N16</f>
        <v>14533.053295157879</v>
      </c>
      <c r="R16" s="98">
        <f ca="1">S15*$C$2/2</f>
        <v>22581.529600000002</v>
      </c>
      <c r="S16" s="99">
        <f ca="1">IF(P16&lt;$A$4,(VLOOKUP(P16,$A$11:$B$52,2,0)*$S$12),(S15-(Q16+R16)))</f>
        <v>862601.68200000003</v>
      </c>
      <c r="U16" s="80">
        <f>P16</f>
        <v>39417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41426</v>
      </c>
      <c r="B17" s="50">
        <v>0.37801791000000001</v>
      </c>
      <c r="C17" s="52"/>
      <c r="D17" s="70" t="str">
        <f ca="1">IF(E17&lt;$A$4,"Actual","Model Num")</f>
        <v>Actual</v>
      </c>
      <c r="E17" s="71">
        <f>DATE(YEAR(E16),MONTH(E16)+6,DAY(E16))</f>
        <v>39600</v>
      </c>
      <c r="F17" s="74">
        <f>MAX(IF(ISERROR(VLOOKUP(E17,$A$12:$B$52,2,0)),VLOOKUP(E17,$P$11:$S$52,4,0)/1000000,(VLOOKUP(E17,$A$12:$B$52,2,0))),0)</f>
        <v>0.82068902799999999</v>
      </c>
      <c r="G17" s="128">
        <f>F17*1000000</f>
        <v>820689.02799999993</v>
      </c>
      <c r="H17" s="64"/>
      <c r="I17" s="80">
        <f>E17</f>
        <v>39600</v>
      </c>
      <c r="J17" s="210">
        <f>$M$12*$N$7</f>
        <v>41155.47</v>
      </c>
      <c r="K17" s="88">
        <f>($F$7/360)*($O$2/100)*M16</f>
        <v>25355.62583948937</v>
      </c>
      <c r="L17" s="90">
        <f>J17-K17</f>
        <v>15799.844160510631</v>
      </c>
      <c r="M17" s="79">
        <f>M16-L17</f>
        <v>925039.70461460529</v>
      </c>
      <c r="N17" s="126">
        <f>L17/M16</f>
        <v>1.6793346092944895E-2</v>
      </c>
      <c r="O17" s="52"/>
      <c r="P17" s="80">
        <f>I17</f>
        <v>39600</v>
      </c>
      <c r="Q17" s="97">
        <f ca="1">S16*N17</f>
        <v>14485.968586182396</v>
      </c>
      <c r="R17" s="98">
        <f ca="1">S16*$C$2/2</f>
        <v>21565.042050000004</v>
      </c>
      <c r="S17" s="99">
        <f ca="1">IF(P17&lt;$A$4,(VLOOKUP(P17,$A$11:$B$52,2,0)*$S$12),(S16-(Q17+R17)))</f>
        <v>820689.02799999993</v>
      </c>
      <c r="U17" s="80">
        <f>P17</f>
        <v>39600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41244</v>
      </c>
      <c r="B18" s="50">
        <v>0.44673788599999997</v>
      </c>
      <c r="C18" s="52"/>
      <c r="D18" s="70" t="str">
        <f ca="1">IF(E18&lt;$A$4,"Actual","Model Num")</f>
        <v>Actual</v>
      </c>
      <c r="E18" s="71">
        <f>DATE(YEAR(E17),MONTH(E17)+6,DAY(E17))</f>
        <v>39783</v>
      </c>
      <c r="F18" s="74">
        <f>MAX(IF(ISERROR(VLOOKUP(E18,$A$12:$B$52,2,0)),VLOOKUP(E18,$P$11:$S$52,4,0)/1000000,(VLOOKUP(E18,$A$12:$B$52,2,0))),0)</f>
        <v>0.78747889900000001</v>
      </c>
      <c r="G18" s="128">
        <f>F18*1000000</f>
        <v>787478.89899999998</v>
      </c>
      <c r="H18" s="64"/>
      <c r="I18" s="80">
        <f>E18</f>
        <v>39783</v>
      </c>
      <c r="J18" s="210">
        <f>$M$12*$N$7</f>
        <v>41155.47</v>
      </c>
      <c r="K18" s="88">
        <f>($F$7/360)*($O$2/100)*M17</f>
        <v>24929.820039363611</v>
      </c>
      <c r="L18" s="90">
        <f>J18-K18</f>
        <v>16225.64996063639</v>
      </c>
      <c r="M18" s="79">
        <f>M17-L18</f>
        <v>908814.05465396889</v>
      </c>
      <c r="N18" s="126">
        <f>L18/M17</f>
        <v>1.7540490294301912E-2</v>
      </c>
      <c r="O18" s="52"/>
      <c r="P18" s="80">
        <f>I18</f>
        <v>39783</v>
      </c>
      <c r="Q18" s="97">
        <f ca="1">S17*N18</f>
        <v>14395.287930274069</v>
      </c>
      <c r="R18" s="98">
        <f ca="1">S17*$C$2/2</f>
        <v>20517.225699999999</v>
      </c>
      <c r="S18" s="99">
        <f ca="1">IF(P18&lt;$A$4,(VLOOKUP(P18,$A$11:$B$52,2,0)*$S$12),(S17-(Q18+R18)))</f>
        <v>787478.89899999998</v>
      </c>
      <c r="U18" s="80">
        <f>P18</f>
        <v>39783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41061</v>
      </c>
      <c r="B19" s="50">
        <v>0.495975002</v>
      </c>
      <c r="C19" s="52"/>
      <c r="D19" s="70" t="str">
        <f ca="1">IF(E19&lt;$A$4,"Actual","Model Num")</f>
        <v>Actual</v>
      </c>
      <c r="E19" s="71">
        <f>DATE(YEAR(E18),MONTH(E18)+6,DAY(E18))</f>
        <v>39965</v>
      </c>
      <c r="F19" s="74">
        <f>MAX(IF(ISERROR(VLOOKUP(E19,$A$12:$B$52,2,0)),VLOOKUP(E19,$P$11:$S$52,4,0)/1000000,(VLOOKUP(E19,$A$12:$B$52,2,0))),0)</f>
        <v>0.74346980900000004</v>
      </c>
      <c r="G19" s="128">
        <f>F19*1000000</f>
        <v>743469.80900000001</v>
      </c>
      <c r="H19" s="64"/>
      <c r="I19" s="80">
        <f>E19</f>
        <v>39965</v>
      </c>
      <c r="J19" s="210">
        <f>$M$12*$N$7</f>
        <v>41155.47</v>
      </c>
      <c r="K19" s="88">
        <f>($F$7/360)*($O$2/100)*M18</f>
        <v>24492.538772924461</v>
      </c>
      <c r="L19" s="90">
        <f>J19-K19</f>
        <v>16662.93122707554</v>
      </c>
      <c r="M19" s="79">
        <f>M18-L19</f>
        <v>892151.12342689338</v>
      </c>
      <c r="N19" s="126">
        <f>L19/M18</f>
        <v>1.8334808030032013E-2</v>
      </c>
      <c r="O19" s="52"/>
      <c r="P19" s="80">
        <f>I19</f>
        <v>39965</v>
      </c>
      <c r="Q19" s="97">
        <f ca="1">S18*N19</f>
        <v>14438.274440865967</v>
      </c>
      <c r="R19" s="98">
        <f ca="1">S18*$C$2/2</f>
        <v>19686.972475000002</v>
      </c>
      <c r="S19" s="99">
        <f ca="1">IF(P19&lt;$A$4,(VLOOKUP(P19,$A$11:$B$52,2,0)*$S$12),(S18-(Q19+R19)))</f>
        <v>743469.80900000001</v>
      </c>
      <c r="U19" s="80">
        <f>P19</f>
        <v>39965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40878</v>
      </c>
      <c r="B20" s="50">
        <v>0.53754152099999997</v>
      </c>
      <c r="C20" s="52"/>
      <c r="D20" s="70" t="str">
        <f ca="1">IF(E20&lt;$A$4,"Actual","Model Num")</f>
        <v>Actual</v>
      </c>
      <c r="E20" s="71">
        <f>DATE(YEAR(E19),MONTH(E19)+6,DAY(E19))</f>
        <v>40148</v>
      </c>
      <c r="F20" s="74">
        <f>MAX(IF(ISERROR(VLOOKUP(E20,$A$12:$B$52,2,0)),VLOOKUP(E20,$P$11:$S$52,4,0)/1000000,(VLOOKUP(E20,$A$12:$B$52,2,0))),0)</f>
        <v>0.71100591899999999</v>
      </c>
      <c r="G20" s="128">
        <f>F20*1000000</f>
        <v>711005.91899999999</v>
      </c>
      <c r="H20" s="64"/>
      <c r="I20" s="80">
        <f>E20</f>
        <v>40148</v>
      </c>
      <c r="J20" s="210">
        <f>$M$12*$N$7</f>
        <v>41155.47</v>
      </c>
      <c r="K20" s="88">
        <f>($F$7/360)*($O$2/100)*M19</f>
        <v>24043.472776354774</v>
      </c>
      <c r="L20" s="90">
        <f>J20-K20</f>
        <v>17111.997223645227</v>
      </c>
      <c r="M20" s="79">
        <f>M19-L20</f>
        <v>875039.12620324816</v>
      </c>
      <c r="N20" s="126">
        <f>L20/M19</f>
        <v>1.9180603794921362E-2</v>
      </c>
      <c r="O20" s="52"/>
      <c r="P20" s="80">
        <f>I20</f>
        <v>40148</v>
      </c>
      <c r="Q20" s="97">
        <f ca="1">S19*N20</f>
        <v>14260.19983991486</v>
      </c>
      <c r="R20" s="98">
        <f ca="1">S19*$C$2/2</f>
        <v>18586.745225000002</v>
      </c>
      <c r="S20" s="99">
        <f ca="1">IF(P20&lt;$A$4,(VLOOKUP(P20,$A$11:$B$52,2,0)*$S$12),(S19-(Q20+R20)))</f>
        <v>711005.91899999999</v>
      </c>
      <c r="U20" s="80">
        <f>P20</f>
        <v>40148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40695</v>
      </c>
      <c r="B21" s="50">
        <v>0.57195126399999996</v>
      </c>
      <c r="C21" s="52"/>
      <c r="D21" s="70" t="str">
        <f ca="1">IF(E21&lt;$A$4,"Actual","Model Num")</f>
        <v>Actual</v>
      </c>
      <c r="E21" s="71">
        <f>DATE(YEAR(E20),MONTH(E20)+6,DAY(E20))</f>
        <v>40330</v>
      </c>
      <c r="F21" s="74">
        <f>MAX(IF(ISERROR(VLOOKUP(E21,$A$12:$B$52,2,0)),VLOOKUP(E21,$P$11:$S$52,4,0)/1000000,(VLOOKUP(E21,$A$12:$B$52,2,0))),0)</f>
        <v>0.66513269200000003</v>
      </c>
      <c r="G21" s="128">
        <f>F21*1000000</f>
        <v>665132.69200000004</v>
      </c>
      <c r="H21" s="64"/>
      <c r="I21" s="80">
        <f>E21</f>
        <v>40330</v>
      </c>
      <c r="J21" s="210">
        <f>$M$12*$N$7</f>
        <v>41155.47</v>
      </c>
      <c r="K21" s="88">
        <f>($F$7/360)*($O$2/100)*M20</f>
        <v>23582.304451177537</v>
      </c>
      <c r="L21" s="90">
        <f>J21-K21</f>
        <v>17573.165548822464</v>
      </c>
      <c r="M21" s="79">
        <f>M20-L21</f>
        <v>857465.96065442567</v>
      </c>
      <c r="N21" s="126">
        <f>L21/M20</f>
        <v>2.008271975799707E-2</v>
      </c>
      <c r="O21" s="52"/>
      <c r="P21" s="80">
        <f>I21</f>
        <v>40330</v>
      </c>
      <c r="Q21" s="97">
        <f ca="1">S20*N21</f>
        <v>14278.932617554165</v>
      </c>
      <c r="R21" s="98">
        <f ca="1">S20*$C$2/2</f>
        <v>17775.147975</v>
      </c>
      <c r="S21" s="99">
        <f ca="1">IF(P21&lt;$A$4,(VLOOKUP(P21,$A$11:$B$52,2,0)*$S$12),(S20-(Q21+R21)))</f>
        <v>665132.69200000004</v>
      </c>
      <c r="U21" s="80">
        <f>P21</f>
        <v>40330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40513</v>
      </c>
      <c r="B22" s="50">
        <v>0.61736659000000005</v>
      </c>
      <c r="C22" s="52"/>
      <c r="D22" s="70" t="str">
        <f ca="1">IF(E22&lt;$A$4,"Actual","Model Num")</f>
        <v>Actual</v>
      </c>
      <c r="E22" s="71">
        <f>DATE(YEAR(E21),MONTH(E21)+6,DAY(E21))</f>
        <v>40513</v>
      </c>
      <c r="F22" s="74">
        <f>MAX(IF(ISERROR(VLOOKUP(E22,$A$12:$B$52,2,0)),VLOOKUP(E22,$P$11:$S$52,4,0)/1000000,(VLOOKUP(E22,$A$12:$B$52,2,0))),0)</f>
        <v>0.61736659000000005</v>
      </c>
      <c r="G22" s="128">
        <f>F22*1000000</f>
        <v>617366.59000000008</v>
      </c>
      <c r="H22" s="64"/>
      <c r="I22" s="80">
        <f>E22</f>
        <v>40513</v>
      </c>
      <c r="J22" s="210">
        <f>$M$12*$N$7</f>
        <v>41155.47</v>
      </c>
      <c r="K22" s="88">
        <f>($F$7/360)*($O$2/100)*M21</f>
        <v>23108.70763963677</v>
      </c>
      <c r="L22" s="90">
        <f>J22-K22</f>
        <v>18046.762360363231</v>
      </c>
      <c r="M22" s="79">
        <f>M21-L22</f>
        <v>839419.1982940624</v>
      </c>
      <c r="N22" s="126">
        <f>L22/M21</f>
        <v>2.1046622476523478E-2</v>
      </c>
      <c r="O22" s="52"/>
      <c r="P22" s="80">
        <f>I22</f>
        <v>40513</v>
      </c>
      <c r="Q22" s="97">
        <f ca="1">S21*N22</f>
        <v>13998.796665317768</v>
      </c>
      <c r="R22" s="98">
        <f ca="1">S21*$C$2/2</f>
        <v>16628.317300000002</v>
      </c>
      <c r="S22" s="99">
        <f ca="1">IF(P22&lt;$A$4,(VLOOKUP(P22,$A$11:$B$52,2,0)*$S$12),(S21-(Q22+R22)))</f>
        <v>617366.59000000008</v>
      </c>
      <c r="U22" s="80">
        <f>P22</f>
        <v>40513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40330</v>
      </c>
      <c r="B23" s="50">
        <v>0.66513269200000003</v>
      </c>
      <c r="C23" s="52"/>
      <c r="D23" s="70" t="str">
        <f ca="1">IF(E23&lt;$A$4,"Actual","Model Num")</f>
        <v>Actual</v>
      </c>
      <c r="E23" s="71">
        <f>DATE(YEAR(E22),MONTH(E22)+6,DAY(E22))</f>
        <v>40695</v>
      </c>
      <c r="F23" s="74">
        <f>MAX(IF(ISERROR(VLOOKUP(E23,$A$12:$B$52,2,0)),VLOOKUP(E23,$P$11:$S$52,4,0)/1000000,(VLOOKUP(E23,$A$12:$B$52,2,0))),0)</f>
        <v>0.57195126399999996</v>
      </c>
      <c r="G23" s="128">
        <f>F23*1000000</f>
        <v>571951.26399999997</v>
      </c>
      <c r="H23" s="64"/>
      <c r="I23" s="80">
        <f>E23</f>
        <v>40695</v>
      </c>
      <c r="J23" s="210">
        <f>$M$12*$N$7</f>
        <v>41155.47</v>
      </c>
      <c r="K23" s="88">
        <f>($F$7/360)*($O$2/100)*M22</f>
        <v>22622.347394024979</v>
      </c>
      <c r="L23" s="90">
        <f>J23-K23</f>
        <v>18533.122605975022</v>
      </c>
      <c r="M23" s="79">
        <f>M22-L23</f>
        <v>820886.07568808738</v>
      </c>
      <c r="N23" s="126">
        <f>L23/M22</f>
        <v>2.2078506952949821E-2</v>
      </c>
      <c r="O23" s="52"/>
      <c r="P23" s="80">
        <f>I23</f>
        <v>40695</v>
      </c>
      <c r="Q23" s="97">
        <f ca="1">S22*N23</f>
        <v>13630.532549833923</v>
      </c>
      <c r="R23" s="98">
        <f ca="1">S22*$C$2/2</f>
        <v>15434.164750000004</v>
      </c>
      <c r="S23" s="99">
        <f ca="1">IF(P23&lt;$A$4,(VLOOKUP(P23,$A$11:$B$52,2,0)*$S$12),(S22-(Q23+R23)))</f>
        <v>571951.26399999997</v>
      </c>
      <c r="U23" s="80">
        <f>P23</f>
        <v>40695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40148</v>
      </c>
      <c r="B24" s="50">
        <v>0.71100591899999999</v>
      </c>
      <c r="C24" s="52"/>
      <c r="D24" s="70" t="str">
        <f ca="1">IF(E24&lt;$A$4,"Actual","Model Num")</f>
        <v>Actual</v>
      </c>
      <c r="E24" s="71">
        <f>DATE(YEAR(E23),MONTH(E23)+6,DAY(E23))</f>
        <v>40878</v>
      </c>
      <c r="F24" s="74">
        <f>MAX(IF(ISERROR(VLOOKUP(E24,$A$12:$B$52,2,0)),VLOOKUP(E24,$P$11:$S$52,4,0)/1000000,(VLOOKUP(E24,$A$12:$B$52,2,0))),0)</f>
        <v>0.53754152099999997</v>
      </c>
      <c r="G24" s="128">
        <f>F24*1000000</f>
        <v>537541.52099999995</v>
      </c>
      <c r="H24" s="64"/>
      <c r="I24" s="80">
        <f>E24</f>
        <v>40878</v>
      </c>
      <c r="J24" s="210">
        <f>$M$12*$N$7</f>
        <v>41155.47</v>
      </c>
      <c r="K24" s="88">
        <f>($F$7/360)*($O$2/100)*M23</f>
        <v>22122.879739793952</v>
      </c>
      <c r="L24" s="90">
        <f>J24-K24</f>
        <v>19032.590260206049</v>
      </c>
      <c r="M24" s="79">
        <f>M23-L24</f>
        <v>801853.48542788136</v>
      </c>
      <c r="N24" s="126">
        <f>L24/M23</f>
        <v>2.3185422221046265E-2</v>
      </c>
      <c r="O24" s="52"/>
      <c r="P24" s="80">
        <f>I24</f>
        <v>40878</v>
      </c>
      <c r="Q24" s="97">
        <f ca="1">S23*N24</f>
        <v>13260.931545701098</v>
      </c>
      <c r="R24" s="98">
        <f ca="1">S23*$C$2/2</f>
        <v>14298.7816</v>
      </c>
      <c r="S24" s="99">
        <f ca="1">IF(P24&lt;$A$4,(VLOOKUP(P24,$A$11:$B$52,2,0)*$S$12),(S23-(Q24+R24)))</f>
        <v>537541.52099999995</v>
      </c>
      <c r="U24" s="80">
        <f>P24</f>
        <v>40878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39965</v>
      </c>
      <c r="B25" s="50">
        <v>0.74346980900000004</v>
      </c>
      <c r="C25" s="52"/>
      <c r="D25" s="70" t="str">
        <f ca="1">IF(E25&lt;$A$4,"Actual","Model Num")</f>
        <v>Actual</v>
      </c>
      <c r="E25" s="71">
        <f>DATE(YEAR(E24),MONTH(E24)+6,DAY(E24))</f>
        <v>41061</v>
      </c>
      <c r="F25" s="74">
        <f>MAX(IF(ISERROR(VLOOKUP(E25,$A$12:$B$52,2,0)),VLOOKUP(E25,$P$11:$S$52,4,0)/1000000,(VLOOKUP(E25,$A$12:$B$52,2,0))),0)</f>
        <v>0.495975002</v>
      </c>
      <c r="G25" s="128">
        <f>F25*1000000</f>
        <v>495975.00199999998</v>
      </c>
      <c r="H25" s="64"/>
      <c r="I25" s="80">
        <f>E25</f>
        <v>41061</v>
      </c>
      <c r="J25" s="210">
        <f>$M$12*$N$7</f>
        <v>41155.47</v>
      </c>
      <c r="K25" s="88">
        <f>($F$7/360)*($O$2/100)*M24</f>
        <v>21609.951432281403</v>
      </c>
      <c r="L25" s="90">
        <f>J25-K25</f>
        <v>19545.518567718598</v>
      </c>
      <c r="M25" s="79">
        <f>M24-L25</f>
        <v>782307.96686016279</v>
      </c>
      <c r="N25" s="126">
        <f>L25/M24</f>
        <v>2.4375423843532723E-2</v>
      </c>
      <c r="O25" s="52"/>
      <c r="P25" s="80">
        <f>I25</f>
        <v>41061</v>
      </c>
      <c r="Q25" s="97">
        <f ca="1">S24*N25</f>
        <v>13102.802407872245</v>
      </c>
      <c r="R25" s="98">
        <f ca="1">S24*$C$2/2</f>
        <v>13438.538025</v>
      </c>
      <c r="S25" s="99">
        <f ca="1">IF(P25&lt;$A$4,(VLOOKUP(P25,$A$11:$B$52,2,0)*$S$12),(S24-(Q25+R25)))</f>
        <v>495975.00199999998</v>
      </c>
      <c r="U25" s="80">
        <f>P25</f>
        <v>41061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39783</v>
      </c>
      <c r="B26" s="50">
        <v>0.78747889900000001</v>
      </c>
      <c r="C26" s="52"/>
      <c r="D26" s="70" t="str">
        <f ca="1">IF(E26&lt;$A$4,"Actual","Model Num")</f>
        <v>Actual</v>
      </c>
      <c r="E26" s="71">
        <f>DATE(YEAR(E25),MONTH(E25)+6,DAY(E25))</f>
        <v>41244</v>
      </c>
      <c r="F26" s="74">
        <f>MAX(IF(ISERROR(VLOOKUP(E26,$A$12:$B$52,2,0)),VLOOKUP(E26,$P$11:$S$52,4,0)/1000000,(VLOOKUP(E26,$A$12:$B$52,2,0))),0)</f>
        <v>0.44673788599999997</v>
      </c>
      <c r="G26" s="128">
        <f>F26*1000000</f>
        <v>446737.886</v>
      </c>
      <c r="H26" s="64"/>
      <c r="I26" s="80">
        <f>E26</f>
        <v>41244</v>
      </c>
      <c r="J26" s="210">
        <f>$M$12*$N$7</f>
        <v>41155.47</v>
      </c>
      <c r="K26" s="88">
        <f>($F$7/360)*($O$2/100)*M25</f>
        <v>21083.199706881387</v>
      </c>
      <c r="L26" s="90">
        <f>J26-K26</f>
        <v>20072.270293118614</v>
      </c>
      <c r="M26" s="79">
        <f>M25-L26</f>
        <v>762235.69656704413</v>
      </c>
      <c r="N26" s="126">
        <f>L26/M25</f>
        <v>2.5657760298261827E-2</v>
      </c>
      <c r="O26" s="52"/>
      <c r="P26" s="80">
        <f>I26</f>
        <v>41244</v>
      </c>
      <c r="Q26" s="97">
        <f ca="1">S25*N26</f>
        <v>12725.607715245929</v>
      </c>
      <c r="R26" s="98">
        <f ca="1">S25*$C$2/2</f>
        <v>12399.375050000001</v>
      </c>
      <c r="S26" s="99">
        <f ca="1">IF(P26&lt;$A$4,(VLOOKUP(P26,$A$11:$B$52,2,0)*$S$12),(S25-(Q26+R26)))</f>
        <v>446737.886</v>
      </c>
      <c r="U26" s="80">
        <f>P26</f>
        <v>41244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39600</v>
      </c>
      <c r="B27" s="50">
        <v>0.82068902799999999</v>
      </c>
      <c r="C27" s="52"/>
      <c r="D27" s="70" t="str">
        <f ca="1">IF(E27&lt;$A$4,"Actual","Model Num")</f>
        <v>Actual</v>
      </c>
      <c r="E27" s="71">
        <f>DATE(YEAR(E26),MONTH(E26)+6,DAY(E26))</f>
        <v>41426</v>
      </c>
      <c r="F27" s="74">
        <f>MAX(IF(ISERROR(VLOOKUP(E27,$A$12:$B$52,2,0)),VLOOKUP(E27,$P$11:$S$52,4,0)/1000000,(VLOOKUP(E27,$A$12:$B$52,2,0))),0)</f>
        <v>0.37801791000000001</v>
      </c>
      <c r="G27" s="128">
        <f>F27*1000000</f>
        <v>378017.91000000003</v>
      </c>
      <c r="H27" s="64"/>
      <c r="I27" s="80">
        <f>E27</f>
        <v>41426</v>
      </c>
      <c r="J27" s="210">
        <f>$M$12*$N$7</f>
        <v>41155.47</v>
      </c>
      <c r="K27" s="88">
        <f>($F$7/360)*($O$2/100)*M26</f>
        <v>20542.252022481836</v>
      </c>
      <c r="L27" s="90">
        <f>J27-K27</f>
        <v>20613.217977518165</v>
      </c>
      <c r="M27" s="79">
        <f>M26-L27</f>
        <v>741622.47858952591</v>
      </c>
      <c r="N27" s="126">
        <f>L27/M26</f>
        <v>2.704310237680542E-2</v>
      </c>
      <c r="O27" s="52"/>
      <c r="P27" s="80">
        <f>I27</f>
        <v>41426</v>
      </c>
      <c r="Q27" s="97">
        <f ca="1">S26*N27</f>
        <v>12081.178386695628</v>
      </c>
      <c r="R27" s="98">
        <f ca="1">S26*$C$2/2</f>
        <v>11168.44715</v>
      </c>
      <c r="S27" s="99">
        <f ca="1">IF(P27&lt;$A$4,(VLOOKUP(P27,$A$11:$B$52,2,0)*$S$12),(S26-(Q27+R27)))</f>
        <v>378017.91000000003</v>
      </c>
      <c r="U27" s="80">
        <f>P27</f>
        <v>41426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39417</v>
      </c>
      <c r="B28" s="50">
        <v>0.86260168199999998</v>
      </c>
      <c r="C28" s="52"/>
      <c r="D28" s="70" t="str">
        <f ca="1">IF(E28&lt;$A$4,"Actual","Model Num")</f>
        <v>Actual</v>
      </c>
      <c r="E28" s="71">
        <f>DATE(YEAR(E27),MONTH(E27)+6,DAY(E27))</f>
        <v>41609</v>
      </c>
      <c r="F28" s="74">
        <f>MAX(IF(ISERROR(VLOOKUP(E28,$A$12:$B$52,2,0)),VLOOKUP(E28,$P$11:$S$52,4,0)/1000000,(VLOOKUP(E28,$A$12:$B$52,2,0))),0)</f>
        <v>0.32694610899999998</v>
      </c>
      <c r="G28" s="128">
        <f>F28*1000000</f>
        <v>326946.109</v>
      </c>
      <c r="H28" s="64"/>
      <c r="I28" s="80">
        <f>E28</f>
        <v>41609</v>
      </c>
      <c r="J28" s="210">
        <f>$M$12*$N$7</f>
        <v>41155.47</v>
      </c>
      <c r="K28" s="88">
        <f>($F$7/360)*($O$2/100)*M27</f>
        <v>19986.725797987721</v>
      </c>
      <c r="L28" s="90">
        <f>J28-K28</f>
        <v>21168.74420201228</v>
      </c>
      <c r="M28" s="79">
        <f>M27-L28</f>
        <v>720453.7343875136</v>
      </c>
      <c r="N28" s="126">
        <f>L28/M27</f>
        <v>2.8543827638925684E-2</v>
      </c>
      <c r="O28" s="52"/>
      <c r="P28" s="80">
        <f>I28</f>
        <v>41609</v>
      </c>
      <c r="Q28" s="97">
        <f ca="1">S27*N28</f>
        <v>10790.078067466922</v>
      </c>
      <c r="R28" s="98">
        <f ca="1">S27*$C$2/2</f>
        <v>9450.4477500000012</v>
      </c>
      <c r="S28" s="99">
        <f ca="1">IF(P28&lt;$A$4,(VLOOKUP(P28,$A$11:$B$52,2,0)*$S$12),(S27-(Q28+R28)))</f>
        <v>326946.109</v>
      </c>
      <c r="U28" s="80">
        <f>P28</f>
        <v>41609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39234</v>
      </c>
      <c r="B29" s="50">
        <v>0.90326118399999999</v>
      </c>
      <c r="C29" s="52"/>
      <c r="D29" s="70" t="str">
        <f ca="1">IF(E29&lt;$A$4,"Actual","Model Num")</f>
        <v>Actual</v>
      </c>
      <c r="E29" s="71">
        <f>DATE(YEAR(E28),MONTH(E28)+6,DAY(E28))</f>
        <v>41791</v>
      </c>
      <c r="F29" s="74">
        <f>MAX(IF(ISERROR(VLOOKUP(E29,$A$12:$B$52,2,0)),VLOOKUP(E29,$P$11:$S$52,4,0)/1000000,(VLOOKUP(E29,$A$12:$B$52,2,0))),0)</f>
        <v>0.29091588400000001</v>
      </c>
      <c r="G29" s="128">
        <f>F29*1000000</f>
        <v>290915.88400000002</v>
      </c>
      <c r="H29" s="64"/>
      <c r="I29" s="80">
        <f>E29</f>
        <v>41791</v>
      </c>
      <c r="J29" s="210">
        <f>$M$12*$N$7</f>
        <v>41155.47</v>
      </c>
      <c r="K29" s="88">
        <f>($F$7/360)*($O$2/100)*M28</f>
        <v>19416.22814174349</v>
      </c>
      <c r="L29" s="90">
        <f>J29-K29</f>
        <v>21739.241858256511</v>
      </c>
      <c r="M29" s="79">
        <f>M28-L29</f>
        <v>698714.49252925708</v>
      </c>
      <c r="N29" s="126">
        <f>L29/M28</f>
        <v>3.0174375980905846E-2</v>
      </c>
      <c r="O29" s="52"/>
      <c r="P29" s="80">
        <f>I29</f>
        <v>41791</v>
      </c>
      <c r="Q29" s="97">
        <f ca="1">S28*N29</f>
        <v>9865.394818460225</v>
      </c>
      <c r="R29" s="98">
        <f ca="1">S28*$C$2/2</f>
        <v>8173.6527249999999</v>
      </c>
      <c r="S29" s="99">
        <f ca="1">IF(P29&lt;$A$4,(VLOOKUP(P29,$A$11:$B$52,2,0)*$S$12),(S28-(Q29+R29)))</f>
        <v>290915.88400000002</v>
      </c>
      <c r="U29" s="80">
        <f>P29</f>
        <v>41791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39052</v>
      </c>
      <c r="B30" s="50">
        <v>0.95420436399999997</v>
      </c>
      <c r="C30" s="52"/>
      <c r="D30" s="70" t="str">
        <f ca="1">IF(E30&lt;$A$4,"Actual","Model Num")</f>
        <v>Actual</v>
      </c>
      <c r="E30" s="71">
        <f>DATE(YEAR(E29),MONTH(E29)+6,DAY(E29))</f>
        <v>41974</v>
      </c>
      <c r="F30" s="74">
        <f>MAX(IF(ISERROR(VLOOKUP(E30,$A$12:$B$52,2,0)),VLOOKUP(E30,$P$11:$S$52,4,0)/1000000,(VLOOKUP(E30,$A$12:$B$52,2,0))),0)</f>
        <v>0.25737512899999998</v>
      </c>
      <c r="G30" s="128">
        <f>F30*1000000</f>
        <v>257375.12899999999</v>
      </c>
      <c r="H30" s="64"/>
      <c r="I30" s="80">
        <f>E30</f>
        <v>41974</v>
      </c>
      <c r="J30" s="210">
        <f>$M$12*$N$7</f>
        <v>41155.47</v>
      </c>
      <c r="K30" s="88">
        <f>($F$7/360)*($O$2/100)*M29</f>
        <v>18830.355573663477</v>
      </c>
      <c r="L30" s="90">
        <f>J30-K30</f>
        <v>22325.114426336524</v>
      </c>
      <c r="M30" s="79">
        <f>M29-L30</f>
        <v>676389.3781029206</v>
      </c>
      <c r="N30" s="126">
        <f>L30/M29</f>
        <v>3.1951697961097765E-2</v>
      </c>
      <c r="O30" s="52"/>
      <c r="P30" s="80">
        <f>I30</f>
        <v>41974</v>
      </c>
      <c r="Q30" s="97">
        <f ca="1">S29*N30</f>
        <v>9295.2564576537552</v>
      </c>
      <c r="R30" s="98">
        <f ca="1">S29*$C$2/2</f>
        <v>7272.897100000001</v>
      </c>
      <c r="S30" s="99">
        <f ca="1">IF(P30&lt;$A$4,(VLOOKUP(P30,$A$11:$B$52,2,0)*$S$12),(S29-(Q30+R30)))</f>
        <v>257375.12899999999</v>
      </c>
      <c r="U30" s="80">
        <f>P30</f>
        <v>41974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38869</v>
      </c>
      <c r="B31" s="50">
        <v>0.980981451</v>
      </c>
      <c r="C31" s="52"/>
      <c r="D31" s="70" t="str">
        <f ca="1">IF(E31&lt;$A$4,"Actual","Model Num")</f>
        <v>Actual</v>
      </c>
      <c r="E31" s="71">
        <f>DATE(YEAR(E30),MONTH(E30)+6,DAY(E30))</f>
        <v>42156</v>
      </c>
      <c r="F31" s="74">
        <f>MAX(IF(ISERROR(VLOOKUP(E31,$A$12:$B$52,2,0)),VLOOKUP(E31,$P$11:$S$52,4,0)/1000000,(VLOOKUP(E31,$A$12:$B$52,2,0))),0)</f>
        <v>0.21610991800000001</v>
      </c>
      <c r="G31" s="128">
        <f>F31*1000000</f>
        <v>216109.91800000001</v>
      </c>
      <c r="H31" s="64"/>
      <c r="I31" s="80">
        <f>E31</f>
        <v>42156</v>
      </c>
      <c r="J31" s="210">
        <f>$M$12*$N$7</f>
        <v>41155.47</v>
      </c>
      <c r="K31" s="88">
        <f>($F$7/360)*($O$2/100)*M30</f>
        <v>18228.69373987371</v>
      </c>
      <c r="L31" s="90">
        <f>J31-K31</f>
        <v>22926.776260126291</v>
      </c>
      <c r="M31" s="79">
        <f>M30-L31</f>
        <v>653462.60184279433</v>
      </c>
      <c r="N31" s="126">
        <f>L31/M30</f>
        <v>3.3895825396355814E-2</v>
      </c>
      <c r="O31" s="52"/>
      <c r="P31" s="80">
        <f>I31</f>
        <v>42156</v>
      </c>
      <c r="Q31" s="97">
        <f ca="1">S30*N31</f>
        <v>8723.942433948554</v>
      </c>
      <c r="R31" s="98">
        <f ca="1">S30*$C$2/2</f>
        <v>6434.3782250000004</v>
      </c>
      <c r="S31" s="99">
        <f ca="1">IF(P31&lt;$A$4,(VLOOKUP(P31,$A$11:$B$52,2,0)*$S$12),(S30-(Q31+R31)))</f>
        <v>216109.91800000001</v>
      </c>
      <c r="U31" s="80">
        <f>P31</f>
        <v>42156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38700</v>
      </c>
      <c r="B32" s="50">
        <v>1</v>
      </c>
      <c r="C32" s="52"/>
      <c r="D32" s="70" t="str">
        <f ca="1">IF(E32&lt;$A$4,"Actual","Model Num")</f>
        <v>Actual</v>
      </c>
      <c r="E32" s="71">
        <f>DATE(YEAR(E31),MONTH(E31)+6,DAY(E31))</f>
        <v>42339</v>
      </c>
      <c r="F32" s="74">
        <f>MAX(IF(ISERROR(VLOOKUP(E32,$A$12:$B$52,2,0)),VLOOKUP(E32,$P$11:$S$52,4,0)/1000000,(VLOOKUP(E32,$A$12:$B$52,2,0))),0)</f>
        <v>0.174755893</v>
      </c>
      <c r="G32" s="128">
        <f>F32*1000000</f>
        <v>174755.89299999998</v>
      </c>
      <c r="H32" s="64"/>
      <c r="I32" s="80">
        <f>E32</f>
        <v>42339</v>
      </c>
      <c r="J32" s="210">
        <f>$M$12*$N$7</f>
        <v>41155.47</v>
      </c>
      <c r="K32" s="88">
        <f>($F$7/360)*($O$2/100)*M31</f>
        <v>17610.817119663305</v>
      </c>
      <c r="L32" s="90">
        <f>J32-K32</f>
        <v>23544.652880336696</v>
      </c>
      <c r="M32" s="79">
        <f>M31-L32</f>
        <v>629917.94896245759</v>
      </c>
      <c r="N32" s="126">
        <f>L32/M31</f>
        <v>3.603060498632929E-2</v>
      </c>
      <c r="O32" s="52"/>
      <c r="P32" s="80">
        <f>I32</f>
        <v>42339</v>
      </c>
      <c r="Q32" s="97">
        <f ca="1">S31*N32</f>
        <v>7786.5710890860146</v>
      </c>
      <c r="R32" s="98">
        <f ca="1">S31*$C$2/2</f>
        <v>5402.7479500000009</v>
      </c>
      <c r="S32" s="99">
        <f ca="1">IF(P32&lt;$A$4,(VLOOKUP(P32,$A$11:$B$52,2,0)*$S$12),(S31-(Q32+R32)))</f>
        <v>174755.89299999998</v>
      </c>
      <c r="U32" s="80">
        <f>P32</f>
        <v>42339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50"/>
      <c r="B33" s="50"/>
      <c r="C33" s="52"/>
      <c r="D33" s="70" t="str">
        <f ca="1">IF(E33&lt;$A$4,"Actual","Model Num")</f>
        <v>Model Num</v>
      </c>
      <c r="E33" s="71">
        <f>DATE(YEAR(E32),MONTH(E32)+6,DAY(E32))</f>
        <v>42522</v>
      </c>
      <c r="F33" s="74">
        <f ca="1">MAX(IF(ISERROR(VLOOKUP(E33,$A$12:$B$52,2,0)),VLOOKUP(E33,$P$11:$S$52,4,0)/1000000,(VLOOKUP(E33,$A$12:$B$52,2,0))),0)</f>
        <v>0.16367905153281134</v>
      </c>
      <c r="G33" s="128">
        <f ca="1">F33*1000000</f>
        <v>163679.05153281134</v>
      </c>
      <c r="H33" s="64"/>
      <c r="I33" s="80">
        <f>E33</f>
        <v>42522</v>
      </c>
      <c r="J33" s="210">
        <f>$M$12*$N$7</f>
        <v>41155.47</v>
      </c>
      <c r="K33" s="88">
        <f>($F$7/360)*($O$2/100)*M32</f>
        <v>16976.28872453823</v>
      </c>
      <c r="L33" s="90">
        <f>J33-K33</f>
        <v>24179.181275461771</v>
      </c>
      <c r="M33" s="79">
        <f>M32-L33</f>
        <v>605738.76768699579</v>
      </c>
      <c r="N33" s="126">
        <f>L33/M32</f>
        <v>3.8384652025374853E-2</v>
      </c>
      <c r="O33" s="52"/>
      <c r="P33" s="80">
        <f>I33</f>
        <v>42522</v>
      </c>
      <c r="Q33" s="97">
        <f ca="1">S32*N33</f>
        <v>6707.9441421886404</v>
      </c>
      <c r="R33" s="98">
        <f ca="1">S32*$C$2/2</f>
        <v>4368.8973249999999</v>
      </c>
      <c r="S33" s="99">
        <f ca="1">IF(P33&lt;$A$4,(VLOOKUP(P33,$A$11:$B$52,2,0)*$S$12),(S32-(Q33+R33)))</f>
        <v>163679.05153281134</v>
      </c>
      <c r="U33" s="80">
        <f>P33</f>
        <v>42522</v>
      </c>
      <c r="V33" s="97">
        <f ca="1">IF(U33&lt;$A$4,0,(YEARFRAC($A$4,U33,1)))</f>
        <v>0.14754098360655737</v>
      </c>
      <c r="W33" s="141">
        <f ca="1">V33*(S32-S33)</f>
        <v>1634.2880853229144</v>
      </c>
    </row>
    <row r="34" spans="1:23">
      <c r="A34" s="50"/>
      <c r="B34" s="50"/>
      <c r="C34" s="52"/>
      <c r="D34" s="70" t="str">
        <f ca="1">IF(E34&lt;$A$4,"Actual","Model Num")</f>
        <v>Model Num</v>
      </c>
      <c r="E34" s="71">
        <f>DATE(YEAR(E33),MONTH(E33)+6,DAY(E33))</f>
        <v>42705</v>
      </c>
      <c r="F34" s="74">
        <f ca="1">MAX(IF(ISERROR(VLOOKUP(E34,$A$12:$B$52,2,0)),VLOOKUP(E34,$P$11:$S$52,4,0)/1000000,(VLOOKUP(E34,$A$12:$B$52,2,0))),0)</f>
        <v>0.15287744449125365</v>
      </c>
      <c r="G34" s="128">
        <f ca="1">F34*1000000</f>
        <v>152877.44449125364</v>
      </c>
      <c r="H34" s="64"/>
      <c r="I34" s="80">
        <f>E34</f>
        <v>42705</v>
      </c>
      <c r="J34" s="210">
        <f>$M$12*$N$7</f>
        <v>41155.47</v>
      </c>
      <c r="K34" s="88">
        <f>($F$7/360)*($O$2/100)*M33</f>
        <v>16324.659789164536</v>
      </c>
      <c r="L34" s="90">
        <f>J34-K34</f>
        <v>24830.810210835465</v>
      </c>
      <c r="M34" s="79">
        <f>M33-L34</f>
        <v>580907.95747616037</v>
      </c>
      <c r="N34" s="126">
        <f>L34/M33</f>
        <v>4.0992605287014289E-2</v>
      </c>
      <c r="O34" s="52"/>
      <c r="P34" s="80">
        <f>I34</f>
        <v>42705</v>
      </c>
      <c r="Q34" s="97">
        <f ca="1">S33*N34</f>
        <v>6709.6307532374067</v>
      </c>
      <c r="R34" s="98">
        <f ca="1">S33*$C$2/2</f>
        <v>4091.9762883202839</v>
      </c>
      <c r="S34" s="99">
        <f ca="1">IF(P34&lt;$A$4,(VLOOKUP(P34,$A$11:$B$52,2,0)*$S$12),(S33-(Q34+R34)))</f>
        <v>152877.44449125364</v>
      </c>
      <c r="U34" s="80">
        <f>P34</f>
        <v>42705</v>
      </c>
      <c r="V34" s="97">
        <f ca="1">IF(U34&lt;$A$4,0,(YEARFRAC($A$4,U34,1)))</f>
        <v>0.64754098360655743</v>
      </c>
      <c r="W34" s="141">
        <f ca="1">V34*(S33-S34)</f>
        <v>6994.4832482217889</v>
      </c>
    </row>
    <row r="35" spans="1:23">
      <c r="A35" s="31"/>
      <c r="B35" s="31"/>
      <c r="D35" s="70" t="str">
        <f ca="1">IF(E35&lt;$A$4,"Actual","Model Num")</f>
        <v>Model Num</v>
      </c>
      <c r="E35" s="71">
        <f>DATE(YEAR(E34),MONTH(E34)+6,DAY(E34))</f>
        <v>42887</v>
      </c>
      <c r="F35" s="74">
        <f ca="1">MAX(IF(ISERROR(VLOOKUP(E35,$A$12:$B$52,2,0)),VLOOKUP(E35,$P$11:$S$52,4,0)/1000000,(VLOOKUP(E35,$A$12:$B$52,2,0))),0)</f>
        <v>0.14234467774250145</v>
      </c>
      <c r="G35" s="128">
        <f ca="1">F35*1000000</f>
        <v>142344.67774250146</v>
      </c>
      <c r="I35" s="80">
        <f>E35</f>
        <v>42887</v>
      </c>
      <c r="J35" s="210">
        <f>$M$12*$N$7</f>
        <v>41155.47</v>
      </c>
      <c r="K35" s="88">
        <f>($F$7/360)*($O$2/100)*M34</f>
        <v>15655.469453982521</v>
      </c>
      <c r="L35" s="90">
        <f>J35-K35</f>
        <v>25500.00054601748</v>
      </c>
      <c r="M35" s="79">
        <f>M34-L35</f>
        <v>555407.95693014294</v>
      </c>
      <c r="N35" s="126">
        <f>L35/M34</f>
        <v>4.3896800203608782E-2</v>
      </c>
      <c r="O35" s="52"/>
      <c r="P35" s="80">
        <f>I35</f>
        <v>42887</v>
      </c>
      <c r="Q35" s="97">
        <f ca="1">S34*N35</f>
        <v>6710.8306364708533</v>
      </c>
      <c r="R35" s="98">
        <f ca="1">S34*$C$2/2</f>
        <v>3821.9361122813411</v>
      </c>
      <c r="S35" s="99">
        <f ca="1">IF(P35&lt;$A$4,(VLOOKUP(P35,$A$11:$B$52,2,0)*$S$12),(S34-(Q35+R35)))</f>
        <v>142344.67774250146</v>
      </c>
      <c r="U35" s="80">
        <f>P35</f>
        <v>42887</v>
      </c>
      <c r="V35" s="97">
        <f ca="1">IF(U35&lt;$A$4,0,(YEARFRAC($A$4,U35,1)))</f>
        <v>1.146374829001368</v>
      </c>
      <c r="W35" s="141">
        <f ca="1">V35*(S34-S35)</f>
        <v>12074.498680512079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43070</v>
      </c>
      <c r="F36" s="74">
        <f ca="1">MAX(IF(ISERROR(VLOOKUP(E36,$A$12:$B$52,2,0)),VLOOKUP(E36,$P$11:$S$52,4,0)/1000000,(VLOOKUP(E36,$A$12:$B$52,2,0))),0)</f>
        <v>0.13207457577806167</v>
      </c>
      <c r="G36" s="128">
        <f ca="1">F36*1000000</f>
        <v>132074.57577806167</v>
      </c>
      <c r="I36" s="80">
        <f>E36</f>
        <v>43070</v>
      </c>
      <c r="J36" s="210">
        <f>$M$12*$N$7</f>
        <v>41155.47</v>
      </c>
      <c r="K36" s="88">
        <f>($F$7/360)*($O$2/100)*M35</f>
        <v>14968.244439267351</v>
      </c>
      <c r="L36" s="90">
        <f>J36-K36</f>
        <v>26187.225560732652</v>
      </c>
      <c r="M36" s="79">
        <f>M35-L36</f>
        <v>529220.73136941029</v>
      </c>
      <c r="N36" s="126">
        <f>L36/M35</f>
        <v>4.7149532580474676E-2</v>
      </c>
      <c r="O36" s="52"/>
      <c r="P36" s="80">
        <f>I36</f>
        <v>43070</v>
      </c>
      <c r="Q36" s="97">
        <f ca="1">S35*N36</f>
        <v>6711.4850208772414</v>
      </c>
      <c r="R36" s="98">
        <f ca="1">S35*$C$2/2</f>
        <v>3558.6169435625366</v>
      </c>
      <c r="S36" s="99">
        <f ca="1">IF(P36&lt;$A$4,(VLOOKUP(P36,$A$11:$B$52,2,0)*$S$12),(S35-(Q36+R36)))</f>
        <v>132074.57577806167</v>
      </c>
      <c r="U36" s="80">
        <f>P36</f>
        <v>43070</v>
      </c>
      <c r="V36" s="97">
        <f ca="1">IF(U36&lt;$A$4,0,(YEARFRAC($A$4,U36,1)))</f>
        <v>1.6470588235294117</v>
      </c>
      <c r="W36" s="141">
        <f ca="1">V36*(S35-S36)</f>
        <v>16915.462059077297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43252</v>
      </c>
      <c r="F37" s="74">
        <f ca="1">MAX(IF(ISERROR(VLOOKUP(E37,$A$12:$B$52,2,0)),VLOOKUP(E37,$P$11:$S$52,4,0)/1000000,(VLOOKUP(E37,$A$12:$B$52,2,0))),0)</f>
        <v>0.12206118712927122</v>
      </c>
      <c r="G37" s="128">
        <f ca="1">F37*1000000</f>
        <v>122061.18712927122</v>
      </c>
      <c r="I37" s="80">
        <f>E37</f>
        <v>43252</v>
      </c>
      <c r="J37" s="210">
        <f>$M$12*$N$7</f>
        <v>41155.47</v>
      </c>
      <c r="K37" s="88">
        <f>($F$7/360)*($O$2/100)*M36</f>
        <v>14262.498710405607</v>
      </c>
      <c r="L37" s="90">
        <f>J37-K37</f>
        <v>26892.971289594396</v>
      </c>
      <c r="M37" s="79">
        <f>M36-L37</f>
        <v>502327.76007981587</v>
      </c>
      <c r="N37" s="126">
        <f>L37/M36</f>
        <v>5.081617120328262E-2</v>
      </c>
      <c r="O37" s="52"/>
      <c r="P37" s="80">
        <f>I37</f>
        <v>43252</v>
      </c>
      <c r="Q37" s="97">
        <f ca="1">S36*N37</f>
        <v>6711.5242543389058</v>
      </c>
      <c r="R37" s="98">
        <f ca="1">S36*$C$2/2</f>
        <v>3301.864394451542</v>
      </c>
      <c r="S37" s="99">
        <f ca="1">IF(P37&lt;$A$4,(VLOOKUP(P37,$A$11:$B$52,2,0)*$S$12),(S36-(Q37+R37)))</f>
        <v>122061.18712927122</v>
      </c>
      <c r="U37" s="80">
        <f>P37</f>
        <v>43252</v>
      </c>
      <c r="V37" s="97">
        <f ca="1">IF(U37&lt;$A$4,0,(YEARFRAC($A$4,U37,1)))</f>
        <v>2.1459854014598543</v>
      </c>
      <c r="W37" s="141">
        <f ca="1">V37*(S36-S37)</f>
        <v>21488.585859448129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43435</v>
      </c>
      <c r="F38" s="74">
        <f ca="1">MAX(IF(ISERROR(VLOOKUP(E38,$A$12:$B$52,2,0)),VLOOKUP(E38,$P$11:$S$52,4,0)/1000000,(VLOOKUP(E38,$A$12:$B$52,2,0))),0)</f>
        <v>0.11229879252266334</v>
      </c>
      <c r="G38" s="128">
        <f ca="1">F38*1000000</f>
        <v>112298.79252266334</v>
      </c>
      <c r="I38" s="80">
        <f>E38</f>
        <v>43435</v>
      </c>
      <c r="J38" s="210">
        <f>$M$12*$N$7</f>
        <v>41155.47</v>
      </c>
      <c r="K38" s="88">
        <f>($F$7/360)*($O$2/100)*M37</f>
        <v>13537.733134151036</v>
      </c>
      <c r="L38" s="90">
        <f>J38-K38</f>
        <v>27617.736865848965</v>
      </c>
      <c r="M38" s="79">
        <f>M37-L38</f>
        <v>474710.02321396692</v>
      </c>
      <c r="N38" s="126">
        <f>L38/M37</f>
        <v>5.4979515488972237E-2</v>
      </c>
      <c r="O38" s="52"/>
      <c r="P38" s="80">
        <f>I38</f>
        <v>43435</v>
      </c>
      <c r="Q38" s="97">
        <f ca="1">S37*N38</f>
        <v>6710.8649283761051</v>
      </c>
      <c r="R38" s="98">
        <f ca="1">S37*$C$2/2</f>
        <v>3051.5296782317805</v>
      </c>
      <c r="S38" s="99">
        <f ca="1">IF(P38&lt;$A$4,(VLOOKUP(P38,$A$11:$B$52,2,0)*$S$12),(S37-(Q38+R38)))</f>
        <v>112298.79252266334</v>
      </c>
      <c r="U38" s="80">
        <f>P38</f>
        <v>43435</v>
      </c>
      <c r="V38" s="97">
        <f ca="1">IF(U38&lt;$A$4,0,(YEARFRAC($A$4,U38,1)))</f>
        <v>2.6468978102189782</v>
      </c>
      <c r="W38" s="141">
        <f ca="1">V38*(S37-S38)</f>
        <v>25840.060906723957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43617</v>
      </c>
      <c r="F39" s="74">
        <f ca="1">MAX(IF(ISERROR(VLOOKUP(E39,$A$12:$B$52,2,0)),VLOOKUP(E39,$P$11:$S$52,4,0)/1000000,(VLOOKUP(E39,$A$12:$B$52,2,0))),0)</f>
        <v>0.10278191672672927</v>
      </c>
      <c r="G39" s="128">
        <f ca="1">F39*1000000</f>
        <v>102781.91672672928</v>
      </c>
      <c r="I39" s="80">
        <f>E39</f>
        <v>43617</v>
      </c>
      <c r="J39" s="210">
        <f>$M$12*$N$7</f>
        <v>41155.47</v>
      </c>
      <c r="K39" s="88">
        <f>($F$7/360)*($O$2/100)*M38</f>
        <v>12793.435125616408</v>
      </c>
      <c r="L39" s="90">
        <f>J39-K39</f>
        <v>28362.034874383593</v>
      </c>
      <c r="M39" s="79">
        <f>M38-L39</f>
        <v>446347.98833958333</v>
      </c>
      <c r="N39" s="126">
        <f>L39/M38</f>
        <v>5.9746020701989519E-2</v>
      </c>
      <c r="O39" s="52"/>
      <c r="P39" s="80">
        <f>I39</f>
        <v>43617</v>
      </c>
      <c r="Q39" s="97">
        <f ca="1">S38*N39</f>
        <v>6709.4059828674699</v>
      </c>
      <c r="R39" s="98">
        <f ca="1">S38*$C$2/2</f>
        <v>2807.4698130665838</v>
      </c>
      <c r="S39" s="99">
        <f ca="1">IF(P39&lt;$A$4,(VLOOKUP(P39,$A$11:$B$52,2,0)*$S$12),(S38-(Q39+R39)))</f>
        <v>102781.91672672928</v>
      </c>
      <c r="U39" s="80">
        <f>P39</f>
        <v>43617</v>
      </c>
      <c r="V39" s="97">
        <f ca="1">IF(U39&lt;$A$4,0,(YEARFRAC($A$4,U39,1)))</f>
        <v>3.1457905544147846</v>
      </c>
      <c r="W39" s="141">
        <f ca="1">V39*(S38-S39)</f>
        <v>29938.097986388046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43800</v>
      </c>
      <c r="F40" s="74">
        <f ca="1">MAX(IF(ISERROR(VLOOKUP(E40,$A$12:$B$52,2,0)),VLOOKUP(E40,$P$11:$S$52,4,0)/1000000,(VLOOKUP(E40,$A$12:$B$52,2,0))),0)</f>
        <v>9.3505345486107172E-2</v>
      </c>
      <c r="G40" s="128">
        <f ca="1">F40*1000000</f>
        <v>93505.345486107166</v>
      </c>
      <c r="I40" s="80">
        <f>E40</f>
        <v>43800</v>
      </c>
      <c r="J40" s="210">
        <f>$M$12*$N$7</f>
        <v>41155.47</v>
      </c>
      <c r="K40" s="88">
        <f>($F$7/360)*($O$2/100)*M39</f>
        <v>12029.07828575177</v>
      </c>
      <c r="L40" s="90">
        <f>J40-K40</f>
        <v>29126.391714248231</v>
      </c>
      <c r="M40" s="79">
        <f>M39-L40</f>
        <v>417221.59662533511</v>
      </c>
      <c r="N40" s="126">
        <f>L40/M39</f>
        <v>6.5254896348023325E-2</v>
      </c>
      <c r="O40" s="52"/>
      <c r="P40" s="80">
        <f>I40</f>
        <v>43800</v>
      </c>
      <c r="Q40" s="97">
        <f ca="1">S39*N40</f>
        <v>6707.0233224538842</v>
      </c>
      <c r="R40" s="98">
        <f ca="1">S39*$C$2/2</f>
        <v>2569.5479181682322</v>
      </c>
      <c r="S40" s="99">
        <f ca="1">IF(P40&lt;$A$4,(VLOOKUP(P40,$A$11:$B$52,2,0)*$S$12),(S39-(Q40+R40)))</f>
        <v>93505.345486107166</v>
      </c>
      <c r="U40" s="80">
        <f>P40</f>
        <v>43800</v>
      </c>
      <c r="V40" s="97">
        <f ca="1">IF(U40&lt;$A$4,0,(YEARFRAC($A$4,U40,1)))</f>
        <v>3.6468172484599588</v>
      </c>
      <c r="W40" s="141">
        <f ca="1">V40*(S39-S40)</f>
        <v>33829.960006868321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43983</v>
      </c>
      <c r="F41" s="74">
        <f ca="1">MAX(IF(ISERROR(VLOOKUP(E41,$A$12:$B$52,2,0)),VLOOKUP(E41,$P$11:$S$52,4,0)/1000000,(VLOOKUP(E41,$A$12:$B$52,2,0))),0)</f>
        <v>8.4464149644598654E-2</v>
      </c>
      <c r="G41" s="128">
        <f ca="1">F41*1000000</f>
        <v>84464.149644598656</v>
      </c>
      <c r="I41" s="80">
        <f>E41</f>
        <v>43983</v>
      </c>
      <c r="J41" s="210">
        <f>$M$12*$N$7</f>
        <v>41155.47</v>
      </c>
      <c r="K41" s="88">
        <f>($F$7/360)*($O$2/100)*M40</f>
        <v>11244.12202905278</v>
      </c>
      <c r="L41" s="90">
        <f>J41-K41</f>
        <v>29911.347970947223</v>
      </c>
      <c r="M41" s="79">
        <f>M40-L41</f>
        <v>387310.24865438789</v>
      </c>
      <c r="N41" s="126">
        <f>L41/M40</f>
        <v>7.1691753765583732E-2</v>
      </c>
      <c r="O41" s="52"/>
      <c r="P41" s="80">
        <f>I41</f>
        <v>43983</v>
      </c>
      <c r="Q41" s="97">
        <f ca="1">S40*N41</f>
        <v>6703.5622043558315</v>
      </c>
      <c r="R41" s="98">
        <f ca="1">S40*$C$2/2</f>
        <v>2337.6336371526791</v>
      </c>
      <c r="S41" s="99">
        <f ca="1">IF(P41&lt;$A$4,(VLOOKUP(P41,$A$11:$B$52,2,0)*$S$12),(S40-(Q41+R41)))</f>
        <v>84464.149644598656</v>
      </c>
      <c r="U41" s="80">
        <f>P41</f>
        <v>43983</v>
      </c>
      <c r="V41" s="97">
        <f ca="1">IF(U41&lt;$A$4,0,(YEARFRAC($A$4,U41,1)))</f>
        <v>4.1461412151067325</v>
      </c>
      <c r="W41" s="141">
        <f ca="1">V41*(S40-S41)</f>
        <v>37486.074712330032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44166</v>
      </c>
      <c r="F42" s="74">
        <f ca="1">MAX(IF(ISERROR(VLOOKUP(E42,$A$12:$B$52,2,0)),VLOOKUP(E42,$P$11:$S$52,4,0)/1000000,(VLOOKUP(E42,$A$12:$B$52,2,0))),0)</f>
        <v>7.5653719715189846E-2</v>
      </c>
      <c r="G42" s="128">
        <f ca="1">F42*1000000</f>
        <v>75653.719715189844</v>
      </c>
      <c r="I42" s="80">
        <f>E42</f>
        <v>44166</v>
      </c>
      <c r="J42" s="210">
        <f>$M$12*$N$7</f>
        <v>41155.47</v>
      </c>
      <c r="K42" s="88">
        <f>($F$7/360)*($O$2/100)*M41</f>
        <v>10438.011201235753</v>
      </c>
      <c r="L42" s="90">
        <f>J42-K42</f>
        <v>30717.458798764248</v>
      </c>
      <c r="M42" s="79">
        <f>M41-L42</f>
        <v>356592.78985562362</v>
      </c>
      <c r="N42" s="126">
        <f>L42/M41</f>
        <v>7.9309697859750256E-2</v>
      </c>
      <c r="O42" s="52"/>
      <c r="P42" s="80">
        <f>I42</f>
        <v>44166</v>
      </c>
      <c r="Q42" s="97">
        <f ca="1">S41*N42</f>
        <v>6698.8261882938514</v>
      </c>
      <c r="R42" s="98">
        <f ca="1">S41*$C$2/2</f>
        <v>2111.6037411149664</v>
      </c>
      <c r="S42" s="99">
        <f ca="1">IF(P42&lt;$A$4,(VLOOKUP(P42,$A$11:$B$52,2,0)*$S$12),(S41-(Q42+R42)))</f>
        <v>75653.719715189844</v>
      </c>
      <c r="U42" s="80">
        <f>P42</f>
        <v>44166</v>
      </c>
      <c r="V42" s="97">
        <f ca="1">IF(U42&lt;$A$4,0,(YEARFRAC($A$4,U42,1)))</f>
        <v>4.6469622331691296</v>
      </c>
      <c r="W42" s="141">
        <f ca="1">V42*(S41-S42)</f>
        <v>40941.735139945711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44348</v>
      </c>
      <c r="F43" s="74">
        <f ca="1">MAX(IF(ISERROR(VLOOKUP(E43,$A$12:$B$52,2,0)),VLOOKUP(E43,$P$11:$S$52,4,0)/1000000,(VLOOKUP(E43,$A$12:$B$52,2,0))),0)</f>
        <v>6.706981612599322E-2</v>
      </c>
      <c r="G43" s="128">
        <f ca="1">F43*1000000</f>
        <v>67069.816125993224</v>
      </c>
      <c r="I43" s="80">
        <f>E43</f>
        <v>44348</v>
      </c>
      <c r="J43" s="210">
        <f>$M$12*$N$7</f>
        <v>41155.47</v>
      </c>
      <c r="K43" s="88">
        <f>($F$7/360)*($O$2/100)*M42</f>
        <v>9610.1756866090564</v>
      </c>
      <c r="L43" s="90">
        <f>J43-K43</f>
        <v>31545.294313390943</v>
      </c>
      <c r="M43" s="79">
        <f>M42-L43</f>
        <v>325047.49554223265</v>
      </c>
      <c r="N43" s="126">
        <f>L43/M42</f>
        <v>8.8463073878086329E-2</v>
      </c>
      <c r="O43" s="52"/>
      <c r="P43" s="80">
        <f>I43</f>
        <v>44348</v>
      </c>
      <c r="Q43" s="97">
        <f ca="1">S42*N43</f>
        <v>6692.5605963168755</v>
      </c>
      <c r="R43" s="98">
        <f ca="1">S42*$C$2/2</f>
        <v>1891.3429928797461</v>
      </c>
      <c r="S43" s="99">
        <f ca="1">IF(P43&lt;$A$4,(VLOOKUP(P43,$A$11:$B$52,2,0)*$S$12),(S42-(Q43+R43)))</f>
        <v>67069.816125993224</v>
      </c>
      <c r="U43" s="80">
        <f>P43</f>
        <v>44348</v>
      </c>
      <c r="V43" s="97">
        <f ca="1">IF(U43&lt;$A$4,0,(YEARFRAC($A$4,U43,1)))</f>
        <v>5.1459854014598543</v>
      </c>
      <c r="W43" s="141">
        <f ca="1">V43*(S42-S43)</f>
        <v>44172.642557544648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44531</v>
      </c>
      <c r="F44" s="74">
        <f ca="1">MAX(IF(ISERROR(VLOOKUP(E44,$A$12:$B$52,2,0)),VLOOKUP(E44,$P$11:$S$52,4,0)/1000000,(VLOOKUP(E44,$A$12:$B$52,2,0))),0)</f>
        <v>5.8708643881867549E-2</v>
      </c>
      <c r="G44" s="128">
        <f ca="1">F44*1000000</f>
        <v>58708.643881867552</v>
      </c>
      <c r="I44" s="80">
        <f>E44</f>
        <v>44531</v>
      </c>
      <c r="J44" s="210">
        <f>$M$12*$N$7</f>
        <v>41155.47</v>
      </c>
      <c r="K44" s="88">
        <f>($F$7/360)*($O$2/100)*M43</f>
        <v>8760.0300048631689</v>
      </c>
      <c r="L44" s="90">
        <f>J44-K44</f>
        <v>32395.439995136832</v>
      </c>
      <c r="M44" s="79">
        <f>M43-L44</f>
        <v>292652.05554709584</v>
      </c>
      <c r="N44" s="126">
        <f>L44/M43</f>
        <v>9.9663712040284805E-2</v>
      </c>
      <c r="O44" s="52"/>
      <c r="P44" s="80">
        <f>I44</f>
        <v>44531</v>
      </c>
      <c r="Q44" s="97">
        <f ca="1">S43*N44</f>
        <v>6684.4268409758388</v>
      </c>
      <c r="R44" s="98">
        <f ca="1">S43*$C$2/2</f>
        <v>1676.7454031498307</v>
      </c>
      <c r="S44" s="99">
        <f ca="1">IF(P44&lt;$A$4,(VLOOKUP(P44,$A$11:$B$52,2,0)*$S$12),(S43-(Q44+R44)))</f>
        <v>58708.643881867552</v>
      </c>
      <c r="U44" s="80">
        <f>P44</f>
        <v>44531</v>
      </c>
      <c r="V44" s="97">
        <f ca="1">IF(U44&lt;$A$4,0,(YEARFRAC($A$4,U44,1)))</f>
        <v>5.6468978102189782</v>
      </c>
      <c r="W44" s="141">
        <f ca="1">V44*(S43-S44)</f>
        <v>47214.685236216952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44713</v>
      </c>
      <c r="F45" s="74">
        <f ca="1">MAX(IF(ISERROR(VLOOKUP(E45,$A$12:$B$52,2,0)),VLOOKUP(E45,$P$11:$S$52,4,0)/1000000,(VLOOKUP(E45,$A$12:$B$52,2,0))),0)</f>
        <v>5.0566966977492821E-2</v>
      </c>
      <c r="G45" s="128">
        <f ca="1">F45*1000000</f>
        <v>50566.966977492819</v>
      </c>
      <c r="I45" s="80">
        <f>E45</f>
        <v>44713</v>
      </c>
      <c r="J45" s="210">
        <f>$M$12*$N$7</f>
        <v>41155.47</v>
      </c>
      <c r="K45" s="88">
        <f>($F$7/360)*($O$2/100)*M44</f>
        <v>7886.9728969942325</v>
      </c>
      <c r="L45" s="90">
        <f>J45-K45</f>
        <v>33268.497103005771</v>
      </c>
      <c r="M45" s="79">
        <f>M44-L45</f>
        <v>259383.55844409007</v>
      </c>
      <c r="N45" s="126">
        <f>L45/M44</f>
        <v>0.11367935564577625</v>
      </c>
      <c r="O45" s="52"/>
      <c r="P45" s="80">
        <f>I45</f>
        <v>44713</v>
      </c>
      <c r="Q45" s="97">
        <f ca="1">S44*N45</f>
        <v>6673.9608073280469</v>
      </c>
      <c r="R45" s="98">
        <f ca="1">S44*$C$2/2</f>
        <v>1467.7160970466889</v>
      </c>
      <c r="S45" s="99">
        <f ca="1">IF(P45&lt;$A$4,(VLOOKUP(P45,$A$11:$B$52,2,0)*$S$12),(S44-(Q45+R45)))</f>
        <v>50566.966977492819</v>
      </c>
      <c r="U45" s="80">
        <f>P45</f>
        <v>44713</v>
      </c>
      <c r="V45" s="97">
        <f ca="1">IF(U45&lt;$A$4,0,(YEARFRAC($A$4,U45,1)))</f>
        <v>6.1458740711771611</v>
      </c>
      <c r="W45" s="141">
        <f ca="1">V45*(S44-S45)</f>
        <v>50037.720982498613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44896</v>
      </c>
      <c r="F46" s="74">
        <f ca="1">MAX(IF(ISERROR(VLOOKUP(E46,$A$12:$B$52,2,0)),VLOOKUP(E46,$P$11:$S$52,4,0)/1000000,(VLOOKUP(E46,$A$12:$B$52,2,0))),0)</f>
        <v>4.2642291114896508E-2</v>
      </c>
      <c r="G46" s="128">
        <f ca="1">F46*1000000</f>
        <v>42642.291114896507</v>
      </c>
      <c r="I46" s="80">
        <f>E46</f>
        <v>44896</v>
      </c>
      <c r="J46" s="210">
        <f>$M$12*$N$7</f>
        <v>41155.47</v>
      </c>
      <c r="K46" s="88">
        <f>($F$7/360)*($O$2/100)*M45</f>
        <v>6990.3869000682271</v>
      </c>
      <c r="L46" s="90">
        <f>J46-K46</f>
        <v>34165.083099931777</v>
      </c>
      <c r="M46" s="79">
        <f>M45-L46</f>
        <v>225218.4753441583</v>
      </c>
      <c r="N46" s="126">
        <f>L46/M45</f>
        <v>0.13171645614267427</v>
      </c>
      <c r="O46" s="52"/>
      <c r="P46" s="80">
        <f>I46</f>
        <v>44896</v>
      </c>
      <c r="Q46" s="97">
        <f ca="1">S45*N46</f>
        <v>6660.5016881589909</v>
      </c>
      <c r="R46" s="98">
        <f ca="1">S45*$C$2/2</f>
        <v>1264.1741744373205</v>
      </c>
      <c r="S46" s="99">
        <f ca="1">IF(P46&lt;$A$4,(VLOOKUP(P46,$A$11:$B$52,2,0)*$S$12),(S45-(Q46+R46)))</f>
        <v>42642.291114896507</v>
      </c>
      <c r="U46" s="80">
        <f>P46</f>
        <v>44896</v>
      </c>
      <c r="V46" s="97">
        <f ca="1">IF(U46&lt;$A$4,0,(YEARFRAC($A$4,U46,1)))</f>
        <v>6.6468517794290189</v>
      </c>
      <c r="W46" s="141">
        <f ca="1">V46*(S45-S46)</f>
        <v>52674.145858696495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45078</v>
      </c>
      <c r="F47" s="74">
        <f ca="1">MAX(IF(ISERROR(VLOOKUP(E47,$A$12:$B$52,2,0)),VLOOKUP(E47,$P$11:$S$52,4,0)/1000000,(VLOOKUP(E47,$A$12:$B$52,2,0))),0)</f>
        <v>3.4933171967070915E-2</v>
      </c>
      <c r="G47" s="128">
        <f ca="1">F47*1000000</f>
        <v>34933.171967070914</v>
      </c>
      <c r="I47" s="80">
        <f>E47</f>
        <v>45078</v>
      </c>
      <c r="J47" s="210">
        <f>$M$12*$N$7</f>
        <v>41155.47</v>
      </c>
      <c r="K47" s="88">
        <f>($F$7/360)*($O$2/100)*M46</f>
        <v>6069.6379105250662</v>
      </c>
      <c r="L47" s="90">
        <f>J47-K47</f>
        <v>35085.832089474934</v>
      </c>
      <c r="M47" s="79">
        <f>M46-L47</f>
        <v>190132.64325468335</v>
      </c>
      <c r="N47" s="126">
        <f>L47/M46</f>
        <v>0.15578576329432997</v>
      </c>
      <c r="O47" s="52"/>
      <c r="P47" s="80">
        <f>I47</f>
        <v>45078</v>
      </c>
      <c r="Q47" s="97">
        <f ca="1">S46*N47</f>
        <v>6643.0618699531769</v>
      </c>
      <c r="R47" s="98">
        <f ca="1">S46*$C$2/2</f>
        <v>1066.0572778724127</v>
      </c>
      <c r="S47" s="99">
        <f ca="1">IF(P47&lt;$A$4,(VLOOKUP(P47,$A$11:$B$52,2,0)*$S$12),(S46-(Q47+R47)))</f>
        <v>34933.171967070914</v>
      </c>
      <c r="U47" s="80">
        <f>P47</f>
        <v>45078</v>
      </c>
      <c r="V47" s="97">
        <f ca="1">IF(U47&lt;$A$4,0,(YEARFRAC($A$4,U47,1)))</f>
        <v>7.1457905544147842</v>
      </c>
      <c r="W47" s="141">
        <f ca="1">V47*(S46-S47)</f>
        <v>55087.750789390273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45261</v>
      </c>
      <c r="F48" s="74">
        <f ca="1">MAX(IF(ISERROR(VLOOKUP(E48,$A$12:$B$52,2,0)),VLOOKUP(E48,$P$11:$S$52,4,0)/1000000,(VLOOKUP(E48,$A$12:$B$52,2,0))),0)</f>
        <v>2.7439775195867273E-2</v>
      </c>
      <c r="G48" s="128">
        <f ca="1">F48*1000000</f>
        <v>27439.775195867274</v>
      </c>
      <c r="I48" s="80">
        <f>E48</f>
        <v>45261</v>
      </c>
      <c r="J48" s="210">
        <f>$M$12*$N$7</f>
        <v>41155.47</v>
      </c>
      <c r="K48" s="88">
        <f>($F$7/360)*($O$2/100)*M47</f>
        <v>5124.0747357137161</v>
      </c>
      <c r="L48" s="90">
        <f>J48-K48</f>
        <v>36031.395264286286</v>
      </c>
      <c r="M48" s="79">
        <f>M47-L48</f>
        <v>154101.24799039707</v>
      </c>
      <c r="N48" s="126">
        <f>L48/M47</f>
        <v>0.18950662362602355</v>
      </c>
      <c r="O48" s="52"/>
      <c r="P48" s="80">
        <f>I48</f>
        <v>45261</v>
      </c>
      <c r="Q48" s="97">
        <f ca="1">S47*N48</f>
        <v>6620.0674720268644</v>
      </c>
      <c r="R48" s="98">
        <f ca="1">S47*$C$2/2</f>
        <v>873.32929917677291</v>
      </c>
      <c r="S48" s="99">
        <f ca="1">IF(P48&lt;$A$4,(VLOOKUP(P48,$A$11:$B$52,2,0)*$S$12),(S47-(Q48+R48)))</f>
        <v>27439.775195867274</v>
      </c>
      <c r="U48" s="80">
        <f>P48</f>
        <v>45261</v>
      </c>
      <c r="V48" s="97">
        <f ca="1">IF(U48&lt;$A$4,0,(YEARFRAC($A$4,U48,1)))</f>
        <v>7.6468172484599588</v>
      </c>
      <c r="W48" s="141">
        <f ca="1">V48*(S47-S48)</f>
        <v>57300.635679594154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45444</v>
      </c>
      <c r="F49" s="74">
        <f ca="1">MAX(IF(ISERROR(VLOOKUP(E49,$A$12:$B$52,2,0)),VLOOKUP(E49,$P$11:$S$52,4,0)/1000000,(VLOOKUP(E49,$A$12:$B$52,2,0))),0)</f>
        <v>2.0165004371651019E-2</v>
      </c>
      <c r="G49" s="128">
        <f ca="1">F49*1000000</f>
        <v>20165.004371651019</v>
      </c>
      <c r="I49" s="80">
        <f>E49</f>
        <v>45444</v>
      </c>
      <c r="J49" s="210">
        <f>$M$12*$N$7</f>
        <v>41155.47</v>
      </c>
      <c r="K49" s="88">
        <f>($F$7/360)*($O$2/100)*M48</f>
        <v>4153.0286333412005</v>
      </c>
      <c r="L49" s="90">
        <f>J49-K49</f>
        <v>37002.441366658801</v>
      </c>
      <c r="M49" s="79">
        <f>M48-L49</f>
        <v>117098.80662373826</v>
      </c>
      <c r="N49" s="126">
        <f>L49/M48</f>
        <v>0.24011772681402707</v>
      </c>
      <c r="O49" s="52"/>
      <c r="P49" s="80">
        <f>I49</f>
        <v>45444</v>
      </c>
      <c r="Q49" s="97">
        <f ca="1">S48*N49</f>
        <v>6588.7764443195747</v>
      </c>
      <c r="R49" s="98">
        <f ca="1">S48*$C$2/2</f>
        <v>685.99437989668195</v>
      </c>
      <c r="S49" s="99">
        <f ca="1">IF(P49&lt;$A$4,(VLOOKUP(P49,$A$11:$B$52,2,0)*$S$12),(S48-(Q49+R49)))</f>
        <v>20165.004371651019</v>
      </c>
      <c r="U49" s="80">
        <f>P49</f>
        <v>45444</v>
      </c>
      <c r="V49" s="97">
        <f ca="1">IF(U49&lt;$A$4,0,(YEARFRAC($A$4,U49,1)))</f>
        <v>8.1459854014598552</v>
      </c>
      <c r="W49" s="141">
        <f ca="1">V49*(S48-S49)</f>
        <v>59260.176933031697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45627</v>
      </c>
      <c r="F50" s="74">
        <f ca="1">MAX(IF(ISERROR(VLOOKUP(E50,$A$12:$B$52,2,0)),VLOOKUP(E50,$P$11:$S$52,4,0)/1000000,(VLOOKUP(E50,$A$12:$B$52,2,0))),0)</f>
        <v>1.3117146880484605E-2</v>
      </c>
      <c r="G50" s="128">
        <f ca="1">F50*1000000</f>
        <v>13117.146880484604</v>
      </c>
      <c r="I50" s="80">
        <f>E50</f>
        <v>45627</v>
      </c>
      <c r="J50" s="210">
        <f>$M$12*$N$7</f>
        <v>41155.47</v>
      </c>
      <c r="K50" s="88">
        <f>($F$7/360)*($O$2/100)*M49</f>
        <v>3155.8128385097457</v>
      </c>
      <c r="L50" s="90">
        <f>J50-K50</f>
        <v>37999.657161490257</v>
      </c>
      <c r="M50" s="79">
        <f>M49-L50</f>
        <v>79099.149462247995</v>
      </c>
      <c r="N50" s="126">
        <f>L50/M49</f>
        <v>0.32450934605670839</v>
      </c>
      <c r="O50" s="52"/>
      <c r="P50" s="80">
        <f>I50</f>
        <v>45627</v>
      </c>
      <c r="Q50" s="97">
        <f ca="1">S49*N50</f>
        <v>6543.7323818751383</v>
      </c>
      <c r="R50" s="98">
        <f ca="1">S49*$C$2/2</f>
        <v>504.12510929127552</v>
      </c>
      <c r="S50" s="99">
        <f ca="1">IF(P50&lt;$A$4,(VLOOKUP(P50,$A$11:$B$52,2,0)*$S$12),(S49-(Q50+R50)))</f>
        <v>13117.146880484604</v>
      </c>
      <c r="U50" s="80">
        <f>P50</f>
        <v>45627</v>
      </c>
      <c r="V50" s="97">
        <f ca="1">IF(U50&lt;$A$4,0,(YEARFRAC($A$4,U50,1)))</f>
        <v>8.6468978102189791</v>
      </c>
      <c r="W50" s="141">
        <f ca="1">V50*(S49-S50)</f>
        <v>60942.1035071023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45809</v>
      </c>
      <c r="F51" s="74">
        <f ca="1">MAX(IF(ISERROR(VLOOKUP(E51,$A$12:$B$52,2,0)),VLOOKUP(E51,$P$11:$S$52,4,0)/1000000,(VLOOKUP(E51,$A$12:$B$52,2,0))),0)</f>
        <v>6.3178435249294273E-3</v>
      </c>
      <c r="G51" s="128">
        <f ca="1">F51*1000000</f>
        <v>6317.8435249294271</v>
      </c>
      <c r="I51" s="80">
        <f>E51</f>
        <v>45809</v>
      </c>
      <c r="J51" s="210">
        <f>$M$12*$N$7</f>
        <v>41155.47</v>
      </c>
      <c r="K51" s="88">
        <f>($F$7/360)*($O$2/100)*M50</f>
        <v>2131.7220780075831</v>
      </c>
      <c r="L51" s="90">
        <f>J51-K51</f>
        <v>39023.747921992421</v>
      </c>
      <c r="M51" s="79">
        <f>M50-L51</f>
        <v>40075.401540255574</v>
      </c>
      <c r="N51" s="126">
        <f>L51/M50</f>
        <v>0.49335230767073496</v>
      </c>
      <c r="O51" s="52"/>
      <c r="P51" s="80">
        <f>I51</f>
        <v>45809</v>
      </c>
      <c r="Q51" s="97">
        <f ca="1">S50*N51</f>
        <v>6471.374683543062</v>
      </c>
      <c r="R51" s="98">
        <f ca="1">S50*$C$2/2</f>
        <v>327.92867201211516</v>
      </c>
      <c r="S51" s="99">
        <f ca="1">IF(P51&lt;$A$4,(VLOOKUP(P51,$A$11:$B$52,2,0)*$S$12),(S50-(Q51+R51)))</f>
        <v>6317.8435249294271</v>
      </c>
      <c r="U51" s="80">
        <f>P51</f>
        <v>45809</v>
      </c>
      <c r="V51" s="97">
        <f ca="1">IF(U51&lt;$A$4,0,(YEARFRAC($A$4,U51,1)))</f>
        <v>9.1459074733096077</v>
      </c>
      <c r="W51" s="141">
        <f ca="1">V51*(S50-S51)</f>
        <v>62185.799372871188</v>
      </c>
    </row>
    <row r="52" spans="1:23" s="82" customFormat="1" ht="13.5" thickBot="1">
      <c r="A52" s="81"/>
      <c r="B52" s="81"/>
      <c r="D52" s="70" t="str">
        <f ca="1">IF(E52&lt;$A$4,"Actual","Model Num")</f>
        <v>Model Num</v>
      </c>
      <c r="E52" s="71">
        <f>DATE(YEAR(E51),MONTH(E51)+6,DAY(E51))</f>
        <v>45992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45992</v>
      </c>
      <c r="J52" s="211">
        <f>$M$12*$N$7</f>
        <v>41155.47</v>
      </c>
      <c r="K52" s="89">
        <f>($F$7/360)*($O$2/100)*M51</f>
        <v>1080.0320715098876</v>
      </c>
      <c r="L52" s="91">
        <f>J52-K52</f>
        <v>40075.437928490115</v>
      </c>
      <c r="M52" s="85">
        <f>M51-L52</f>
        <v>-3.6388234540936537E-2</v>
      </c>
      <c r="N52" s="127">
        <f>L52/M51</f>
        <v>1.0000009079942593</v>
      </c>
      <c r="O52" s="86"/>
      <c r="P52" s="84">
        <f>I52</f>
        <v>45992</v>
      </c>
      <c r="Q52" s="100">
        <f ca="1">S51*N52</f>
        <v>6317.8492614950792</v>
      </c>
      <c r="R52" s="98">
        <f ca="1">S51*$C$2/2</f>
        <v>157.94608812323568</v>
      </c>
      <c r="S52" s="102">
        <v>0</v>
      </c>
      <c r="U52" s="142">
        <f>P52</f>
        <v>45992</v>
      </c>
      <c r="V52" s="143">
        <f ca="1">IF(U52&lt;$A$4,0,(YEARFRAC($A$4,U52,1)))</f>
        <v>9.6468655899260884</v>
      </c>
      <c r="W52" s="141">
        <f ca="1">V52*(S51-S52)</f>
        <v>60947.387303179035</v>
      </c>
    </row>
    <row r="53" spans="1:23">
      <c r="A53" s="31"/>
      <c r="B53" s="31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19" priority="1" stopIfTrue="1">
      <formula>$D1="Actual"</formula>
    </cfRule>
  </conditionalFormatting>
  <conditionalFormatting sqref="A4">
    <cfRule type="expression" dxfId="18" priority="2" stopIfTrue="1">
      <formula>#REF!="Actual"</formula>
    </cfRule>
  </conditionalFormatting>
  <conditionalFormatting sqref="C6:C9">
    <cfRule type="cellIs" dxfId="17" priority="3" stopIfTrue="1" operator="equal">
      <formula>"PROB!!"</formula>
    </cfRule>
  </conditionalFormatting>
  <conditionalFormatting sqref="A7">
    <cfRule type="expression" dxfId="16" priority="4" stopIfTrue="1">
      <formula>A7="Warning - Update"</formula>
    </cfRule>
  </conditionalFormatting>
  <pageMargins left="0.75" right="0.75" top="1" bottom="1" header="0.5" footer="0.5"/>
  <headerFooter alignWithMargins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indexed="40"/>
  </sheetPr>
  <dimension ref="A1:W53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129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24</v>
      </c>
      <c r="B2" s="67" t="str">
        <f>MID(A2,3,9)</f>
        <v>83162CQB2</v>
      </c>
      <c r="C2" s="131">
        <v>0.05</v>
      </c>
      <c r="D2" s="67">
        <f>IF(ISERROR(VLOOKUP(A2,'Bond Position per Summit'!$C$42:$E$56,3,0)),0,VLOOKUP(A2,'Bond Position per Summit'!$C$42:$E$56,3,0))</f>
        <v>0</v>
      </c>
      <c r="E2" s="67">
        <f>IF(ISERROR(VLOOKUP(A2,'Bond Position per Summit'!$C$65:$E$73,3,0)),0,VLOOKUP(A2,'Bond Position per Summit'!$C$65:$E$73,3,0))</f>
        <v>26607626.399999999</v>
      </c>
      <c r="F2" s="67" t="str">
        <f>_xll.BDP($B2&amp;" Mtge Cusip",F$1)</f>
        <v>SBAP 2006-20B 1</v>
      </c>
      <c r="G2" s="67">
        <f>VLOOKUP(A2,'Bond Position per Summit'!$C$10:$D$32,2,0)</f>
        <v>40000000</v>
      </c>
      <c r="H2" s="67">
        <f>VLOOKUP(A2,'Bond Position per Summit'!$C$10:$E$32,3,0)</f>
        <v>26607626.399999999</v>
      </c>
      <c r="I2" s="67" t="str">
        <f>_xll.BDP($B2&amp;" Mtge Cusip",I$1)</f>
        <v>15/02/2006</v>
      </c>
      <c r="J2" s="67" t="str">
        <f>_xll.BDP($B2&amp;" Mtge Cusip",J$1)</f>
        <v>15/02/2006</v>
      </c>
      <c r="K2" s="67" t="str">
        <f>_xll.BDP($B2&amp;" Mtge Cusip",K$1)</f>
        <v>01/08/2006</v>
      </c>
      <c r="L2" s="67" t="str">
        <f>_xll.BDP($B2&amp;" Mtge Cusip",L$1)</f>
        <v>01/02/2026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5.35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40000000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0.18280988700200002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166</v>
      </c>
      <c r="I6" s="108" t="s">
        <v>81</v>
      </c>
      <c r="J6" s="118">
        <v>38939</v>
      </c>
      <c r="K6" s="113">
        <f>ROUND(J6/J5,8)</f>
        <v>3.8939000000000001E-2</v>
      </c>
      <c r="L6" s="108" t="s">
        <v>81</v>
      </c>
      <c r="M6" s="112">
        <v>1557544</v>
      </c>
      <c r="N6" s="134">
        <f>ROUND(M6/M5,8)</f>
        <v>3.8938599999999997E-2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41019</v>
      </c>
      <c r="K7" s="115">
        <f>ROUND(J7/J5,8)</f>
        <v>4.1019E-2</v>
      </c>
      <c r="L7" s="109" t="s">
        <v>82</v>
      </c>
      <c r="M7" s="114">
        <v>1640766</v>
      </c>
      <c r="N7" s="133">
        <f>ROUND(M7/M5,8)</f>
        <v>4.1019149999999997E-2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4.6120293612870586</v>
      </c>
    </row>
    <row r="12" spans="1:23">
      <c r="A12" s="49">
        <f>_xll.BDS($B2&amp;" Mtge Cusip",A11,"cols=2;rows=21")</f>
        <v>42401</v>
      </c>
      <c r="B12" s="50">
        <v>0.182809887</v>
      </c>
      <c r="C12" s="52"/>
      <c r="D12" s="70" t="str">
        <f ca="1">IF(E12&lt;$A$4,"Actual","Model Num")</f>
        <v>Actual</v>
      </c>
      <c r="E12" s="71">
        <v>38763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38763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38763</v>
      </c>
      <c r="Q12" s="94"/>
      <c r="R12" s="95"/>
      <c r="S12" s="96">
        <f>M12</f>
        <v>1000000</v>
      </c>
      <c r="U12" s="139">
        <f>P12</f>
        <v>38763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42217</v>
      </c>
      <c r="B13" s="50">
        <v>0.227387124</v>
      </c>
      <c r="C13" s="52"/>
      <c r="D13" s="70" t="str">
        <f ca="1">IF(E13&lt;$A$4,"Actual","Model Num")</f>
        <v>Actual</v>
      </c>
      <c r="E13" s="71">
        <v>38930</v>
      </c>
      <c r="F13" s="74">
        <f>MAX(IF(ISERROR(VLOOKUP(E13,$A$12:$B$52,2,0)),VLOOKUP(E13,$P$11:$S$52,4,0)/1000000,(VLOOKUP(E13,$A$12:$B$52,2,0))),0)</f>
        <v>0.98373340399999998</v>
      </c>
      <c r="G13" s="128">
        <f>F13*1000000</f>
        <v>983733.40399999998</v>
      </c>
      <c r="H13" s="64"/>
      <c r="I13" s="80">
        <f>E13</f>
        <v>38930</v>
      </c>
      <c r="J13" s="125">
        <f>$M$12*$N$6</f>
        <v>38938.6</v>
      </c>
      <c r="K13" s="88">
        <f>($F$6/360)*($O$2/100)*M12</f>
        <v>24669.444444444445</v>
      </c>
      <c r="L13" s="90">
        <f>J13-K13</f>
        <v>14269.155555555553</v>
      </c>
      <c r="M13" s="79">
        <f>M12-L13</f>
        <v>985730.8444444444</v>
      </c>
      <c r="N13" s="126">
        <f>L13/M12</f>
        <v>1.4269155555555553E-2</v>
      </c>
      <c r="O13" s="52"/>
      <c r="P13" s="80">
        <f>I13</f>
        <v>38930</v>
      </c>
      <c r="Q13" s="97">
        <f>S12*N13</f>
        <v>14269.155555555553</v>
      </c>
      <c r="R13" s="98">
        <f>S12*$C$2/2</f>
        <v>25000</v>
      </c>
      <c r="S13" s="99">
        <f ca="1">IF(P13&lt;$A$4,(VLOOKUP(P13,$A$11:$B$52,2,0)*$S$12),(S12-(Q13+R13)))</f>
        <v>983733.40399999998</v>
      </c>
      <c r="U13" s="80">
        <f>P13</f>
        <v>38930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42036</v>
      </c>
      <c r="B14" s="50">
        <v>0.26189392</v>
      </c>
      <c r="C14" s="52"/>
      <c r="D14" s="70" t="str">
        <f ca="1">IF(E14&lt;$A$4,"Actual","Model Num")</f>
        <v>Actual</v>
      </c>
      <c r="E14" s="71">
        <f>DATE(YEAR(E13),MONTH(E13)+6,DAY(E13))</f>
        <v>39114</v>
      </c>
      <c r="F14" s="74">
        <f>MAX(IF(ISERROR(VLOOKUP(E14,$A$12:$B$52,2,0)),VLOOKUP(E14,$P$11:$S$52,4,0)/1000000,(VLOOKUP(E14,$A$12:$B$52,2,0))),0)</f>
        <v>0.96226374299999995</v>
      </c>
      <c r="G14" s="128">
        <f>F14*1000000</f>
        <v>962263.7429999999</v>
      </c>
      <c r="H14" s="64"/>
      <c r="I14" s="80">
        <f>E14</f>
        <v>39114</v>
      </c>
      <c r="J14" s="210">
        <f>$M$12*$N$7</f>
        <v>41019.149999999994</v>
      </c>
      <c r="K14" s="88">
        <f>($F$7/360)*($O$2/100)*M13</f>
        <v>26368.300088888886</v>
      </c>
      <c r="L14" s="90">
        <f>J14-K14</f>
        <v>14650.849911111109</v>
      </c>
      <c r="M14" s="79">
        <f>M13-L14</f>
        <v>971079.99453333335</v>
      </c>
      <c r="N14" s="126">
        <f>L14/M13</f>
        <v>1.4862931391142876E-2</v>
      </c>
      <c r="O14" s="52"/>
      <c r="P14" s="80">
        <f>I14</f>
        <v>39114</v>
      </c>
      <c r="Q14" s="97">
        <f ca="1">S13*N14</f>
        <v>14621.162090827436</v>
      </c>
      <c r="R14" s="98">
        <f ca="1">S13*$C$2/2</f>
        <v>24593.3351</v>
      </c>
      <c r="S14" s="99">
        <f ca="1">IF(P14&lt;$A$4,(VLOOKUP(P14,$A$11:$B$52,2,0)*$S$12),(S13-(Q14+R14)))</f>
        <v>962263.7429999999</v>
      </c>
      <c r="U14" s="80">
        <f>P14</f>
        <v>39114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41852</v>
      </c>
      <c r="B15" s="50">
        <v>0.31454469899999998</v>
      </c>
      <c r="C15" s="52"/>
      <c r="D15" s="70" t="str">
        <f ca="1">IF(E15&lt;$A$4,"Actual","Model Num")</f>
        <v>Actual</v>
      </c>
      <c r="E15" s="71">
        <f>DATE(YEAR(E14),MONTH(E14)+6,DAY(E14))</f>
        <v>39295</v>
      </c>
      <c r="F15" s="74">
        <f>MAX(IF(ISERROR(VLOOKUP(E15,$A$12:$B$52,2,0)),VLOOKUP(E15,$P$11:$S$52,4,0)/1000000,(VLOOKUP(E15,$A$12:$B$52,2,0))),0)</f>
        <v>0.93200140600000003</v>
      </c>
      <c r="G15" s="128">
        <f>F15*1000000</f>
        <v>932001.40600000008</v>
      </c>
      <c r="H15" s="64"/>
      <c r="I15" s="80">
        <f>E15</f>
        <v>39295</v>
      </c>
      <c r="J15" s="210">
        <f>$M$12*$N$7</f>
        <v>41019.149999999994</v>
      </c>
      <c r="K15" s="88">
        <f>($F$7/360)*($O$2/100)*M14</f>
        <v>25976.389853766668</v>
      </c>
      <c r="L15" s="90">
        <f>J15-K15</f>
        <v>15042.760146233326</v>
      </c>
      <c r="M15" s="79">
        <f>M14-L15</f>
        <v>956037.23438709998</v>
      </c>
      <c r="N15" s="126">
        <f>L15/M14</f>
        <v>1.5490752801948457E-2</v>
      </c>
      <c r="O15" s="52"/>
      <c r="P15" s="80">
        <f>I15</f>
        <v>39295</v>
      </c>
      <c r="Q15" s="97">
        <f ca="1">S14*N15</f>
        <v>14906.189773090658</v>
      </c>
      <c r="R15" s="98">
        <f ca="1">S14*$C$2/2</f>
        <v>24056.593574999999</v>
      </c>
      <c r="S15" s="99">
        <f ca="1">IF(P15&lt;$A$4,(VLOOKUP(P15,$A$11:$B$52,2,0)*$S$12),(S14-(Q15+R15)))</f>
        <v>932001.40600000008</v>
      </c>
      <c r="U15" s="80">
        <f>P15</f>
        <v>39295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41671</v>
      </c>
      <c r="B16" s="50">
        <v>0.351710825</v>
      </c>
      <c r="C16" s="52"/>
      <c r="D16" s="70" t="str">
        <f ca="1">IF(E16&lt;$A$4,"Actual","Model Num")</f>
        <v>Actual</v>
      </c>
      <c r="E16" s="71">
        <f>DATE(YEAR(E15),MONTH(E15)+6,DAY(E15))</f>
        <v>39479</v>
      </c>
      <c r="F16" s="74">
        <f>MAX(IF(ISERROR(VLOOKUP(E16,$A$12:$B$52,2,0)),VLOOKUP(E16,$P$11:$S$52,4,0)/1000000,(VLOOKUP(E16,$A$12:$B$52,2,0))),0)</f>
        <v>0.88432401400000005</v>
      </c>
      <c r="G16" s="128">
        <f>F16*1000000</f>
        <v>884324.01400000008</v>
      </c>
      <c r="H16" s="64"/>
      <c r="I16" s="80">
        <f>E16</f>
        <v>39479</v>
      </c>
      <c r="J16" s="210">
        <f>$M$12*$N$7</f>
        <v>41019.149999999994</v>
      </c>
      <c r="K16" s="88">
        <f>($F$7/360)*($O$2/100)*M15</f>
        <v>25573.996019854923</v>
      </c>
      <c r="L16" s="90">
        <f>J16-K16</f>
        <v>15445.153980145071</v>
      </c>
      <c r="M16" s="79">
        <f>M15-L16</f>
        <v>940592.08040695486</v>
      </c>
      <c r="N16" s="126">
        <f>L16/M15</f>
        <v>1.6155389585894853E-2</v>
      </c>
      <c r="O16" s="52"/>
      <c r="P16" s="80">
        <f>I16</f>
        <v>39479</v>
      </c>
      <c r="Q16" s="97">
        <f ca="1">S15*N16</f>
        <v>15056.845808531762</v>
      </c>
      <c r="R16" s="98">
        <f ca="1">S15*$C$2/2</f>
        <v>23300.035150000003</v>
      </c>
      <c r="S16" s="99">
        <f ca="1">IF(P16&lt;$A$4,(VLOOKUP(P16,$A$11:$B$52,2,0)*$S$12),(S15-(Q16+R16)))</f>
        <v>884324.01400000008</v>
      </c>
      <c r="U16" s="80">
        <f>P16</f>
        <v>39479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41487</v>
      </c>
      <c r="B17" s="50">
        <v>0.39407486000000003</v>
      </c>
      <c r="C17" s="52"/>
      <c r="D17" s="70" t="str">
        <f ca="1">IF(E17&lt;$A$4,"Actual","Model Num")</f>
        <v>Actual</v>
      </c>
      <c r="E17" s="71">
        <f>DATE(YEAR(E16),MONTH(E16)+6,DAY(E16))</f>
        <v>39661</v>
      </c>
      <c r="F17" s="74">
        <f>MAX(IF(ISERROR(VLOOKUP(E17,$A$12:$B$52,2,0)),VLOOKUP(E17,$P$11:$S$52,4,0)/1000000,(VLOOKUP(E17,$A$12:$B$52,2,0))),0)</f>
        <v>0.84387354999999997</v>
      </c>
      <c r="G17" s="128">
        <f>F17*1000000</f>
        <v>843873.54999999993</v>
      </c>
      <c r="H17" s="64"/>
      <c r="I17" s="80">
        <f>E17</f>
        <v>39661</v>
      </c>
      <c r="J17" s="210">
        <f>$M$12*$N$7</f>
        <v>41019.149999999994</v>
      </c>
      <c r="K17" s="88">
        <f>($F$7/360)*($O$2/100)*M16</f>
        <v>25160.83815088604</v>
      </c>
      <c r="L17" s="90">
        <f>J17-K17</f>
        <v>15858.311849113954</v>
      </c>
      <c r="M17" s="79">
        <f>M16-L17</f>
        <v>924733.76855784096</v>
      </c>
      <c r="N17" s="126">
        <f>L17/M16</f>
        <v>1.6859924912670674E-2</v>
      </c>
      <c r="O17" s="52"/>
      <c r="P17" s="80">
        <f>I17</f>
        <v>39661</v>
      </c>
      <c r="Q17" s="97">
        <f ca="1">S16*N17</f>
        <v>14909.636474511532</v>
      </c>
      <c r="R17" s="98">
        <f ca="1">S16*$C$2/2</f>
        <v>22108.100350000004</v>
      </c>
      <c r="S17" s="99">
        <f ca="1">IF(P17&lt;$A$4,(VLOOKUP(P17,$A$11:$B$52,2,0)*$S$12),(S16-(Q17+R17)))</f>
        <v>843873.54999999993</v>
      </c>
      <c r="U17" s="80">
        <f>P17</f>
        <v>39661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41306</v>
      </c>
      <c r="B18" s="50">
        <v>0.42977275300000001</v>
      </c>
      <c r="C18" s="52"/>
      <c r="D18" s="70" t="str">
        <f ca="1">IF(E18&lt;$A$4,"Actual","Model Num")</f>
        <v>Actual</v>
      </c>
      <c r="E18" s="71">
        <f>DATE(YEAR(E17),MONTH(E17)+6,DAY(E17))</f>
        <v>39845</v>
      </c>
      <c r="F18" s="74">
        <f>MAX(IF(ISERROR(VLOOKUP(E18,$A$12:$B$52,2,0)),VLOOKUP(E18,$P$11:$S$52,4,0)/1000000,(VLOOKUP(E18,$A$12:$B$52,2,0))),0)</f>
        <v>0.79588466499999999</v>
      </c>
      <c r="G18" s="128">
        <f>F18*1000000</f>
        <v>795884.66500000004</v>
      </c>
      <c r="H18" s="64"/>
      <c r="I18" s="80">
        <f>E18</f>
        <v>39845</v>
      </c>
      <c r="J18" s="210">
        <f>$M$12*$N$7</f>
        <v>41019.149999999994</v>
      </c>
      <c r="K18" s="88">
        <f>($F$7/360)*($O$2/100)*M17</f>
        <v>24736.628308922245</v>
      </c>
      <c r="L18" s="90">
        <f>J18-K18</f>
        <v>16282.521691077749</v>
      </c>
      <c r="M18" s="79">
        <f>M17-L18</f>
        <v>908451.24686676322</v>
      </c>
      <c r="N18" s="126">
        <f>L18/M17</f>
        <v>1.7607793988610353E-2</v>
      </c>
      <c r="O18" s="52"/>
      <c r="P18" s="80">
        <f>I18</f>
        <v>39845</v>
      </c>
      <c r="Q18" s="97">
        <f ca="1">S17*N18</f>
        <v>14858.751620837278</v>
      </c>
      <c r="R18" s="98">
        <f ca="1">S17*$C$2/2</f>
        <v>21096.838749999999</v>
      </c>
      <c r="S18" s="99">
        <f ca="1">IF(P18&lt;$A$4,(VLOOKUP(P18,$A$11:$B$52,2,0)*$S$12),(S17-(Q18+R18)))</f>
        <v>795884.66500000004</v>
      </c>
      <c r="U18" s="80">
        <f>P18</f>
        <v>39845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41122</v>
      </c>
      <c r="B19" s="50">
        <v>0.49313758699999999</v>
      </c>
      <c r="C19" s="52"/>
      <c r="D19" s="70" t="str">
        <f ca="1">IF(E19&lt;$A$4,"Actual","Model Num")</f>
        <v>Actual</v>
      </c>
      <c r="E19" s="71">
        <f>DATE(YEAR(E18),MONTH(E18)+6,DAY(E18))</f>
        <v>40026</v>
      </c>
      <c r="F19" s="74">
        <f>MAX(IF(ISERROR(VLOOKUP(E19,$A$12:$B$52,2,0)),VLOOKUP(E19,$P$11:$S$52,4,0)/1000000,(VLOOKUP(E19,$A$12:$B$52,2,0))),0)</f>
        <v>0.75384206899999995</v>
      </c>
      <c r="G19" s="128">
        <f>F19*1000000</f>
        <v>753842.0689999999</v>
      </c>
      <c r="H19" s="64"/>
      <c r="I19" s="80">
        <f>E19</f>
        <v>40026</v>
      </c>
      <c r="J19" s="210">
        <f>$M$12*$N$7</f>
        <v>41019.149999999994</v>
      </c>
      <c r="K19" s="88">
        <f>($F$7/360)*($O$2/100)*M18</f>
        <v>24301.070853685917</v>
      </c>
      <c r="L19" s="90">
        <f>J19-K19</f>
        <v>16718.079146314078</v>
      </c>
      <c r="M19" s="79">
        <f>M18-L19</f>
        <v>891733.16772044916</v>
      </c>
      <c r="N19" s="126">
        <f>L19/M18</f>
        <v>1.8402835819725627E-2</v>
      </c>
      <c r="O19" s="52"/>
      <c r="P19" s="80">
        <f>I19</f>
        <v>40026</v>
      </c>
      <c r="Q19" s="97">
        <f ca="1">S18*N19</f>
        <v>14646.534821432331</v>
      </c>
      <c r="R19" s="98">
        <f ca="1">S18*$C$2/2</f>
        <v>19897.116625000002</v>
      </c>
      <c r="S19" s="99">
        <f ca="1">IF(P19&lt;$A$4,(VLOOKUP(P19,$A$11:$B$52,2,0)*$S$12),(S18-(Q19+R19)))</f>
        <v>753842.0689999999</v>
      </c>
      <c r="U19" s="80">
        <f>P19</f>
        <v>40026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40940</v>
      </c>
      <c r="B20" s="50">
        <v>0.54320619400000003</v>
      </c>
      <c r="C20" s="52"/>
      <c r="D20" s="70" t="str">
        <f ca="1">IF(E20&lt;$A$4,"Actual","Model Num")</f>
        <v>Actual</v>
      </c>
      <c r="E20" s="71">
        <f>DATE(YEAR(E19),MONTH(E19)+6,DAY(E19))</f>
        <v>40210</v>
      </c>
      <c r="F20" s="74">
        <f>MAX(IF(ISERROR(VLOOKUP(E20,$A$12:$B$52,2,0)),VLOOKUP(E20,$P$11:$S$52,4,0)/1000000,(VLOOKUP(E20,$A$12:$B$52,2,0))),0)</f>
        <v>0.71246750199999997</v>
      </c>
      <c r="G20" s="128">
        <f>F20*1000000</f>
        <v>712467.50199999998</v>
      </c>
      <c r="H20" s="64"/>
      <c r="I20" s="80">
        <f>E20</f>
        <v>40210</v>
      </c>
      <c r="J20" s="210">
        <f>$M$12*$N$7</f>
        <v>41019.149999999994</v>
      </c>
      <c r="K20" s="88">
        <f>($F$7/360)*($O$2/100)*M19</f>
        <v>23853.862236522014</v>
      </c>
      <c r="L20" s="90">
        <f>J20-K20</f>
        <v>17165.28776347798</v>
      </c>
      <c r="M20" s="79">
        <f>M19-L20</f>
        <v>874567.87995697116</v>
      </c>
      <c r="N20" s="126">
        <f>L20/M19</f>
        <v>1.9249354386310272E-2</v>
      </c>
      <c r="O20" s="52"/>
      <c r="P20" s="80">
        <f>I20</f>
        <v>40210</v>
      </c>
      <c r="Q20" s="97">
        <f ca="1">S19*N20</f>
        <v>14510.973137490359</v>
      </c>
      <c r="R20" s="98">
        <f ca="1">S19*$C$2/2</f>
        <v>18846.051724999998</v>
      </c>
      <c r="S20" s="99">
        <f ca="1">IF(P20&lt;$A$4,(VLOOKUP(P20,$A$11:$B$52,2,0)*$S$12),(S19-(Q20+R20)))</f>
        <v>712467.50199999998</v>
      </c>
      <c r="U20" s="80">
        <f>P20</f>
        <v>40210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40756</v>
      </c>
      <c r="B21" s="50">
        <v>0.58198307999999999</v>
      </c>
      <c r="C21" s="52"/>
      <c r="D21" s="70" t="str">
        <f ca="1">IF(E21&lt;$A$4,"Actual","Model Num")</f>
        <v>Actual</v>
      </c>
      <c r="E21" s="71">
        <f>DATE(YEAR(E20),MONTH(E20)+6,DAY(E20))</f>
        <v>40391</v>
      </c>
      <c r="F21" s="74">
        <f>MAX(IF(ISERROR(VLOOKUP(E21,$A$12:$B$52,2,0)),VLOOKUP(E21,$P$11:$S$52,4,0)/1000000,(VLOOKUP(E21,$A$12:$B$52,2,0))),0)</f>
        <v>0.66519065899999996</v>
      </c>
      <c r="G21" s="128">
        <f>F21*1000000</f>
        <v>665190.65899999999</v>
      </c>
      <c r="H21" s="64"/>
      <c r="I21" s="80">
        <f>E21</f>
        <v>40391</v>
      </c>
      <c r="J21" s="210">
        <f>$M$12*$N$7</f>
        <v>41019.149999999994</v>
      </c>
      <c r="K21" s="88">
        <f>($F$7/360)*($O$2/100)*M20</f>
        <v>23394.690788848977</v>
      </c>
      <c r="L21" s="90">
        <f>J21-K21</f>
        <v>17624.459211151017</v>
      </c>
      <c r="M21" s="79">
        <f>M20-L21</f>
        <v>856943.42074582016</v>
      </c>
      <c r="N21" s="126">
        <f>L21/M20</f>
        <v>2.0152191287905682E-2</v>
      </c>
      <c r="O21" s="52"/>
      <c r="P21" s="80">
        <f>I21</f>
        <v>40391</v>
      </c>
      <c r="Q21" s="97">
        <f ca="1">S20*N21</f>
        <v>14357.781386720324</v>
      </c>
      <c r="R21" s="98">
        <f ca="1">S20*$C$2/2</f>
        <v>17811.687549999999</v>
      </c>
      <c r="S21" s="99">
        <f ca="1">IF(P21&lt;$A$4,(VLOOKUP(P21,$A$11:$B$52,2,0)*$S$12),(S20-(Q21+R21)))</f>
        <v>665190.65899999999</v>
      </c>
      <c r="U21" s="80">
        <f>P21</f>
        <v>40391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40575</v>
      </c>
      <c r="B22" s="50">
        <v>0.62003019199999998</v>
      </c>
      <c r="C22" s="52"/>
      <c r="D22" s="70" t="str">
        <f ca="1">IF(E22&lt;$A$4,"Actual","Model Num")</f>
        <v>Actual</v>
      </c>
      <c r="E22" s="71">
        <f>DATE(YEAR(E21),MONTH(E21)+6,DAY(E21))</f>
        <v>40575</v>
      </c>
      <c r="F22" s="74">
        <f>MAX(IF(ISERROR(VLOOKUP(E22,$A$12:$B$52,2,0)),VLOOKUP(E22,$P$11:$S$52,4,0)/1000000,(VLOOKUP(E22,$A$12:$B$52,2,0))),0)</f>
        <v>0.62003019199999998</v>
      </c>
      <c r="G22" s="128">
        <f>F22*1000000</f>
        <v>620030.19199999992</v>
      </c>
      <c r="H22" s="64"/>
      <c r="I22" s="80">
        <f>E22</f>
        <v>40575</v>
      </c>
      <c r="J22" s="210">
        <f>$M$12*$N$7</f>
        <v>41019.149999999994</v>
      </c>
      <c r="K22" s="88">
        <f>($F$7/360)*($O$2/100)*M21</f>
        <v>22923.236504950688</v>
      </c>
      <c r="L22" s="90">
        <f>J22-K22</f>
        <v>18095.913495049306</v>
      </c>
      <c r="M22" s="79">
        <f>M21-L22</f>
        <v>838847.50725077081</v>
      </c>
      <c r="N22" s="126">
        <f>L22/M21</f>
        <v>2.1116812448714481E-2</v>
      </c>
      <c r="O22" s="52"/>
      <c r="P22" s="80">
        <f>I22</f>
        <v>40575</v>
      </c>
      <c r="Q22" s="97">
        <f ca="1">S21*N22</f>
        <v>14046.706388739789</v>
      </c>
      <c r="R22" s="98">
        <f ca="1">S21*$C$2/2</f>
        <v>16629.766475</v>
      </c>
      <c r="S22" s="99">
        <f ca="1">IF(P22&lt;$A$4,(VLOOKUP(P22,$A$11:$B$52,2,0)*$S$12),(S21-(Q22+R22)))</f>
        <v>620030.19199999992</v>
      </c>
      <c r="U22" s="80">
        <f>P22</f>
        <v>40575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40391</v>
      </c>
      <c r="B23" s="50">
        <v>0.66519065899999996</v>
      </c>
      <c r="C23" s="52"/>
      <c r="D23" s="70" t="str">
        <f ca="1">IF(E23&lt;$A$4,"Actual","Model Num")</f>
        <v>Actual</v>
      </c>
      <c r="E23" s="71">
        <f>DATE(YEAR(E22),MONTH(E22)+6,DAY(E22))</f>
        <v>40756</v>
      </c>
      <c r="F23" s="74">
        <f>MAX(IF(ISERROR(VLOOKUP(E23,$A$12:$B$52,2,0)),VLOOKUP(E23,$P$11:$S$52,4,0)/1000000,(VLOOKUP(E23,$A$12:$B$52,2,0))),0)</f>
        <v>0.58198307999999999</v>
      </c>
      <c r="G23" s="128">
        <f>F23*1000000</f>
        <v>581983.07999999996</v>
      </c>
      <c r="H23" s="64"/>
      <c r="I23" s="80">
        <f>E23</f>
        <v>40756</v>
      </c>
      <c r="J23" s="210">
        <f>$M$12*$N$7</f>
        <v>41019.149999999994</v>
      </c>
      <c r="K23" s="88">
        <f>($F$7/360)*($O$2/100)*M22</f>
        <v>22439.170818958119</v>
      </c>
      <c r="L23" s="90">
        <f>J23-K23</f>
        <v>18579.979181041876</v>
      </c>
      <c r="M23" s="79">
        <f>M22-L23</f>
        <v>820267.52806972899</v>
      </c>
      <c r="N23" s="126">
        <f>L23/M22</f>
        <v>2.2149412164239109E-2</v>
      </c>
      <c r="O23" s="52"/>
      <c r="P23" s="80">
        <f>I23</f>
        <v>40756</v>
      </c>
      <c r="Q23" s="97">
        <f ca="1">S22*N23</f>
        <v>13733.304276880308</v>
      </c>
      <c r="R23" s="98">
        <f ca="1">S22*$C$2/2</f>
        <v>15500.754799999999</v>
      </c>
      <c r="S23" s="99">
        <f ca="1">IF(P23&lt;$A$4,(VLOOKUP(P23,$A$11:$B$52,2,0)*$S$12),(S22-(Q23+R23)))</f>
        <v>581983.07999999996</v>
      </c>
      <c r="U23" s="80">
        <f>P23</f>
        <v>40756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40210</v>
      </c>
      <c r="B24" s="50">
        <v>0.71246750199999997</v>
      </c>
      <c r="C24" s="52"/>
      <c r="D24" s="70" t="str">
        <f ca="1">IF(E24&lt;$A$4,"Actual","Model Num")</f>
        <v>Actual</v>
      </c>
      <c r="E24" s="71">
        <f>DATE(YEAR(E23),MONTH(E23)+6,DAY(E23))</f>
        <v>40940</v>
      </c>
      <c r="F24" s="74">
        <f>MAX(IF(ISERROR(VLOOKUP(E24,$A$12:$B$52,2,0)),VLOOKUP(E24,$P$11:$S$52,4,0)/1000000,(VLOOKUP(E24,$A$12:$B$52,2,0))),0)</f>
        <v>0.54320619400000003</v>
      </c>
      <c r="G24" s="128">
        <f>F24*1000000</f>
        <v>543206.19400000002</v>
      </c>
      <c r="H24" s="64"/>
      <c r="I24" s="80">
        <f>E24</f>
        <v>40940</v>
      </c>
      <c r="J24" s="210">
        <f>$M$12*$N$7</f>
        <v>41019.149999999994</v>
      </c>
      <c r="K24" s="88">
        <f>($F$7/360)*($O$2/100)*M23</f>
        <v>21942.156375865248</v>
      </c>
      <c r="L24" s="90">
        <f>J24-K24</f>
        <v>19076.993624134746</v>
      </c>
      <c r="M24" s="79">
        <f>M23-L24</f>
        <v>801190.5344455943</v>
      </c>
      <c r="N24" s="126">
        <f>L24/M23</f>
        <v>2.3257038674963926E-2</v>
      </c>
      <c r="O24" s="52"/>
      <c r="P24" s="80">
        <f>I24</f>
        <v>40940</v>
      </c>
      <c r="Q24" s="97">
        <f ca="1">S23*N24</f>
        <v>13535.202999734624</v>
      </c>
      <c r="R24" s="98">
        <f ca="1">S23*$C$2/2</f>
        <v>14549.576999999999</v>
      </c>
      <c r="S24" s="99">
        <f ca="1">IF(P24&lt;$A$4,(VLOOKUP(P24,$A$11:$B$52,2,0)*$S$12),(S23-(Q24+R24)))</f>
        <v>543206.19400000002</v>
      </c>
      <c r="U24" s="80">
        <f>P24</f>
        <v>40940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40026</v>
      </c>
      <c r="B25" s="50">
        <v>0.75384206899999995</v>
      </c>
      <c r="C25" s="52"/>
      <c r="D25" s="70" t="str">
        <f ca="1">IF(E25&lt;$A$4,"Actual","Model Num")</f>
        <v>Actual</v>
      </c>
      <c r="E25" s="71">
        <f>DATE(YEAR(E24),MONTH(E24)+6,DAY(E24))</f>
        <v>41122</v>
      </c>
      <c r="F25" s="74">
        <f>MAX(IF(ISERROR(VLOOKUP(E25,$A$12:$B$52,2,0)),VLOOKUP(E25,$P$11:$S$52,4,0)/1000000,(VLOOKUP(E25,$A$12:$B$52,2,0))),0)</f>
        <v>0.49313758699999999</v>
      </c>
      <c r="G25" s="128">
        <f>F25*1000000</f>
        <v>493137.587</v>
      </c>
      <c r="H25" s="64"/>
      <c r="I25" s="80">
        <f>E25</f>
        <v>41122</v>
      </c>
      <c r="J25" s="210">
        <f>$M$12*$N$7</f>
        <v>41019.149999999994</v>
      </c>
      <c r="K25" s="88">
        <f>($F$7/360)*($O$2/100)*M24</f>
        <v>21431.846796419646</v>
      </c>
      <c r="L25" s="90">
        <f>J25-K25</f>
        <v>19587.303203580348</v>
      </c>
      <c r="M25" s="79">
        <f>M24-L25</f>
        <v>781603.23124201398</v>
      </c>
      <c r="N25" s="126">
        <f>L25/M24</f>
        <v>2.4447746648847166E-2</v>
      </c>
      <c r="O25" s="52"/>
      <c r="P25" s="80">
        <f>I25</f>
        <v>41122</v>
      </c>
      <c r="Q25" s="97">
        <f ca="1">S24*N25</f>
        <v>13280.167408996524</v>
      </c>
      <c r="R25" s="98">
        <f ca="1">S24*$C$2/2</f>
        <v>13580.154850000001</v>
      </c>
      <c r="S25" s="99">
        <f ca="1">IF(P25&lt;$A$4,(VLOOKUP(P25,$A$11:$B$52,2,0)*$S$12),(S24-(Q25+R25)))</f>
        <v>493137.587</v>
      </c>
      <c r="U25" s="80">
        <f>P25</f>
        <v>41122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39845</v>
      </c>
      <c r="B26" s="50">
        <v>0.79588466499999999</v>
      </c>
      <c r="C26" s="52"/>
      <c r="D26" s="70" t="str">
        <f ca="1">IF(E26&lt;$A$4,"Actual","Model Num")</f>
        <v>Actual</v>
      </c>
      <c r="E26" s="71">
        <f>DATE(YEAR(E25),MONTH(E25)+6,DAY(E25))</f>
        <v>41306</v>
      </c>
      <c r="F26" s="74">
        <f>MAX(IF(ISERROR(VLOOKUP(E26,$A$12:$B$52,2,0)),VLOOKUP(E26,$P$11:$S$52,4,0)/1000000,(VLOOKUP(E26,$A$12:$B$52,2,0))),0)</f>
        <v>0.42977275300000001</v>
      </c>
      <c r="G26" s="128">
        <f>F26*1000000</f>
        <v>429772.75300000003</v>
      </c>
      <c r="H26" s="64"/>
      <c r="I26" s="80">
        <f>E26</f>
        <v>41306</v>
      </c>
      <c r="J26" s="210">
        <f>$M$12*$N$7</f>
        <v>41019.149999999994</v>
      </c>
      <c r="K26" s="88">
        <f>($F$7/360)*($O$2/100)*M25</f>
        <v>20907.886435723874</v>
      </c>
      <c r="L26" s="90">
        <f>J26-K26</f>
        <v>20111.26356427612</v>
      </c>
      <c r="M26" s="79">
        <f>M25-L26</f>
        <v>761491.96767773782</v>
      </c>
      <c r="N26" s="126">
        <f>L26/M25</f>
        <v>2.5730783548985753E-2</v>
      </c>
      <c r="O26" s="52"/>
      <c r="P26" s="80">
        <f>I26</f>
        <v>41306</v>
      </c>
      <c r="Q26" s="97">
        <f ca="1">S25*N26</f>
        <v>12688.816510966131</v>
      </c>
      <c r="R26" s="98">
        <f ca="1">S25*$C$2/2</f>
        <v>12328.439675000001</v>
      </c>
      <c r="S26" s="99">
        <f ca="1">IF(P26&lt;$A$4,(VLOOKUP(P26,$A$11:$B$52,2,0)*$S$12),(S25-(Q26+R26)))</f>
        <v>429772.75300000003</v>
      </c>
      <c r="U26" s="80">
        <f>P26</f>
        <v>41306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39661</v>
      </c>
      <c r="B27" s="50">
        <v>0.84387354999999997</v>
      </c>
      <c r="C27" s="52"/>
      <c r="D27" s="70" t="str">
        <f ca="1">IF(E27&lt;$A$4,"Actual","Model Num")</f>
        <v>Actual</v>
      </c>
      <c r="E27" s="71">
        <f>DATE(YEAR(E26),MONTH(E26)+6,DAY(E26))</f>
        <v>41487</v>
      </c>
      <c r="F27" s="74">
        <f>MAX(IF(ISERROR(VLOOKUP(E27,$A$12:$B$52,2,0)),VLOOKUP(E27,$P$11:$S$52,4,0)/1000000,(VLOOKUP(E27,$A$12:$B$52,2,0))),0)</f>
        <v>0.39407486000000003</v>
      </c>
      <c r="G27" s="128">
        <f>F27*1000000</f>
        <v>394074.86000000004</v>
      </c>
      <c r="H27" s="64"/>
      <c r="I27" s="80">
        <f>E27</f>
        <v>41487</v>
      </c>
      <c r="J27" s="210">
        <f>$M$12*$N$7</f>
        <v>41019.149999999994</v>
      </c>
      <c r="K27" s="88">
        <f>($F$7/360)*($O$2/100)*M26</f>
        <v>20369.910135379487</v>
      </c>
      <c r="L27" s="90">
        <f>J27-K27</f>
        <v>20649.239864620507</v>
      </c>
      <c r="M27" s="79">
        <f>M26-L27</f>
        <v>740842.72781311732</v>
      </c>
      <c r="N27" s="126">
        <f>L27/M26</f>
        <v>2.7116819009388726E-2</v>
      </c>
      <c r="O27" s="52"/>
      <c r="P27" s="80">
        <f>I27</f>
        <v>41487</v>
      </c>
      <c r="Q27" s="97">
        <f ca="1">S26*N27</f>
        <v>11654.069958267726</v>
      </c>
      <c r="R27" s="98">
        <f ca="1">S26*$C$2/2</f>
        <v>10744.318825000002</v>
      </c>
      <c r="S27" s="99">
        <f ca="1">IF(P27&lt;$A$4,(VLOOKUP(P27,$A$11:$B$52,2,0)*$S$12),(S26-(Q27+R27)))</f>
        <v>394074.86000000004</v>
      </c>
      <c r="U27" s="80">
        <f>P27</f>
        <v>41487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39479</v>
      </c>
      <c r="B28" s="50">
        <v>0.88432401400000005</v>
      </c>
      <c r="C28" s="52"/>
      <c r="D28" s="70" t="str">
        <f ca="1">IF(E28&lt;$A$4,"Actual","Model Num")</f>
        <v>Actual</v>
      </c>
      <c r="E28" s="71">
        <f>DATE(YEAR(E27),MONTH(E27)+6,DAY(E27))</f>
        <v>41671</v>
      </c>
      <c r="F28" s="74">
        <f>MAX(IF(ISERROR(VLOOKUP(E28,$A$12:$B$52,2,0)),VLOOKUP(E28,$P$11:$S$52,4,0)/1000000,(VLOOKUP(E28,$A$12:$B$52,2,0))),0)</f>
        <v>0.351710825</v>
      </c>
      <c r="G28" s="128">
        <f>F28*1000000</f>
        <v>351710.82500000001</v>
      </c>
      <c r="H28" s="64"/>
      <c r="I28" s="80">
        <f>E28</f>
        <v>41671</v>
      </c>
      <c r="J28" s="210">
        <f>$M$12*$N$7</f>
        <v>41019.149999999994</v>
      </c>
      <c r="K28" s="88">
        <f>($F$7/360)*($O$2/100)*M27</f>
        <v>19817.54296900089</v>
      </c>
      <c r="L28" s="90">
        <f>J28-K28</f>
        <v>21201.607030999105</v>
      </c>
      <c r="M28" s="79">
        <f>M27-L28</f>
        <v>719641.12078211817</v>
      </c>
      <c r="N28" s="126">
        <f>L28/M27</f>
        <v>2.8618229261133214E-2</v>
      </c>
      <c r="O28" s="52"/>
      <c r="P28" s="80">
        <f>I28</f>
        <v>41671</v>
      </c>
      <c r="Q28" s="97">
        <f ca="1">S27*N28</f>
        <v>11277.724689528975</v>
      </c>
      <c r="R28" s="98">
        <f ca="1">S27*$C$2/2</f>
        <v>9851.8715000000011</v>
      </c>
      <c r="S28" s="99">
        <f ca="1">IF(P28&lt;$A$4,(VLOOKUP(P28,$A$11:$B$52,2,0)*$S$12),(S27-(Q28+R28)))</f>
        <v>351710.82500000001</v>
      </c>
      <c r="U28" s="80">
        <f>P28</f>
        <v>41671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39295</v>
      </c>
      <c r="B29" s="50">
        <v>0.93200140600000003</v>
      </c>
      <c r="C29" s="52"/>
      <c r="D29" s="70" t="str">
        <f ca="1">IF(E29&lt;$A$4,"Actual","Model Num")</f>
        <v>Actual</v>
      </c>
      <c r="E29" s="71">
        <f>DATE(YEAR(E28),MONTH(E28)+6,DAY(E28))</f>
        <v>41852</v>
      </c>
      <c r="F29" s="74">
        <f>MAX(IF(ISERROR(VLOOKUP(E29,$A$12:$B$52,2,0)),VLOOKUP(E29,$P$11:$S$52,4,0)/1000000,(VLOOKUP(E29,$A$12:$B$52,2,0))),0)</f>
        <v>0.31454469899999998</v>
      </c>
      <c r="G29" s="128">
        <f>F29*1000000</f>
        <v>314544.69899999996</v>
      </c>
      <c r="H29" s="64"/>
      <c r="I29" s="80">
        <f>E29</f>
        <v>41852</v>
      </c>
      <c r="J29" s="210">
        <f>$M$12*$N$7</f>
        <v>41019.149999999994</v>
      </c>
      <c r="K29" s="88">
        <f>($F$7/360)*($O$2/100)*M28</f>
        <v>19250.399980921662</v>
      </c>
      <c r="L29" s="90">
        <f>J29-K29</f>
        <v>21768.750019078332</v>
      </c>
      <c r="M29" s="79">
        <f>M28-L29</f>
        <v>697872.3707630398</v>
      </c>
      <c r="N29" s="126">
        <f>L29/M28</f>
        <v>3.0249452665266938E-2</v>
      </c>
      <c r="O29" s="52"/>
      <c r="P29" s="80">
        <f>I29</f>
        <v>41852</v>
      </c>
      <c r="Q29" s="97">
        <f ca="1">S28*N29</f>
        <v>10639.059952699485</v>
      </c>
      <c r="R29" s="98">
        <f ca="1">S28*$C$2/2</f>
        <v>8792.770625000001</v>
      </c>
      <c r="S29" s="99">
        <f ca="1">IF(P29&lt;$A$4,(VLOOKUP(P29,$A$11:$B$52,2,0)*$S$12),(S28-(Q29+R29)))</f>
        <v>314544.69899999996</v>
      </c>
      <c r="U29" s="80">
        <f>P29</f>
        <v>41852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39114</v>
      </c>
      <c r="B30" s="50">
        <v>0.96226374299999995</v>
      </c>
      <c r="C30" s="52"/>
      <c r="D30" s="70" t="str">
        <f ca="1">IF(E30&lt;$A$4,"Actual","Model Num")</f>
        <v>Actual</v>
      </c>
      <c r="E30" s="71">
        <f>DATE(YEAR(E29),MONTH(E29)+6,DAY(E29))</f>
        <v>42036</v>
      </c>
      <c r="F30" s="74">
        <f>MAX(IF(ISERROR(VLOOKUP(E30,$A$12:$B$52,2,0)),VLOOKUP(E30,$P$11:$S$52,4,0)/1000000,(VLOOKUP(E30,$A$12:$B$52,2,0))),0)</f>
        <v>0.26189392</v>
      </c>
      <c r="G30" s="128">
        <f>F30*1000000</f>
        <v>261893.92</v>
      </c>
      <c r="H30" s="64"/>
      <c r="I30" s="80">
        <f>E30</f>
        <v>42036</v>
      </c>
      <c r="J30" s="210">
        <f>$M$12*$N$7</f>
        <v>41019.149999999994</v>
      </c>
      <c r="K30" s="88">
        <f>($F$7/360)*($O$2/100)*M29</f>
        <v>18668.085917911314</v>
      </c>
      <c r="L30" s="90">
        <f>J30-K30</f>
        <v>22351.06408208868</v>
      </c>
      <c r="M30" s="79">
        <f>M29-L30</f>
        <v>675521.30668095115</v>
      </c>
      <c r="N30" s="126">
        <f>L30/M29</f>
        <v>3.2027437993641258E-2</v>
      </c>
      <c r="O30" s="52"/>
      <c r="P30" s="80">
        <f>I30</f>
        <v>42036</v>
      </c>
      <c r="Q30" s="97">
        <f ca="1">S29*N30</f>
        <v>10074.060843451052</v>
      </c>
      <c r="R30" s="98">
        <f ca="1">S29*$C$2/2</f>
        <v>7863.6174749999991</v>
      </c>
      <c r="S30" s="99">
        <f ca="1">IF(P30&lt;$A$4,(VLOOKUP(P30,$A$11:$B$52,2,0)*$S$12),(S29-(Q30+R30)))</f>
        <v>261893.92</v>
      </c>
      <c r="U30" s="80">
        <f>P30</f>
        <v>42036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38930</v>
      </c>
      <c r="B31" s="50">
        <v>0.98373340399999998</v>
      </c>
      <c r="C31" s="52"/>
      <c r="D31" s="70" t="str">
        <f ca="1">IF(E31&lt;$A$4,"Actual","Model Num")</f>
        <v>Actual</v>
      </c>
      <c r="E31" s="71">
        <f>DATE(YEAR(E30),MONTH(E30)+6,DAY(E30))</f>
        <v>42217</v>
      </c>
      <c r="F31" s="74">
        <f>MAX(IF(ISERROR(VLOOKUP(E31,$A$12:$B$52,2,0)),VLOOKUP(E31,$P$11:$S$52,4,0)/1000000,(VLOOKUP(E31,$A$12:$B$52,2,0))),0)</f>
        <v>0.227387124</v>
      </c>
      <c r="G31" s="128">
        <f>F31*1000000</f>
        <v>227387.12399999998</v>
      </c>
      <c r="H31" s="64"/>
      <c r="I31" s="80">
        <f>E31</f>
        <v>42217</v>
      </c>
      <c r="J31" s="210">
        <f>$M$12*$N$7</f>
        <v>41019.149999999994</v>
      </c>
      <c r="K31" s="88">
        <f>($F$7/360)*($O$2/100)*M30</f>
        <v>18070.194953715443</v>
      </c>
      <c r="L31" s="90">
        <f>J31-K31</f>
        <v>22948.955046284551</v>
      </c>
      <c r="M31" s="79">
        <f>M30-L31</f>
        <v>652572.35163466656</v>
      </c>
      <c r="N31" s="126">
        <f>L31/M30</f>
        <v>3.3972214968377525E-2</v>
      </c>
      <c r="O31" s="52"/>
      <c r="P31" s="80">
        <f>I31</f>
        <v>42217</v>
      </c>
      <c r="Q31" s="97">
        <f ca="1">S30*N31</f>
        <v>8897.1165491510656</v>
      </c>
      <c r="R31" s="98">
        <f ca="1">S30*$C$2/2</f>
        <v>6547.3480000000009</v>
      </c>
      <c r="S31" s="99">
        <f ca="1">IF(P31&lt;$A$4,(VLOOKUP(P31,$A$11:$B$52,2,0)*$S$12),(S30-(Q31+R31)))</f>
        <v>227387.12399999998</v>
      </c>
      <c r="U31" s="80">
        <f>P31</f>
        <v>42217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49">
        <v>38763</v>
      </c>
      <c r="B32" s="50">
        <v>1</v>
      </c>
      <c r="C32" s="52"/>
      <c r="D32" s="70" t="str">
        <f ca="1">IF(E32&lt;$A$4,"Actual","Model Num")</f>
        <v>Actual</v>
      </c>
      <c r="E32" s="71">
        <f>DATE(YEAR(E31),MONTH(E31)+6,DAY(E31))</f>
        <v>42401</v>
      </c>
      <c r="F32" s="74">
        <f>MAX(IF(ISERROR(VLOOKUP(E32,$A$12:$B$52,2,0)),VLOOKUP(E32,$P$11:$S$52,4,0)/1000000,(VLOOKUP(E32,$A$12:$B$52,2,0))),0)</f>
        <v>0.182809887</v>
      </c>
      <c r="G32" s="128">
        <f>F32*1000000</f>
        <v>182809.88700000002</v>
      </c>
      <c r="H32" s="64"/>
      <c r="I32" s="80">
        <f>E32</f>
        <v>42401</v>
      </c>
      <c r="J32" s="210">
        <f>$M$12*$N$7</f>
        <v>41019.149999999994</v>
      </c>
      <c r="K32" s="88">
        <f>($F$7/360)*($O$2/100)*M31</f>
        <v>17456.310406227331</v>
      </c>
      <c r="L32" s="90">
        <f>J32-K32</f>
        <v>23562.839593772664</v>
      </c>
      <c r="M32" s="79">
        <f>M31-L32</f>
        <v>629009.5120408939</v>
      </c>
      <c r="N32" s="126">
        <f>L32/M31</f>
        <v>3.6107627812837509E-2</v>
      </c>
      <c r="O32" s="52"/>
      <c r="P32" s="80">
        <f>I32</f>
        <v>42401</v>
      </c>
      <c r="Q32" s="97">
        <f ca="1">S31*N32</f>
        <v>8210.4096428235316</v>
      </c>
      <c r="R32" s="98">
        <f ca="1">S31*$C$2/2</f>
        <v>5684.6781000000001</v>
      </c>
      <c r="S32" s="99">
        <f ca="1">IF(P32&lt;$A$4,(VLOOKUP(P32,$A$11:$B$52,2,0)*$S$12),(S31-(Q32+R32)))</f>
        <v>182809.88700000002</v>
      </c>
      <c r="U32" s="80">
        <f>P32</f>
        <v>42401</v>
      </c>
      <c r="V32" s="97">
        <f ca="1">IF(U32&lt;$A$4,0,(YEARFRAC($A$4,U32,1)))</f>
        <v>0</v>
      </c>
      <c r="W32" s="141">
        <f ca="1">V32*(S31-S32)</f>
        <v>0</v>
      </c>
    </row>
    <row r="33" spans="1:23">
      <c r="A33" s="50"/>
      <c r="B33" s="50"/>
      <c r="C33" s="52"/>
      <c r="D33" s="70" t="str">
        <f ca="1">IF(E33&lt;$A$4,"Actual","Model Num")</f>
        <v>Model Num</v>
      </c>
      <c r="E33" s="71">
        <f>DATE(YEAR(E32),MONTH(E32)+6,DAY(E32))</f>
        <v>42583</v>
      </c>
      <c r="F33" s="74">
        <f ca="1">MAX(IF(ISERROR(VLOOKUP(E33,$A$12:$B$52,2,0)),VLOOKUP(E33,$P$11:$S$52,4,0)/1000000,(VLOOKUP(E33,$A$12:$B$52,2,0))),0)</f>
        <v>0.17120835314325938</v>
      </c>
      <c r="G33" s="128">
        <f ca="1">F33*1000000</f>
        <v>171208.35314325939</v>
      </c>
      <c r="H33" s="64"/>
      <c r="I33" s="80">
        <f>E33</f>
        <v>42583</v>
      </c>
      <c r="J33" s="210">
        <f>$M$12*$N$7</f>
        <v>41019.149999999994</v>
      </c>
      <c r="K33" s="88">
        <f>($F$7/360)*($O$2/100)*M32</f>
        <v>16826.00444709391</v>
      </c>
      <c r="L33" s="90">
        <f>J33-K33</f>
        <v>24193.145552906084</v>
      </c>
      <c r="M33" s="79">
        <f>M32-L33</f>
        <v>604816.36648798781</v>
      </c>
      <c r="N33" s="126">
        <f>L33/M32</f>
        <v>3.846228886811049E-2</v>
      </c>
      <c r="O33" s="52"/>
      <c r="P33" s="80">
        <f>I33</f>
        <v>42583</v>
      </c>
      <c r="Q33" s="97">
        <f ca="1">S32*N33</f>
        <v>7031.2866817406375</v>
      </c>
      <c r="R33" s="98">
        <f ca="1">S32*$C$2/2</f>
        <v>4570.2471750000004</v>
      </c>
      <c r="S33" s="99">
        <f ca="1">IF(P33&lt;$A$4,(VLOOKUP(P33,$A$11:$B$52,2,0)*$S$12),(S32-(Q33+R33)))</f>
        <v>171208.35314325939</v>
      </c>
      <c r="U33" s="80">
        <f>P33</f>
        <v>42583</v>
      </c>
      <c r="V33" s="97">
        <f ca="1">IF(U33&lt;$A$4,0,(YEARFRAC($A$4,U33,1)))</f>
        <v>0.31420765027322406</v>
      </c>
      <c r="W33" s="141">
        <f ca="1">V33*(S32-S33)</f>
        <v>3645.2906926917276</v>
      </c>
    </row>
    <row r="34" spans="1:23">
      <c r="A34" s="50"/>
      <c r="B34" s="50"/>
      <c r="C34" s="52"/>
      <c r="D34" s="70" t="str">
        <f ca="1">IF(E34&lt;$A$4,"Actual","Model Num")</f>
        <v>Model Num</v>
      </c>
      <c r="E34" s="71">
        <f>DATE(YEAR(E33),MONTH(E33)+6,DAY(E33))</f>
        <v>42767</v>
      </c>
      <c r="F34" s="74">
        <f ca="1">MAX(IF(ISERROR(VLOOKUP(E34,$A$12:$B$52,2,0)),VLOOKUP(E34,$P$11:$S$52,4,0)/1000000,(VLOOKUP(E34,$A$12:$B$52,2,0))),0)</f>
        <v>0.15989647457430148</v>
      </c>
      <c r="G34" s="128">
        <f ca="1">F34*1000000</f>
        <v>159896.47457430148</v>
      </c>
      <c r="H34" s="64"/>
      <c r="I34" s="80">
        <f>E34</f>
        <v>42767</v>
      </c>
      <c r="J34" s="210">
        <f>$M$12*$N$7</f>
        <v>41019.149999999994</v>
      </c>
      <c r="K34" s="88">
        <f>($F$7/360)*($O$2/100)*M33</f>
        <v>16178.837803553673</v>
      </c>
      <c r="L34" s="90">
        <f>J34-K34</f>
        <v>24840.312196446321</v>
      </c>
      <c r="M34" s="79">
        <f>M33-L34</f>
        <v>579976.05429154146</v>
      </c>
      <c r="N34" s="126">
        <f>L34/M33</f>
        <v>4.107083335176194E-2</v>
      </c>
      <c r="O34" s="52"/>
      <c r="P34" s="80">
        <f>I34</f>
        <v>42767</v>
      </c>
      <c r="Q34" s="97">
        <f ca="1">S33*N34</f>
        <v>7031.6697403764138</v>
      </c>
      <c r="R34" s="98">
        <f ca="1">S33*$C$2/2</f>
        <v>4280.2088285814852</v>
      </c>
      <c r="S34" s="99">
        <f ca="1">IF(P34&lt;$A$4,(VLOOKUP(P34,$A$11:$B$52,2,0)*$S$12),(S33-(Q34+R34)))</f>
        <v>159896.47457430148</v>
      </c>
      <c r="U34" s="80">
        <f>P34</f>
        <v>42767</v>
      </c>
      <c r="V34" s="97">
        <f ca="1">IF(U34&lt;$A$4,0,(YEARFRAC($A$4,U34,1)))</f>
        <v>0.81917808219178079</v>
      </c>
      <c r="W34" s="141">
        <f ca="1">V34*(S33-S34)</f>
        <v>9266.4429921052451</v>
      </c>
    </row>
    <row r="35" spans="1:23">
      <c r="A35" s="31"/>
      <c r="B35" s="31"/>
      <c r="D35" s="70" t="str">
        <f ca="1">IF(E35&lt;$A$4,"Actual","Model Num")</f>
        <v>Model Num</v>
      </c>
      <c r="E35" s="71">
        <f>DATE(YEAR(E34),MONTH(E34)+6,DAY(E34))</f>
        <v>42948</v>
      </c>
      <c r="F35" s="74">
        <f ca="1">MAX(IF(ISERROR(VLOOKUP(E35,$A$12:$B$52,2,0)),VLOOKUP(E35,$P$11:$S$52,4,0)/1000000,(VLOOKUP(E35,$A$12:$B$52,2,0))),0)</f>
        <v>0.14886752052271526</v>
      </c>
      <c r="G35" s="128">
        <f ca="1">F35*1000000</f>
        <v>148867.52052271526</v>
      </c>
      <c r="I35" s="80">
        <f>E35</f>
        <v>42948</v>
      </c>
      <c r="J35" s="210">
        <f>$M$12*$N$7</f>
        <v>41019.149999999994</v>
      </c>
      <c r="K35" s="88">
        <f>($F$7/360)*($O$2/100)*M34</f>
        <v>15514.359452298733</v>
      </c>
      <c r="L35" s="90">
        <f>J35-K35</f>
        <v>25504.790547701261</v>
      </c>
      <c r="M35" s="79">
        <f>M34-L35</f>
        <v>554471.26374384016</v>
      </c>
      <c r="N35" s="126">
        <f>L35/M34</f>
        <v>4.3975592369681786E-2</v>
      </c>
      <c r="O35" s="52"/>
      <c r="P35" s="80">
        <f>I35</f>
        <v>42948</v>
      </c>
      <c r="Q35" s="97">
        <f ca="1">S34*N35</f>
        <v>7031.5421872286697</v>
      </c>
      <c r="R35" s="98">
        <f ca="1">S34*$C$2/2</f>
        <v>3997.4118643575371</v>
      </c>
      <c r="S35" s="99">
        <f ca="1">IF(P35&lt;$A$4,(VLOOKUP(P35,$A$11:$B$52,2,0)*$S$12),(S34-(Q35+R35)))</f>
        <v>148867.52052271526</v>
      </c>
      <c r="U35" s="80">
        <f>P35</f>
        <v>42948</v>
      </c>
      <c r="V35" s="97">
        <f ca="1">IF(U35&lt;$A$4,0,(YEARFRAC($A$4,U35,1)))</f>
        <v>1.3132694938440492</v>
      </c>
      <c r="W35" s="141">
        <f ca="1">V35*(S34-S35)</f>
        <v>14483.988904955908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43132</v>
      </c>
      <c r="F36" s="74">
        <f ca="1">MAX(IF(ISERROR(VLOOKUP(E36,$A$12:$B$52,2,0)),VLOOKUP(E36,$P$11:$S$52,4,0)/1000000,(VLOOKUP(E36,$A$12:$B$52,2,0))),0)</f>
        <v>0.13811498975983505</v>
      </c>
      <c r="G36" s="128">
        <f ca="1">F36*1000000</f>
        <v>138114.98975983504</v>
      </c>
      <c r="I36" s="80">
        <f>E36</f>
        <v>43132</v>
      </c>
      <c r="J36" s="210">
        <f>$M$12*$N$7</f>
        <v>41019.149999999994</v>
      </c>
      <c r="K36" s="88">
        <f>($F$7/360)*($O$2/100)*M35</f>
        <v>14832.106305147723</v>
      </c>
      <c r="L36" s="90">
        <f>J36-K36</f>
        <v>26187.043694852269</v>
      </c>
      <c r="M36" s="79">
        <f>M35-L36</f>
        <v>528284.22004898789</v>
      </c>
      <c r="N36" s="126">
        <f>L36/M35</f>
        <v>4.7228856402827771E-2</v>
      </c>
      <c r="O36" s="52"/>
      <c r="P36" s="80">
        <f>I36</f>
        <v>43132</v>
      </c>
      <c r="Q36" s="97">
        <f ca="1">S35*N36</f>
        <v>7030.8427498123356</v>
      </c>
      <c r="R36" s="98">
        <f ca="1">S35*$C$2/2</f>
        <v>3721.6880130678819</v>
      </c>
      <c r="S36" s="99">
        <f ca="1">IF(P36&lt;$A$4,(VLOOKUP(P36,$A$11:$B$52,2,0)*$S$12),(S35-(Q36+R36)))</f>
        <v>138114.98975983504</v>
      </c>
      <c r="U36" s="80">
        <f>P36</f>
        <v>43132</v>
      </c>
      <c r="V36" s="97">
        <f ca="1">IF(U36&lt;$A$4,0,(YEARFRAC($A$4,U36,1)))</f>
        <v>1.8175182481751826</v>
      </c>
      <c r="W36" s="141">
        <f ca="1">V36*(S35-S36)</f>
        <v>19542.920875599826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43313</v>
      </c>
      <c r="F37" s="74">
        <f ca="1">MAX(IF(ISERROR(VLOOKUP(E37,$A$12:$B$52,2,0)),VLOOKUP(E37,$P$11:$S$52,4,0)/1000000,(VLOOKUP(E37,$A$12:$B$52,2,0))),0)</f>
        <v>0.12763261620943916</v>
      </c>
      <c r="G37" s="128">
        <f ca="1">F37*1000000</f>
        <v>127632.61620943916</v>
      </c>
      <c r="I37" s="80">
        <f>E37</f>
        <v>43313</v>
      </c>
      <c r="J37" s="210">
        <f>$M$12*$N$7</f>
        <v>41019.149999999994</v>
      </c>
      <c r="K37" s="88">
        <f>($F$7/360)*($O$2/100)*M36</f>
        <v>14131.602886310426</v>
      </c>
      <c r="L37" s="90">
        <f>J37-K37</f>
        <v>26887.547113689569</v>
      </c>
      <c r="M37" s="79">
        <f>M36-L37</f>
        <v>501396.67293529829</v>
      </c>
      <c r="N37" s="126">
        <f>L37/M36</f>
        <v>5.0895987601515487E-2</v>
      </c>
      <c r="O37" s="52"/>
      <c r="P37" s="80">
        <f>I37</f>
        <v>43313</v>
      </c>
      <c r="Q37" s="97">
        <f ca="1">S36*N37</f>
        <v>7029.4988064000026</v>
      </c>
      <c r="R37" s="98">
        <f ca="1">S36*$C$2/2</f>
        <v>3452.8747439958761</v>
      </c>
      <c r="S37" s="99">
        <f ca="1">IF(P37&lt;$A$4,(VLOOKUP(P37,$A$11:$B$52,2,0)*$S$12),(S36-(Q37+R37)))</f>
        <v>127632.61620943916</v>
      </c>
      <c r="U37" s="80">
        <f>P37</f>
        <v>43313</v>
      </c>
      <c r="V37" s="97">
        <f ca="1">IF(U37&lt;$A$4,0,(YEARFRAC($A$4,U37,1)))</f>
        <v>2.312956204379562</v>
      </c>
      <c r="W37" s="141">
        <f ca="1">V37*(S36-S37)</f>
        <v>24245.270940012353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43497</v>
      </c>
      <c r="F38" s="74">
        <f ca="1">MAX(IF(ISERROR(VLOOKUP(E38,$A$12:$B$52,2,0)),VLOOKUP(E38,$P$11:$S$52,4,0)/1000000,(VLOOKUP(E38,$A$12:$B$52,2,0))),0)</f>
        <v>0.11741437741813583</v>
      </c>
      <c r="G38" s="128">
        <f ca="1">F38*1000000</f>
        <v>117414.37741813583</v>
      </c>
      <c r="I38" s="80">
        <f>E38</f>
        <v>43497</v>
      </c>
      <c r="J38" s="210">
        <f>$M$12*$N$7</f>
        <v>41019.149999999994</v>
      </c>
      <c r="K38" s="88">
        <f>($F$7/360)*($O$2/100)*M37</f>
        <v>13412.36100101923</v>
      </c>
      <c r="L38" s="90">
        <f>J38-K38</f>
        <v>27606.788998980766</v>
      </c>
      <c r="M38" s="79">
        <f>M37-L38</f>
        <v>473789.88393631752</v>
      </c>
      <c r="N38" s="126">
        <f>L38/M37</f>
        <v>5.5059776997250294E-2</v>
      </c>
      <c r="O38" s="52"/>
      <c r="P38" s="80">
        <f>I38</f>
        <v>43497</v>
      </c>
      <c r="Q38" s="97">
        <f ca="1">S37*N38</f>
        <v>7027.423386067353</v>
      </c>
      <c r="R38" s="98">
        <f ca="1">S37*$C$2/2</f>
        <v>3190.8154052359791</v>
      </c>
      <c r="S38" s="99">
        <f ca="1">IF(P38&lt;$A$4,(VLOOKUP(P38,$A$11:$B$52,2,0)*$S$12),(S37-(Q38+R38)))</f>
        <v>117414.37741813583</v>
      </c>
      <c r="U38" s="80">
        <f>P38</f>
        <v>43497</v>
      </c>
      <c r="V38" s="97">
        <f ca="1">IF(U38&lt;$A$4,0,(YEARFRAC($A$4,U38,1)))</f>
        <v>2.817248459958932</v>
      </c>
      <c r="W38" s="141">
        <f ca="1">V38*(S37-S38)</f>
        <v>28787.317498291926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43678</v>
      </c>
      <c r="F39" s="74">
        <f ca="1">MAX(IF(ISERROR(VLOOKUP(E39,$A$12:$B$52,2,0)),VLOOKUP(E39,$P$11:$S$52,4,0)/1000000,(VLOOKUP(E39,$A$12:$B$52,2,0))),0)</f>
        <v>0.10745450687841583</v>
      </c>
      <c r="G39" s="128">
        <f ca="1">F39*1000000</f>
        <v>107454.50687841584</v>
      </c>
      <c r="I39" s="80">
        <f>E39</f>
        <v>43678</v>
      </c>
      <c r="J39" s="210">
        <f>$M$12*$N$7</f>
        <v>41019.149999999994</v>
      </c>
      <c r="K39" s="88">
        <f>($F$7/360)*($O$2/100)*M38</f>
        <v>12673.879395296493</v>
      </c>
      <c r="L39" s="90">
        <f>J39-K39</f>
        <v>28345.270604703503</v>
      </c>
      <c r="M39" s="79">
        <f>M38-L39</f>
        <v>445444.613331614</v>
      </c>
      <c r="N39" s="126">
        <f>L39/M38</f>
        <v>5.9826669090540172E-2</v>
      </c>
      <c r="O39" s="52"/>
      <c r="P39" s="80">
        <f>I39</f>
        <v>43678</v>
      </c>
      <c r="Q39" s="97">
        <f ca="1">S38*N39</f>
        <v>7024.5111042666049</v>
      </c>
      <c r="R39" s="98">
        <f ca="1">S38*$C$2/2</f>
        <v>2935.3594354533961</v>
      </c>
      <c r="S39" s="99">
        <f ca="1">IF(P39&lt;$A$4,(VLOOKUP(P39,$A$11:$B$52,2,0)*$S$12),(S38-(Q39+R39)))</f>
        <v>107454.50687841584</v>
      </c>
      <c r="U39" s="80">
        <f>P39</f>
        <v>43678</v>
      </c>
      <c r="V39" s="97">
        <f ca="1">IF(U39&lt;$A$4,0,(YEARFRAC($A$4,U39,1)))</f>
        <v>3.3127994524298425</v>
      </c>
      <c r="W39" s="141">
        <f ca="1">V39*(S38-S39)</f>
        <v>32995.053670256522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43862</v>
      </c>
      <c r="F40" s="74">
        <f ca="1">MAX(IF(ISERROR(VLOOKUP(E40,$A$12:$B$52,2,0)),VLOOKUP(E40,$P$11:$S$52,4,0)/1000000,(VLOOKUP(E40,$A$12:$B$52,2,0))),0)</f>
        <v>9.7747511661290601E-2</v>
      </c>
      <c r="G40" s="128">
        <f ca="1">F40*1000000</f>
        <v>97747.511661290599</v>
      </c>
      <c r="I40" s="80">
        <f>E40</f>
        <v>43862</v>
      </c>
      <c r="J40" s="210">
        <f>$M$12*$N$7</f>
        <v>41019.149999999994</v>
      </c>
      <c r="K40" s="88">
        <f>($F$7/360)*($O$2/100)*M39</f>
        <v>11915.643406620675</v>
      </c>
      <c r="L40" s="90">
        <f>J40-K40</f>
        <v>29103.506593379319</v>
      </c>
      <c r="M40" s="79">
        <f>M39-L40</f>
        <v>416341.1067382347</v>
      </c>
      <c r="N40" s="126">
        <f>L40/M39</f>
        <v>6.5335859324250109E-2</v>
      </c>
      <c r="O40" s="52"/>
      <c r="P40" s="80">
        <f>I40</f>
        <v>43862</v>
      </c>
      <c r="Q40" s="97">
        <f ca="1">S39*N40</f>
        <v>7020.6325451648427</v>
      </c>
      <c r="R40" s="98">
        <f ca="1">S39*$C$2/2</f>
        <v>2686.3626719603963</v>
      </c>
      <c r="S40" s="99">
        <f ca="1">IF(P40&lt;$A$4,(VLOOKUP(P40,$A$11:$B$52,2,0)*$S$12),(S39-(Q40+R40)))</f>
        <v>97747.511661290599</v>
      </c>
      <c r="U40" s="80">
        <f>P40</f>
        <v>43862</v>
      </c>
      <c r="V40" s="97">
        <f ca="1">IF(U40&lt;$A$4,0,(YEARFRAC($A$4,U40,1)))</f>
        <v>3.8149972632731255</v>
      </c>
      <c r="W40" s="141">
        <f ca="1">V40*(S39-S40)</f>
        <v>37032.160187938098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44044</v>
      </c>
      <c r="F41" s="74">
        <f ca="1">MAX(IF(ISERROR(VLOOKUP(E41,$A$12:$B$52,2,0)),VLOOKUP(E41,$P$11:$S$52,4,0)/1000000,(VLOOKUP(E41,$A$12:$B$52,2,0))),0)</f>
        <v>8.8288197551665823E-2</v>
      </c>
      <c r="G41" s="128">
        <f ca="1">F41*1000000</f>
        <v>88288.197551665828</v>
      </c>
      <c r="I41" s="80">
        <f>E41</f>
        <v>44044</v>
      </c>
      <c r="J41" s="210">
        <f>$M$12*$N$7</f>
        <v>41019.149999999994</v>
      </c>
      <c r="K41" s="88">
        <f>($F$7/360)*($O$2/100)*M40</f>
        <v>11137.124605247778</v>
      </c>
      <c r="L41" s="90">
        <f>J41-K41</f>
        <v>29882.025394752214</v>
      </c>
      <c r="M41" s="79">
        <f>M40-L41</f>
        <v>386459.08134348248</v>
      </c>
      <c r="N41" s="126">
        <f>L41/M40</f>
        <v>7.1772940291336351E-2</v>
      </c>
      <c r="O41" s="52"/>
      <c r="P41" s="80">
        <f>I41</f>
        <v>44044</v>
      </c>
      <c r="Q41" s="97">
        <f ca="1">S40*N41</f>
        <v>7015.6263180925134</v>
      </c>
      <c r="R41" s="98">
        <f ca="1">S40*$C$2/2</f>
        <v>2443.6877915322652</v>
      </c>
      <c r="S41" s="99">
        <f ca="1">IF(P41&lt;$A$4,(VLOOKUP(P41,$A$11:$B$52,2,0)*$S$12),(S40-(Q41+R41)))</f>
        <v>88288.197551665828</v>
      </c>
      <c r="U41" s="80">
        <f>P41</f>
        <v>44044</v>
      </c>
      <c r="V41" s="97">
        <f ca="1">IF(U41&lt;$A$4,0,(YEARFRAC($A$4,U41,1)))</f>
        <v>4.3130815544608652</v>
      </c>
      <c r="W41" s="141">
        <f ca="1">V41*(S40-S41)</f>
        <v>40798.793204074005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44228</v>
      </c>
      <c r="F42" s="74">
        <f ca="1">MAX(IF(ISERROR(VLOOKUP(E42,$A$12:$B$52,2,0)),VLOOKUP(E42,$P$11:$S$52,4,0)/1000000,(VLOOKUP(E42,$A$12:$B$52,2,0))),0)</f>
        <v>7.9071705087029057E-2</v>
      </c>
      <c r="G42" s="128">
        <f ca="1">F42*1000000</f>
        <v>79071.705087029055</v>
      </c>
      <c r="I42" s="80">
        <f>E42</f>
        <v>44228</v>
      </c>
      <c r="J42" s="210">
        <f>$M$12*$N$7</f>
        <v>41019.149999999994</v>
      </c>
      <c r="K42" s="88">
        <f>($F$7/360)*($O$2/100)*M41</f>
        <v>10337.780425938156</v>
      </c>
      <c r="L42" s="90">
        <f>J42-K42</f>
        <v>30681.369574061839</v>
      </c>
      <c r="M42" s="79">
        <f>M41-L42</f>
        <v>355777.71176942065</v>
      </c>
      <c r="N42" s="126">
        <f>L42/M41</f>
        <v>7.9390991324104571E-2</v>
      </c>
      <c r="O42" s="52"/>
      <c r="P42" s="80">
        <f>I42</f>
        <v>44228</v>
      </c>
      <c r="Q42" s="97">
        <f ca="1">S41*N42</f>
        <v>7009.2875258451322</v>
      </c>
      <c r="R42" s="98">
        <f ca="1">S41*$C$2/2</f>
        <v>2207.2049387916459</v>
      </c>
      <c r="S42" s="99">
        <f ca="1">IF(P42&lt;$A$4,(VLOOKUP(P42,$A$11:$B$52,2,0)*$S$12),(S41-(Q42+R42)))</f>
        <v>79071.705087029055</v>
      </c>
      <c r="U42" s="80">
        <f>P42</f>
        <v>44228</v>
      </c>
      <c r="V42" s="97">
        <f ca="1">IF(U42&lt;$A$4,0,(YEARFRAC($A$4,U42,1)))</f>
        <v>4.8175182481751824</v>
      </c>
      <c r="W42" s="141">
        <f ca="1">V42*(S41-S42)</f>
        <v>44400.620632556711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44409</v>
      </c>
      <c r="F43" s="74">
        <f ca="1">MAX(IF(ISERROR(VLOOKUP(E43,$A$12:$B$52,2,0)),VLOOKUP(E43,$P$11:$S$52,4,0)/1000000,(VLOOKUP(E43,$A$12:$B$52,2,0))),0)</f>
        <v>7.0093561957132733E-2</v>
      </c>
      <c r="G43" s="128">
        <f ca="1">F43*1000000</f>
        <v>70093.561957132726</v>
      </c>
      <c r="I43" s="80">
        <f>E43</f>
        <v>44409</v>
      </c>
      <c r="J43" s="210">
        <f>$M$12*$N$7</f>
        <v>41019.149999999994</v>
      </c>
      <c r="K43" s="88">
        <f>($F$7/360)*($O$2/100)*M42</f>
        <v>9517.0537898320017</v>
      </c>
      <c r="L43" s="90">
        <f>J43-K43</f>
        <v>31502.096210167991</v>
      </c>
      <c r="M43" s="79">
        <f>M42-L43</f>
        <v>324275.61555925268</v>
      </c>
      <c r="N43" s="126">
        <f>L43/M42</f>
        <v>8.8544321828075853E-2</v>
      </c>
      <c r="O43" s="52"/>
      <c r="P43" s="80">
        <f>I43</f>
        <v>44409</v>
      </c>
      <c r="Q43" s="97">
        <f ca="1">S42*N43</f>
        <v>7001.3505027206029</v>
      </c>
      <c r="R43" s="98">
        <f ca="1">S42*$C$2/2</f>
        <v>1976.7926271757265</v>
      </c>
      <c r="S43" s="99">
        <f ca="1">IF(P43&lt;$A$4,(VLOOKUP(P43,$A$11:$B$52,2,0)*$S$12),(S42-(Q43+R43)))</f>
        <v>70093.561957132726</v>
      </c>
      <c r="U43" s="80">
        <f>P43</f>
        <v>44409</v>
      </c>
      <c r="V43" s="97">
        <f ca="1">IF(U43&lt;$A$4,0,(YEARFRAC($A$4,U43,1)))</f>
        <v>5.312956204379562</v>
      </c>
      <c r="W43" s="141">
        <f ca="1">V43*(S42-S43)</f>
        <v>47700.481245790441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44593</v>
      </c>
      <c r="F44" s="74">
        <f ca="1">MAX(IF(ISERROR(VLOOKUP(E44,$A$12:$B$52,2,0)),VLOOKUP(E44,$P$11:$S$52,4,0)/1000000,(VLOOKUP(E44,$A$12:$B$52,2,0))),0)</f>
        <v>6.1349760887167155E-2</v>
      </c>
      <c r="G44" s="128">
        <f ca="1">F44*1000000</f>
        <v>61349.760887167155</v>
      </c>
      <c r="I44" s="80">
        <f>E44</f>
        <v>44593</v>
      </c>
      <c r="J44" s="210">
        <f>$M$12*$N$7</f>
        <v>41019.149999999994</v>
      </c>
      <c r="K44" s="88">
        <f>($F$7/360)*($O$2/100)*M43</f>
        <v>8674.3727162100095</v>
      </c>
      <c r="L44" s="90">
        <f>J44-K44</f>
        <v>32344.777283789983</v>
      </c>
      <c r="M44" s="79">
        <f>M43-L44</f>
        <v>291930.83827546268</v>
      </c>
      <c r="N44" s="126">
        <f>L44/M43</f>
        <v>9.9744710153452293E-2</v>
      </c>
      <c r="O44" s="52"/>
      <c r="P44" s="80">
        <f>I44</f>
        <v>44593</v>
      </c>
      <c r="Q44" s="97">
        <f ca="1">S43*N44</f>
        <v>6991.4620210372541</v>
      </c>
      <c r="R44" s="98">
        <f ca="1">S43*$C$2/2</f>
        <v>1752.3390489283183</v>
      </c>
      <c r="S44" s="99">
        <f ca="1">IF(P44&lt;$A$4,(VLOOKUP(P44,$A$11:$B$52,2,0)*$S$12),(S43-(Q44+R44)))</f>
        <v>61349.760887167155</v>
      </c>
      <c r="U44" s="80">
        <f>P44</f>
        <v>44593</v>
      </c>
      <c r="V44" s="97">
        <f ca="1">IF(U44&lt;$A$4,0,(YEARFRAC($A$4,U44,1)))</f>
        <v>5.817364098552992</v>
      </c>
      <c r="W44" s="141">
        <f ca="1">V44*(S43-S44)</f>
        <v>50865.874429306954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44774</v>
      </c>
      <c r="F45" s="74">
        <f ca="1">MAX(IF(ISERROR(VLOOKUP(E45,$A$12:$B$52,2,0)),VLOOKUP(E45,$P$11:$S$52,4,0)/1000000,(VLOOKUP(E45,$A$12:$B$52,2,0))),0)</f>
        <v>5.2836879012443015E-2</v>
      </c>
      <c r="G45" s="128">
        <f ca="1">F45*1000000</f>
        <v>52836.879012443016</v>
      </c>
      <c r="I45" s="80">
        <f>E45</f>
        <v>44774</v>
      </c>
      <c r="J45" s="210">
        <f>$M$12*$N$7</f>
        <v>41019.149999999994</v>
      </c>
      <c r="K45" s="88">
        <f>($F$7/360)*($O$2/100)*M44</f>
        <v>7809.1499238686265</v>
      </c>
      <c r="L45" s="90">
        <f>J45-K45</f>
        <v>33210.000076131371</v>
      </c>
      <c r="M45" s="79">
        <f>M44-L45</f>
        <v>258720.83819933131</v>
      </c>
      <c r="N45" s="126">
        <f>L45/M44</f>
        <v>0.11375982158073614</v>
      </c>
      <c r="O45" s="52"/>
      <c r="P45" s="80">
        <f>I45</f>
        <v>44774</v>
      </c>
      <c r="Q45" s="97">
        <f ca="1">S44*N45</f>
        <v>6979.13785254496</v>
      </c>
      <c r="R45" s="98">
        <f ca="1">S44*$C$2/2</f>
        <v>1533.744022179179</v>
      </c>
      <c r="S45" s="99">
        <f ca="1">IF(P45&lt;$A$4,(VLOOKUP(P45,$A$11:$B$52,2,0)*$S$12),(S44-(Q45+R45)))</f>
        <v>52836.879012443016</v>
      </c>
      <c r="U45" s="80">
        <f>P45</f>
        <v>44774</v>
      </c>
      <c r="V45" s="97">
        <f ca="1">IF(U45&lt;$A$4,0,(YEARFRAC($A$4,U45,1)))</f>
        <v>6.3128666405944465</v>
      </c>
      <c r="W45" s="141">
        <f ca="1">V45*(S44-S45)</f>
        <v>53740.688002267125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44958</v>
      </c>
      <c r="F46" s="74">
        <f ca="1">MAX(IF(ISERROR(VLOOKUP(E46,$A$12:$B$52,2,0)),VLOOKUP(E46,$P$11:$S$52,4,0)/1000000,(VLOOKUP(E46,$A$12:$B$52,2,0))),0)</f>
        <v>4.4552268550387845E-2</v>
      </c>
      <c r="G46" s="128">
        <f ca="1">F46*1000000</f>
        <v>44552.268550387846</v>
      </c>
      <c r="I46" s="80">
        <f>E46</f>
        <v>44958</v>
      </c>
      <c r="J46" s="210">
        <f>$M$12*$N$7</f>
        <v>41019.149999999994</v>
      </c>
      <c r="K46" s="88">
        <f>($F$7/360)*($O$2/100)*M45</f>
        <v>6920.782421832112</v>
      </c>
      <c r="L46" s="90">
        <f>J46-K46</f>
        <v>34098.367578167883</v>
      </c>
      <c r="M46" s="79">
        <f>M45-L46</f>
        <v>224622.47062116343</v>
      </c>
      <c r="N46" s="126">
        <f>L46/M45</f>
        <v>0.13179598448848878</v>
      </c>
      <c r="O46" s="52"/>
      <c r="P46" s="80">
        <f>I46</f>
        <v>44958</v>
      </c>
      <c r="Q46" s="97">
        <f ca="1">S45*N46</f>
        <v>6963.6884867440986</v>
      </c>
      <c r="R46" s="98">
        <f ca="1">S45*$C$2/2</f>
        <v>1320.9219753110756</v>
      </c>
      <c r="S46" s="99">
        <f ca="1">IF(P46&lt;$A$4,(VLOOKUP(P46,$A$11:$B$52,2,0)*$S$12),(S45-(Q46+R46)))</f>
        <v>44552.268550387846</v>
      </c>
      <c r="U46" s="80">
        <f>P46</f>
        <v>44958</v>
      </c>
      <c r="V46" s="97">
        <f ca="1">IF(U46&lt;$A$4,0,(YEARFRAC($A$4,U46,1)))</f>
        <v>6.8172484599589325</v>
      </c>
      <c r="W46" s="141">
        <f ca="1">V46*(S45-S46)</f>
        <v>56478.247913805273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45139</v>
      </c>
      <c r="F47" s="74">
        <f ca="1">MAX(IF(ISERROR(VLOOKUP(E47,$A$12:$B$52,2,0)),VLOOKUP(E47,$P$11:$S$52,4,0)/1000000,(VLOOKUP(E47,$A$12:$B$52,2,0))),0)</f>
        <v>3.6494378525428924E-2</v>
      </c>
      <c r="G47" s="128">
        <f ca="1">F47*1000000</f>
        <v>36494.378525428925</v>
      </c>
      <c r="I47" s="80">
        <f>E47</f>
        <v>45139</v>
      </c>
      <c r="J47" s="210">
        <f>$M$12*$N$7</f>
        <v>41019.149999999994</v>
      </c>
      <c r="K47" s="88">
        <f>($F$7/360)*($O$2/100)*M46</f>
        <v>6008.6510891161215</v>
      </c>
      <c r="L47" s="90">
        <f>J47-K47</f>
        <v>35010.498910883871</v>
      </c>
      <c r="M47" s="79">
        <f>M46-L47</f>
        <v>189611.97171027955</v>
      </c>
      <c r="N47" s="126">
        <f>L47/M46</f>
        <v>0.1558637424566964</v>
      </c>
      <c r="O47" s="52"/>
      <c r="P47" s="80">
        <f>I47</f>
        <v>45139</v>
      </c>
      <c r="Q47" s="97">
        <f ca="1">S46*N47</f>
        <v>6944.083311199226</v>
      </c>
      <c r="R47" s="98">
        <f ca="1">S46*$C$2/2</f>
        <v>1113.8067137596961</v>
      </c>
      <c r="S47" s="99">
        <f ca="1">IF(P47&lt;$A$4,(VLOOKUP(P47,$A$11:$B$52,2,0)*$S$12),(S46-(Q47+R47)))</f>
        <v>36494.378525428925</v>
      </c>
      <c r="U47" s="80">
        <f>P47</f>
        <v>45139</v>
      </c>
      <c r="V47" s="97">
        <f ca="1">IF(U47&lt;$A$4,0,(YEARFRAC($A$4,U47,1)))</f>
        <v>7.312799452429843</v>
      </c>
      <c r="W47" s="141">
        <f ca="1">V47*(S46-S47)</f>
        <v>58925.733762259486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45323</v>
      </c>
      <c r="F48" s="74">
        <f ca="1">MAX(IF(ISERROR(VLOOKUP(E48,$A$12:$B$52,2,0)),VLOOKUP(E48,$P$11:$S$52,4,0)/1000000,(VLOOKUP(E48,$A$12:$B$52,2,0))),0)</f>
        <v>2.8663339302915057E-2</v>
      </c>
      <c r="G48" s="128">
        <f ca="1">F48*1000000</f>
        <v>28663.339302915057</v>
      </c>
      <c r="I48" s="80">
        <f>E48</f>
        <v>45323</v>
      </c>
      <c r="J48" s="210">
        <f>$M$12*$N$7</f>
        <v>41019.149999999994</v>
      </c>
      <c r="K48" s="88">
        <f>($F$7/360)*($O$2/100)*M47</f>
        <v>5072.1202432499776</v>
      </c>
      <c r="L48" s="90">
        <f>J48-K48</f>
        <v>35947.029756750017</v>
      </c>
      <c r="M48" s="79">
        <f>M47-L48</f>
        <v>153664.94195352955</v>
      </c>
      <c r="N48" s="126">
        <f>L48/M47</f>
        <v>0.1895820682233916</v>
      </c>
      <c r="O48" s="52"/>
      <c r="P48" s="80">
        <f>I48</f>
        <v>45323</v>
      </c>
      <c r="Q48" s="97">
        <f ca="1">S47*N48</f>
        <v>6918.6797593781439</v>
      </c>
      <c r="R48" s="98">
        <f ca="1">S47*$C$2/2</f>
        <v>912.35946313572322</v>
      </c>
      <c r="S48" s="99">
        <f ca="1">IF(P48&lt;$A$4,(VLOOKUP(P48,$A$11:$B$52,2,0)*$S$12),(S47-(Q48+R48)))</f>
        <v>28663.339302915057</v>
      </c>
      <c r="U48" s="80">
        <f>P48</f>
        <v>45323</v>
      </c>
      <c r="V48" s="97">
        <f ca="1">IF(U48&lt;$A$4,0,(YEARFRAC($A$4,U48,1)))</f>
        <v>7.8147810218978107</v>
      </c>
      <c r="W48" s="141">
        <f ca="1">V48*(S47-S48)</f>
        <v>61197.856697838761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45505</v>
      </c>
      <c r="F49" s="74">
        <f ca="1">MAX(IF(ISERROR(VLOOKUP(E49,$A$12:$B$52,2,0)),VLOOKUP(E49,$P$11:$S$52,4,0)/1000000,(VLOOKUP(E49,$A$12:$B$52,2,0))),0)</f>
        <v>2.1062139989849949E-2</v>
      </c>
      <c r="G49" s="128">
        <f ca="1">F49*1000000</f>
        <v>21062.139989849948</v>
      </c>
      <c r="I49" s="80">
        <f>E49</f>
        <v>45505</v>
      </c>
      <c r="J49" s="210">
        <f>$M$12*$N$7</f>
        <v>41019.149999999994</v>
      </c>
      <c r="K49" s="88">
        <f>($F$7/360)*($O$2/100)*M48</f>
        <v>4110.5371972569155</v>
      </c>
      <c r="L49" s="90">
        <f>J49-K49</f>
        <v>36908.612802743082</v>
      </c>
      <c r="M49" s="79">
        <f>M48-L49</f>
        <v>116756.32915078646</v>
      </c>
      <c r="N49" s="126">
        <f>L49/M48</f>
        <v>0.24018889626694923</v>
      </c>
      <c r="O49" s="52"/>
      <c r="P49" s="80">
        <f>I49</f>
        <v>45505</v>
      </c>
      <c r="Q49" s="97">
        <f ca="1">S48*N49</f>
        <v>6884.6158304922337</v>
      </c>
      <c r="R49" s="98">
        <f ca="1">S48*$C$2/2</f>
        <v>716.58348257287651</v>
      </c>
      <c r="S49" s="99">
        <f ca="1">IF(P49&lt;$A$4,(VLOOKUP(P49,$A$11:$B$52,2,0)*$S$12),(S48-(Q49+R49)))</f>
        <v>21062.139989849948</v>
      </c>
      <c r="U49" s="80">
        <f>P49</f>
        <v>45505</v>
      </c>
      <c r="V49" s="97">
        <f ca="1">IF(U49&lt;$A$4,0,(YEARFRAC($A$4,U49,1)))</f>
        <v>8.312956204379562</v>
      </c>
      <c r="W49" s="141">
        <f ca="1">V49*(S48-S49)</f>
        <v>63188.436990270267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45689</v>
      </c>
      <c r="F50" s="74">
        <f ca="1">MAX(IF(ISERROR(VLOOKUP(E50,$A$12:$B$52,2,0)),VLOOKUP(E50,$P$11:$S$52,4,0)/1000000,(VLOOKUP(E50,$A$12:$B$52,2,0))),0)</f>
        <v>1.3699390629228824E-2</v>
      </c>
      <c r="G50" s="128">
        <f ca="1">F50*1000000</f>
        <v>13699.390629228825</v>
      </c>
      <c r="I50" s="80">
        <f>E50</f>
        <v>45689</v>
      </c>
      <c r="J50" s="210">
        <f>$M$12*$N$7</f>
        <v>41019.149999999994</v>
      </c>
      <c r="K50" s="88">
        <f>($F$7/360)*($O$2/100)*M49</f>
        <v>3123.2318047835379</v>
      </c>
      <c r="L50" s="90">
        <f>J50-K50</f>
        <v>37895.918195216458</v>
      </c>
      <c r="M50" s="79">
        <f>M49-L50</f>
        <v>78860.410955569998</v>
      </c>
      <c r="N50" s="126">
        <f>L50/M49</f>
        <v>0.32457271028344242</v>
      </c>
      <c r="O50" s="52"/>
      <c r="P50" s="80">
        <f>I50</f>
        <v>45689</v>
      </c>
      <c r="Q50" s="97">
        <f ca="1">S49*N50</f>
        <v>6836.1958608748737</v>
      </c>
      <c r="R50" s="98">
        <f ca="1">S49*$C$2/2</f>
        <v>526.55349974624869</v>
      </c>
      <c r="S50" s="99">
        <f ca="1">IF(P50&lt;$A$4,(VLOOKUP(P50,$A$11:$B$52,2,0)*$S$12),(S49-(Q50+R50)))</f>
        <v>13699.390629228825</v>
      </c>
      <c r="U50" s="80">
        <f>P50</f>
        <v>45689</v>
      </c>
      <c r="V50" s="97">
        <f ca="1">IF(U50&lt;$A$4,0,(YEARFRAC($A$4,U50,1)))</f>
        <v>8.8174103476594574</v>
      </c>
      <c r="W50" s="141">
        <f ca="1">V50*(S49-S50)</f>
        <v>64920.382399563743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45870</v>
      </c>
      <c r="F51" s="74">
        <f ca="1">MAX(IF(ISERROR(VLOOKUP(E51,$A$12:$B$52,2,0)),VLOOKUP(E51,$P$11:$S$52,4,0)/1000000,(VLOOKUP(E51,$A$12:$B$52,2,0))),0)</f>
        <v>6.5976426407678727E-3</v>
      </c>
      <c r="G51" s="128">
        <f ca="1">F51*1000000</f>
        <v>6597.6426407678728</v>
      </c>
      <c r="I51" s="80">
        <f>E51</f>
        <v>45870</v>
      </c>
      <c r="J51" s="210">
        <f>$M$12*$N$7</f>
        <v>41019.149999999994</v>
      </c>
      <c r="K51" s="88">
        <f>($F$7/360)*($O$2/100)*M50</f>
        <v>2109.5159930614973</v>
      </c>
      <c r="L51" s="90">
        <f>J51-K51</f>
        <v>38909.634006938497</v>
      </c>
      <c r="M51" s="79">
        <f>M50-L51</f>
        <v>39950.776948631501</v>
      </c>
      <c r="N51" s="126">
        <f>L51/M50</f>
        <v>0.4933988237629171</v>
      </c>
      <c r="O51" s="52"/>
      <c r="P51" s="80">
        <f>I51</f>
        <v>45870</v>
      </c>
      <c r="Q51" s="97">
        <f ca="1">S50*N51</f>
        <v>6759.2632227302311</v>
      </c>
      <c r="R51" s="98">
        <f ca="1">S50*$C$2/2</f>
        <v>342.48476573072065</v>
      </c>
      <c r="S51" s="99">
        <f ca="1">IF(P51&lt;$A$4,(VLOOKUP(P51,$A$11:$B$52,2,0)*$S$12),(S50-(Q51+R51)))</f>
        <v>6597.6426407678728</v>
      </c>
      <c r="U51" s="80">
        <f>P51</f>
        <v>45870</v>
      </c>
      <c r="V51" s="97">
        <f ca="1">IF(U51&lt;$A$4,0,(YEARFRAC($A$4,U51,1)))</f>
        <v>9.312893512181768</v>
      </c>
      <c r="W51" s="141">
        <f ca="1">V51*(S50-S51)</f>
        <v>66137.822766887926</v>
      </c>
    </row>
    <row r="52" spans="1:23" s="82" customFormat="1" ht="13.5" thickBot="1">
      <c r="A52" s="81"/>
      <c r="B52" s="81"/>
      <c r="D52" s="70" t="str">
        <f ca="1">IF(E52&lt;$A$4,"Actual","Model Num")</f>
        <v>Model Num</v>
      </c>
      <c r="E52" s="71">
        <f>DATE(YEAR(E51),MONTH(E51)+6,DAY(E51))</f>
        <v>46054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46054</v>
      </c>
      <c r="J52" s="211">
        <f>$M$12*$N$7</f>
        <v>41019.149999999994</v>
      </c>
      <c r="K52" s="89">
        <f>($F$7/360)*($O$2/100)*M51</f>
        <v>1068.6832833758926</v>
      </c>
      <c r="L52" s="91">
        <f>J52-K52</f>
        <v>39950.466716624098</v>
      </c>
      <c r="M52" s="85">
        <f>M51-L52</f>
        <v>0.31023200740310131</v>
      </c>
      <c r="N52" s="127">
        <f>L52/M51</f>
        <v>0.99999223464395193</v>
      </c>
      <c r="O52" s="86"/>
      <c r="P52" s="84">
        <f>I52</f>
        <v>46054</v>
      </c>
      <c r="Q52" s="100">
        <f ca="1">S51*N52</f>
        <v>6597.5914077236894</v>
      </c>
      <c r="R52" s="98">
        <f ca="1">S51*$C$2/2</f>
        <v>164.94106601919682</v>
      </c>
      <c r="S52" s="102">
        <v>0</v>
      </c>
      <c r="U52" s="142">
        <f>P52</f>
        <v>46054</v>
      </c>
      <c r="V52" s="143">
        <f ca="1">IF(U52&lt;$A$4,0,(YEARFRAC($A$4,U52,1)))</f>
        <v>9.8173220507715282</v>
      </c>
      <c r="W52" s="141">
        <f ca="1">V52*(S51-S52)</f>
        <v>64771.182580320936</v>
      </c>
    </row>
    <row r="53" spans="1:23">
      <c r="A53" s="31"/>
      <c r="B53" s="31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15" priority="1" stopIfTrue="1">
      <formula>$D1="Actual"</formula>
    </cfRule>
  </conditionalFormatting>
  <conditionalFormatting sqref="A4">
    <cfRule type="expression" dxfId="14" priority="2" stopIfTrue="1">
      <formula>#REF!="Actual"</formula>
    </cfRule>
  </conditionalFormatting>
  <conditionalFormatting sqref="C6:C9">
    <cfRule type="cellIs" dxfId="13" priority="3" stopIfTrue="1" operator="equal">
      <formula>"PROB!!"</formula>
    </cfRule>
  </conditionalFormatting>
  <conditionalFormatting sqref="A7">
    <cfRule type="expression" dxfId="12" priority="4" stopIfTrue="1">
      <formula>A7="Warning - Update"</formula>
    </cfRule>
  </conditionalFormatting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indexed="40"/>
  </sheetPr>
  <dimension ref="A1:W53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129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26</v>
      </c>
      <c r="B2" s="67" t="str">
        <f>MID(A2,3,9)</f>
        <v>83162CQH9</v>
      </c>
      <c r="C2" s="131">
        <v>0.05</v>
      </c>
      <c r="D2" s="67">
        <f>IF(ISERROR(VLOOKUP(A2,'Bond Position per Summit'!$C$42:$E$56,3,0)),0,VLOOKUP(A2,'Bond Position per Summit'!$C$42:$E$56,3,0))</f>
        <v>0</v>
      </c>
      <c r="E2" s="67">
        <f>IF(ISERROR(VLOOKUP(A2,'Bond Position per Summit'!$C$65:$E$73,3,0)),0,VLOOKUP(A2,'Bond Position per Summit'!$C$65:$E$73,3,0))</f>
        <v>21667218.649999999</v>
      </c>
      <c r="F2" s="67" t="str">
        <f>_xll.BDP($B2&amp;" Mtge Cusip",F$1)</f>
        <v>SBAP 2006-20F 1</v>
      </c>
      <c r="G2" s="67">
        <f>VLOOKUP(A2,'Bond Position per Summit'!$C$10:$D$32,2,0)</f>
        <v>35000000</v>
      </c>
      <c r="H2" s="67">
        <f>VLOOKUP(A2,'Bond Position per Summit'!$C$10:$E$32,3,0)</f>
        <v>21667218.649999999</v>
      </c>
      <c r="I2" s="67" t="str">
        <f>_xll.BDP($B2&amp;" Mtge Cusip",I$1)</f>
        <v>14/06/2006</v>
      </c>
      <c r="J2" s="67" t="str">
        <f>_xll.BDP($B2&amp;" Mtge Cusip",J$1)</f>
        <v>14/06/2006</v>
      </c>
      <c r="K2" s="67" t="str">
        <f>_xll.BDP($B2&amp;" Mtge Cusip",K$1)</f>
        <v>01/12/2006</v>
      </c>
      <c r="L2" s="67" t="str">
        <f>_xll.BDP($B2&amp;" Mtge Cusip",L$1)</f>
        <v>01/06/2026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5.8199999999999994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35000000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0.18428472440999999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167</v>
      </c>
      <c r="I6" s="108" t="s">
        <v>81</v>
      </c>
      <c r="J6" s="118">
        <v>40534</v>
      </c>
      <c r="K6" s="113">
        <f>ROUND(J6/J5,8)</f>
        <v>4.0534000000000001E-2</v>
      </c>
      <c r="L6" s="108" t="s">
        <v>81</v>
      </c>
      <c r="M6" s="112">
        <v>1418674</v>
      </c>
      <c r="N6" s="134">
        <f>ROUND(M6/M5,8)</f>
        <v>4.053354E-2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42635</v>
      </c>
      <c r="K7" s="115">
        <f>ROUND(J7/J5,8)</f>
        <v>4.2634999999999999E-2</v>
      </c>
      <c r="L7" s="109" t="s">
        <v>82</v>
      </c>
      <c r="M7" s="114">
        <v>1492233</v>
      </c>
      <c r="N7" s="133">
        <f>ROUND(M7/M5,8)</f>
        <v>4.2635230000000003E-2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4.6821277635497252</v>
      </c>
    </row>
    <row r="12" spans="1:23">
      <c r="A12" s="49">
        <f>_xll.BDS($B2&amp;" Mtge Cusip",A11,"cols=2;rows=20")</f>
        <v>42339</v>
      </c>
      <c r="B12" s="50">
        <v>0.18428472400000001</v>
      </c>
      <c r="C12" s="52"/>
      <c r="D12" s="70" t="str">
        <f ca="1">IF(E12&lt;$A$4,"Actual","Model Num")</f>
        <v>Actual</v>
      </c>
      <c r="E12" s="71">
        <v>38882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38882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38882</v>
      </c>
      <c r="Q12" s="94"/>
      <c r="R12" s="95"/>
      <c r="S12" s="96">
        <f>M12</f>
        <v>1000000</v>
      </c>
      <c r="U12" s="139">
        <f>P12</f>
        <v>38882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42156</v>
      </c>
      <c r="B13" s="50">
        <v>0.22074323200000001</v>
      </c>
      <c r="C13" s="52"/>
      <c r="D13" s="70" t="str">
        <f ca="1">IF(E13&lt;$A$4,"Actual","Model Num")</f>
        <v>Actual</v>
      </c>
      <c r="E13" s="71">
        <v>39052</v>
      </c>
      <c r="F13" s="74">
        <f>MAX(IF(ISERROR(VLOOKUP(E13,$A$12:$B$52,2,0)),VLOOKUP(E13,$P$11:$S$52,4,0)/1000000,(VLOOKUP(E13,$A$12:$B$52,2,0))),0)</f>
        <v>0.98445018200000001</v>
      </c>
      <c r="G13" s="128">
        <f>F13*1000000</f>
        <v>984450.18200000003</v>
      </c>
      <c r="H13" s="64"/>
      <c r="I13" s="80">
        <f>E13</f>
        <v>39052</v>
      </c>
      <c r="J13" s="125">
        <f>$M$12*$N$6</f>
        <v>40533.54</v>
      </c>
      <c r="K13" s="88">
        <f>($F$6/360)*($O$2/100)*M12</f>
        <v>26998.333333333332</v>
      </c>
      <c r="L13" s="90">
        <f>J13-K13</f>
        <v>13535.206666666669</v>
      </c>
      <c r="M13" s="79">
        <f>M12-L13</f>
        <v>986464.79333333333</v>
      </c>
      <c r="N13" s="126">
        <f>L13/M12</f>
        <v>1.3535206666666669E-2</v>
      </c>
      <c r="O13" s="52"/>
      <c r="P13" s="80">
        <f>I13</f>
        <v>39052</v>
      </c>
      <c r="Q13" s="97">
        <f>S12*N13</f>
        <v>13535.206666666669</v>
      </c>
      <c r="R13" s="98">
        <f>S12*$C$2/2</f>
        <v>25000</v>
      </c>
      <c r="S13" s="99">
        <f ca="1">IF(P13&lt;$A$4,(VLOOKUP(P13,$A$11:$B$52,2,0)*$S$12),(S12-(Q13+R13)))</f>
        <v>984450.18200000003</v>
      </c>
      <c r="U13" s="80">
        <f>P13</f>
        <v>39052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41974</v>
      </c>
      <c r="B14" s="50">
        <v>0.24808561000000001</v>
      </c>
      <c r="C14" s="52"/>
      <c r="D14" s="70" t="str">
        <f ca="1">IF(E14&lt;$A$4,"Actual","Model Num")</f>
        <v>Actual</v>
      </c>
      <c r="E14" s="71">
        <f>DATE(YEAR(E13),MONTH(E13)+6,DAY(E13))</f>
        <v>39234</v>
      </c>
      <c r="F14" s="74">
        <f>MAX(IF(ISERROR(VLOOKUP(E14,$A$12:$B$52,2,0)),VLOOKUP(E14,$P$11:$S$52,4,0)/1000000,(VLOOKUP(E14,$A$12:$B$52,2,0))),0)</f>
        <v>0.945316551</v>
      </c>
      <c r="G14" s="128">
        <f>F14*1000000</f>
        <v>945316.55099999998</v>
      </c>
      <c r="H14" s="64"/>
      <c r="I14" s="80">
        <f>E14</f>
        <v>39234</v>
      </c>
      <c r="J14" s="210">
        <f>$M$12*$N$7</f>
        <v>42635.23</v>
      </c>
      <c r="K14" s="88">
        <f>($F$7/360)*($O$2/100)*M13</f>
        <v>28706.125485999997</v>
      </c>
      <c r="L14" s="90">
        <f>J14-K14</f>
        <v>13929.104514000006</v>
      </c>
      <c r="M14" s="79">
        <f>M13-L14</f>
        <v>972535.68881933333</v>
      </c>
      <c r="N14" s="126">
        <f>L14/M13</f>
        <v>1.4120224673130594E-2</v>
      </c>
      <c r="O14" s="52"/>
      <c r="P14" s="80">
        <f>I14</f>
        <v>39234</v>
      </c>
      <c r="Q14" s="97">
        <f ca="1">S13*N14</f>
        <v>13900.657749344304</v>
      </c>
      <c r="R14" s="98">
        <f ca="1">S13*$C$2/2</f>
        <v>24611.254550000001</v>
      </c>
      <c r="S14" s="99">
        <f ca="1">IF(P14&lt;$A$4,(VLOOKUP(P14,$A$11:$B$52,2,0)*$S$12),(S13-(Q14+R14)))</f>
        <v>945316.55099999998</v>
      </c>
      <c r="U14" s="80">
        <f>P14</f>
        <v>39234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41791</v>
      </c>
      <c r="B15" s="50">
        <v>0.29189192400000002</v>
      </c>
      <c r="C15" s="52"/>
      <c r="D15" s="70" t="str">
        <f ca="1">IF(E15&lt;$A$4,"Actual","Model Num")</f>
        <v>Actual</v>
      </c>
      <c r="E15" s="71">
        <f>DATE(YEAR(E14),MONTH(E14)+6,DAY(E14))</f>
        <v>39417</v>
      </c>
      <c r="F15" s="74">
        <f>MAX(IF(ISERROR(VLOOKUP(E15,$A$12:$B$52,2,0)),VLOOKUP(E15,$P$11:$S$52,4,0)/1000000,(VLOOKUP(E15,$A$12:$B$52,2,0))),0)</f>
        <v>0.89701710000000001</v>
      </c>
      <c r="G15" s="128">
        <f>F15*1000000</f>
        <v>897017.1</v>
      </c>
      <c r="H15" s="64"/>
      <c r="I15" s="80">
        <f>E15</f>
        <v>39417</v>
      </c>
      <c r="J15" s="210">
        <f>$M$12*$N$7</f>
        <v>42635.23</v>
      </c>
      <c r="K15" s="88">
        <f>($F$7/360)*($O$2/100)*M14</f>
        <v>28300.788544642597</v>
      </c>
      <c r="L15" s="90">
        <f>J15-K15</f>
        <v>14334.441455357406</v>
      </c>
      <c r="M15" s="79">
        <f>M14-L15</f>
        <v>958201.24736397597</v>
      </c>
      <c r="N15" s="126">
        <f>L15/M14</f>
        <v>1.4739244657190464E-2</v>
      </c>
      <c r="O15" s="52"/>
      <c r="P15" s="80">
        <f>I15</f>
        <v>39417</v>
      </c>
      <c r="Q15" s="97">
        <f ca="1">S14*N15</f>
        <v>13933.251923680466</v>
      </c>
      <c r="R15" s="98">
        <f ca="1">S14*$C$2/2</f>
        <v>23632.913775000001</v>
      </c>
      <c r="S15" s="99">
        <f ca="1">IF(P15&lt;$A$4,(VLOOKUP(P15,$A$11:$B$52,2,0)*$S$12),(S14-(Q15+R15)))</f>
        <v>897017.1</v>
      </c>
      <c r="U15" s="80">
        <f>P15</f>
        <v>39417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41609</v>
      </c>
      <c r="B16" s="50">
        <v>0.32962687800000001</v>
      </c>
      <c r="C16" s="52"/>
      <c r="D16" s="70" t="str">
        <f ca="1">IF(E16&lt;$A$4,"Actual","Model Num")</f>
        <v>Actual</v>
      </c>
      <c r="E16" s="71">
        <f>DATE(YEAR(E15),MONTH(E15)+6,DAY(E15))</f>
        <v>39600</v>
      </c>
      <c r="F16" s="74">
        <f>MAX(IF(ISERROR(VLOOKUP(E16,$A$12:$B$52,2,0)),VLOOKUP(E16,$P$11:$S$52,4,0)/1000000,(VLOOKUP(E16,$A$12:$B$52,2,0))),0)</f>
        <v>0.85061188700000001</v>
      </c>
      <c r="G16" s="128">
        <f>F16*1000000</f>
        <v>850611.88699999999</v>
      </c>
      <c r="H16" s="64"/>
      <c r="I16" s="80">
        <f>E16</f>
        <v>39600</v>
      </c>
      <c r="J16" s="210">
        <f>$M$12*$N$7</f>
        <v>42635.23</v>
      </c>
      <c r="K16" s="88">
        <f>($F$7/360)*($O$2/100)*M15</f>
        <v>27883.656298291698</v>
      </c>
      <c r="L16" s="90">
        <f>J16-K16</f>
        <v>14751.573701708305</v>
      </c>
      <c r="M16" s="79">
        <f>M15-L16</f>
        <v>943449.67366226763</v>
      </c>
      <c r="N16" s="126">
        <f>L16/M15</f>
        <v>1.5395068355723889E-2</v>
      </c>
      <c r="O16" s="52"/>
      <c r="P16" s="80">
        <f>I16</f>
        <v>39600</v>
      </c>
      <c r="Q16" s="97">
        <f ca="1">S15*N16</f>
        <v>13809.639570753212</v>
      </c>
      <c r="R16" s="98">
        <f ca="1">S15*$C$2/2</f>
        <v>22425.427500000002</v>
      </c>
      <c r="S16" s="99">
        <f ca="1">IF(P16&lt;$A$4,(VLOOKUP(P16,$A$11:$B$52,2,0)*$S$12),(S15-(Q16+R16)))</f>
        <v>850611.88699999999</v>
      </c>
      <c r="U16" s="80">
        <f>P16</f>
        <v>39600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41426</v>
      </c>
      <c r="B17" s="50">
        <v>0.38901036300000003</v>
      </c>
      <c r="C17" s="52"/>
      <c r="D17" s="70" t="str">
        <f ca="1">IF(E17&lt;$A$4,"Actual","Model Num")</f>
        <v>Actual</v>
      </c>
      <c r="E17" s="71">
        <f>DATE(YEAR(E16),MONTH(E16)+6,DAY(E16))</f>
        <v>39783</v>
      </c>
      <c r="F17" s="74">
        <f>MAX(IF(ISERROR(VLOOKUP(E17,$A$12:$B$52,2,0)),VLOOKUP(E17,$P$11:$S$52,4,0)/1000000,(VLOOKUP(E17,$A$12:$B$52,2,0))),0)</f>
        <v>0.79762765899999999</v>
      </c>
      <c r="G17" s="128">
        <f>F17*1000000</f>
        <v>797627.65899999999</v>
      </c>
      <c r="H17" s="64"/>
      <c r="I17" s="80">
        <f>E17</f>
        <v>39783</v>
      </c>
      <c r="J17" s="210">
        <f>$M$12*$N$7</f>
        <v>42635.23</v>
      </c>
      <c r="K17" s="88">
        <f>($F$7/360)*($O$2/100)*M16</f>
        <v>27454.385503571986</v>
      </c>
      <c r="L17" s="90">
        <f>J17-K17</f>
        <v>15180.844496428017</v>
      </c>
      <c r="M17" s="79">
        <f>M16-L17</f>
        <v>928268.82916583959</v>
      </c>
      <c r="N17" s="126">
        <f>L17/M16</f>
        <v>1.609078355764252E-2</v>
      </c>
      <c r="O17" s="52"/>
      <c r="P17" s="80">
        <f>I17</f>
        <v>39783</v>
      </c>
      <c r="Q17" s="97">
        <f ca="1">S16*N17</f>
        <v>13687.011765274878</v>
      </c>
      <c r="R17" s="98">
        <f ca="1">S16*$C$2/2</f>
        <v>21265.297175</v>
      </c>
      <c r="S17" s="99">
        <f ca="1">IF(P17&lt;$A$4,(VLOOKUP(P17,$A$11:$B$52,2,0)*$S$12),(S16-(Q17+R17)))</f>
        <v>797627.65899999999</v>
      </c>
      <c r="U17" s="80">
        <f>P17</f>
        <v>39783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41244</v>
      </c>
      <c r="B18" s="50">
        <v>0.43644369900000002</v>
      </c>
      <c r="C18" s="52"/>
      <c r="D18" s="70" t="str">
        <f ca="1">IF(E18&lt;$A$4,"Actual","Model Num")</f>
        <v>Actual</v>
      </c>
      <c r="E18" s="71">
        <f>DATE(YEAR(E17),MONTH(E17)+6,DAY(E17))</f>
        <v>39965</v>
      </c>
      <c r="F18" s="74">
        <f>MAX(IF(ISERROR(VLOOKUP(E18,$A$12:$B$52,2,0)),VLOOKUP(E18,$P$11:$S$52,4,0)/1000000,(VLOOKUP(E18,$A$12:$B$52,2,0))),0)</f>
        <v>0.75184652299999999</v>
      </c>
      <c r="G18" s="128">
        <f>F18*1000000</f>
        <v>751846.52300000004</v>
      </c>
      <c r="H18" s="64"/>
      <c r="I18" s="80">
        <f>E18</f>
        <v>39965</v>
      </c>
      <c r="J18" s="210">
        <f>$M$12*$N$7</f>
        <v>42635.23</v>
      </c>
      <c r="K18" s="88">
        <f>($F$7/360)*($O$2/100)*M17</f>
        <v>27012.62292872593</v>
      </c>
      <c r="L18" s="90">
        <f>J18-K18</f>
        <v>15622.607071274073</v>
      </c>
      <c r="M18" s="79">
        <f>M17-L18</f>
        <v>912646.22209456551</v>
      </c>
      <c r="N18" s="126">
        <f>L18/M17</f>
        <v>1.6829830519368889E-2</v>
      </c>
      <c r="O18" s="52"/>
      <c r="P18" s="80">
        <f>I18</f>
        <v>39965</v>
      </c>
      <c r="Q18" s="97">
        <f ca="1">S17*N18</f>
        <v>13423.93831853096</v>
      </c>
      <c r="R18" s="98">
        <f ca="1">S17*$C$2/2</f>
        <v>19940.691475</v>
      </c>
      <c r="S18" s="99">
        <f ca="1">IF(P18&lt;$A$4,(VLOOKUP(P18,$A$11:$B$52,2,0)*$S$12),(S17-(Q18+R18)))</f>
        <v>751846.52300000004</v>
      </c>
      <c r="U18" s="80">
        <f>P18</f>
        <v>39965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41061</v>
      </c>
      <c r="B19" s="50">
        <v>0.49431844899999999</v>
      </c>
      <c r="C19" s="52"/>
      <c r="D19" s="70" t="str">
        <f ca="1">IF(E19&lt;$A$4,"Actual","Model Num")</f>
        <v>Actual</v>
      </c>
      <c r="E19" s="71">
        <f>DATE(YEAR(E18),MONTH(E18)+6,DAY(E18))</f>
        <v>40148</v>
      </c>
      <c r="F19" s="74">
        <f>MAX(IF(ISERROR(VLOOKUP(E19,$A$12:$B$52,2,0)),VLOOKUP(E19,$P$11:$S$52,4,0)/1000000,(VLOOKUP(E19,$A$12:$B$52,2,0))),0)</f>
        <v>0.70639502799999998</v>
      </c>
      <c r="G19" s="128">
        <f>F19*1000000</f>
        <v>706395.02799999993</v>
      </c>
      <c r="H19" s="64"/>
      <c r="I19" s="80">
        <f>E19</f>
        <v>40148</v>
      </c>
      <c r="J19" s="210">
        <f>$M$12*$N$7</f>
        <v>42635.23</v>
      </c>
      <c r="K19" s="88">
        <f>($F$7/360)*($O$2/100)*M18</f>
        <v>26558.005062951856</v>
      </c>
      <c r="L19" s="90">
        <f>J19-K19</f>
        <v>16077.224937048148</v>
      </c>
      <c r="M19" s="79">
        <f>M18-L19</f>
        <v>896568.99715751735</v>
      </c>
      <c r="N19" s="126">
        <f>L19/M18</f>
        <v>1.7616053787140179E-2</v>
      </c>
      <c r="O19" s="52"/>
      <c r="P19" s="80">
        <f>I19</f>
        <v>40148</v>
      </c>
      <c r="Q19" s="97">
        <f ca="1">S18*N19</f>
        <v>13244.568788842327</v>
      </c>
      <c r="R19" s="98">
        <f ca="1">S18*$C$2/2</f>
        <v>18796.163075</v>
      </c>
      <c r="S19" s="99">
        <f ca="1">IF(P19&lt;$A$4,(VLOOKUP(P19,$A$11:$B$52,2,0)*$S$12),(S18-(Q19+R19)))</f>
        <v>706395.02799999993</v>
      </c>
      <c r="U19" s="80">
        <f>P19</f>
        <v>40148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40878</v>
      </c>
      <c r="B20" s="50">
        <v>0.53382813500000004</v>
      </c>
      <c r="C20" s="52"/>
      <c r="D20" s="70" t="str">
        <f ca="1">IF(E20&lt;$A$4,"Actual","Model Num")</f>
        <v>Actual</v>
      </c>
      <c r="E20" s="71">
        <f>DATE(YEAR(E19),MONTH(E19)+6,DAY(E19))</f>
        <v>40330</v>
      </c>
      <c r="F20" s="74">
        <f>MAX(IF(ISERROR(VLOOKUP(E20,$A$12:$B$52,2,0)),VLOOKUP(E20,$P$11:$S$52,4,0)/1000000,(VLOOKUP(E20,$A$12:$B$52,2,0))),0)</f>
        <v>0.65779522000000001</v>
      </c>
      <c r="G20" s="128">
        <f>F20*1000000</f>
        <v>657795.22</v>
      </c>
      <c r="H20" s="64"/>
      <c r="I20" s="80">
        <f>E20</f>
        <v>40330</v>
      </c>
      <c r="J20" s="210">
        <f>$M$12*$N$7</f>
        <v>42635.23</v>
      </c>
      <c r="K20" s="88">
        <f>($F$7/360)*($O$2/100)*M19</f>
        <v>26090.157817283754</v>
      </c>
      <c r="L20" s="90">
        <f>J20-K20</f>
        <v>16545.072182716249</v>
      </c>
      <c r="M20" s="79">
        <f>M19-L20</f>
        <v>880023.92497480114</v>
      </c>
      <c r="N20" s="126">
        <f>L20/M19</f>
        <v>1.8453763441710288E-2</v>
      </c>
      <c r="O20" s="52"/>
      <c r="P20" s="80">
        <f>I20</f>
        <v>40330</v>
      </c>
      <c r="Q20" s="97">
        <f ca="1">S19*N20</f>
        <v>13035.646743112315</v>
      </c>
      <c r="R20" s="98">
        <f ca="1">S19*$C$2/2</f>
        <v>17659.875700000001</v>
      </c>
      <c r="S20" s="99">
        <f ca="1">IF(P20&lt;$A$4,(VLOOKUP(P20,$A$11:$B$52,2,0)*$S$12),(S19-(Q20+R20)))</f>
        <v>657795.22</v>
      </c>
      <c r="U20" s="80">
        <f>P20</f>
        <v>40330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40695</v>
      </c>
      <c r="B21" s="50">
        <v>0.58494397499999995</v>
      </c>
      <c r="C21" s="52"/>
      <c r="D21" s="70" t="str">
        <f ca="1">IF(E21&lt;$A$4,"Actual","Model Num")</f>
        <v>Actual</v>
      </c>
      <c r="E21" s="71">
        <f>DATE(YEAR(E20),MONTH(E20)+6,DAY(E20))</f>
        <v>40513</v>
      </c>
      <c r="F21" s="74">
        <f>MAX(IF(ISERROR(VLOOKUP(E21,$A$12:$B$52,2,0)),VLOOKUP(E21,$P$11:$S$52,4,0)/1000000,(VLOOKUP(E21,$A$12:$B$52,2,0))),0)</f>
        <v>0.61906339399999999</v>
      </c>
      <c r="G21" s="128">
        <f>F21*1000000</f>
        <v>619063.39399999997</v>
      </c>
      <c r="H21" s="64"/>
      <c r="I21" s="80">
        <f>E21</f>
        <v>40513</v>
      </c>
      <c r="J21" s="210">
        <f>$M$12*$N$7</f>
        <v>42635.23</v>
      </c>
      <c r="K21" s="88">
        <f>($F$7/360)*($O$2/100)*M20</f>
        <v>25608.696216766712</v>
      </c>
      <c r="L21" s="90">
        <f>J21-K21</f>
        <v>17026.533783233292</v>
      </c>
      <c r="M21" s="79">
        <f>M20-L21</f>
        <v>862997.39119156788</v>
      </c>
      <c r="N21" s="126">
        <f>L21/M20</f>
        <v>1.9347807826612027E-2</v>
      </c>
      <c r="O21" s="52"/>
      <c r="P21" s="80">
        <f>I21</f>
        <v>40513</v>
      </c>
      <c r="Q21" s="97">
        <f ca="1">S20*N21</f>
        <v>12726.895505823979</v>
      </c>
      <c r="R21" s="98">
        <f ca="1">S20*$C$2/2</f>
        <v>16444.880499999999</v>
      </c>
      <c r="S21" s="99">
        <f ca="1">IF(P21&lt;$A$4,(VLOOKUP(P21,$A$11:$B$52,2,0)*$S$12),(S20-(Q21+R21)))</f>
        <v>619063.39399999997</v>
      </c>
      <c r="U21" s="80">
        <f>P21</f>
        <v>40513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40513</v>
      </c>
      <c r="B22" s="50">
        <v>0.61906339399999999</v>
      </c>
      <c r="C22" s="52"/>
      <c r="D22" s="70" t="str">
        <f ca="1">IF(E22&lt;$A$4,"Actual","Model Num")</f>
        <v>Actual</v>
      </c>
      <c r="E22" s="71">
        <f>DATE(YEAR(E21),MONTH(E21)+6,DAY(E21))</f>
        <v>40695</v>
      </c>
      <c r="F22" s="74">
        <f>MAX(IF(ISERROR(VLOOKUP(E22,$A$12:$B$52,2,0)),VLOOKUP(E22,$P$11:$S$52,4,0)/1000000,(VLOOKUP(E22,$A$12:$B$52,2,0))),0)</f>
        <v>0.58494397499999995</v>
      </c>
      <c r="G22" s="128">
        <f>F22*1000000</f>
        <v>584943.97499999998</v>
      </c>
      <c r="H22" s="64"/>
      <c r="I22" s="80">
        <f>E22</f>
        <v>40695</v>
      </c>
      <c r="J22" s="210">
        <f>$M$12*$N$7</f>
        <v>42635.23</v>
      </c>
      <c r="K22" s="88">
        <f>($F$7/360)*($O$2/100)*M21</f>
        <v>25113.224083674624</v>
      </c>
      <c r="L22" s="90">
        <f>J22-K22</f>
        <v>17522.005916325379</v>
      </c>
      <c r="M22" s="79">
        <f>M21-L22</f>
        <v>845475.3852752425</v>
      </c>
      <c r="N22" s="126">
        <f>L22/M21</f>
        <v>2.0303660353054125E-2</v>
      </c>
      <c r="O22" s="52"/>
      <c r="P22" s="80">
        <f>I22</f>
        <v>40695</v>
      </c>
      <c r="Q22" s="97">
        <f ca="1">S21*N22</f>
        <v>12569.252888784924</v>
      </c>
      <c r="R22" s="98">
        <f ca="1">S21*$C$2/2</f>
        <v>15476.584849999999</v>
      </c>
      <c r="S22" s="99">
        <f ca="1">IF(P22&lt;$A$4,(VLOOKUP(P22,$A$11:$B$52,2,0)*$S$12),(S21-(Q22+R22)))</f>
        <v>584943.97499999998</v>
      </c>
      <c r="U22" s="80">
        <f>P22</f>
        <v>40695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40330</v>
      </c>
      <c r="B23" s="50">
        <v>0.65779522000000001</v>
      </c>
      <c r="C23" s="52"/>
      <c r="D23" s="70" t="str">
        <f ca="1">IF(E23&lt;$A$4,"Actual","Model Num")</f>
        <v>Actual</v>
      </c>
      <c r="E23" s="71">
        <f>DATE(YEAR(E22),MONTH(E22)+6,DAY(E22))</f>
        <v>40878</v>
      </c>
      <c r="F23" s="74">
        <f>MAX(IF(ISERROR(VLOOKUP(E23,$A$12:$B$52,2,0)),VLOOKUP(E23,$P$11:$S$52,4,0)/1000000,(VLOOKUP(E23,$A$12:$B$52,2,0))),0)</f>
        <v>0.53382813500000004</v>
      </c>
      <c r="G23" s="128">
        <f>F23*1000000</f>
        <v>533828.13500000001</v>
      </c>
      <c r="H23" s="64"/>
      <c r="I23" s="80">
        <f>E23</f>
        <v>40878</v>
      </c>
      <c r="J23" s="210">
        <f>$M$12*$N$7</f>
        <v>42635.23</v>
      </c>
      <c r="K23" s="88">
        <f>($F$7/360)*($O$2/100)*M22</f>
        <v>24603.333711509553</v>
      </c>
      <c r="L23" s="90">
        <f>J23-K23</f>
        <v>18031.89628849045</v>
      </c>
      <c r="M23" s="79">
        <f>M22-L23</f>
        <v>827443.488986752</v>
      </c>
      <c r="N23" s="126">
        <f>L23/M22</f>
        <v>2.1327523666014488E-2</v>
      </c>
      <c r="O23" s="52"/>
      <c r="P23" s="80">
        <f>I23</f>
        <v>40878</v>
      </c>
      <c r="Q23" s="97">
        <f ca="1">S22*N23</f>
        <v>12475.406470105087</v>
      </c>
      <c r="R23" s="98">
        <f ca="1">S22*$C$2/2</f>
        <v>14623.599375</v>
      </c>
      <c r="S23" s="99">
        <f ca="1">IF(P23&lt;$A$4,(VLOOKUP(P23,$A$11:$B$52,2,0)*$S$12),(S22-(Q23+R23)))</f>
        <v>533828.13500000001</v>
      </c>
      <c r="U23" s="80">
        <f>P23</f>
        <v>40878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40148</v>
      </c>
      <c r="B24" s="50">
        <v>0.70639502799999998</v>
      </c>
      <c r="C24" s="52"/>
      <c r="D24" s="70" t="str">
        <f ca="1">IF(E24&lt;$A$4,"Actual","Model Num")</f>
        <v>Actual</v>
      </c>
      <c r="E24" s="71">
        <f>DATE(YEAR(E23),MONTH(E23)+6,DAY(E23))</f>
        <v>41061</v>
      </c>
      <c r="F24" s="74">
        <f>MAX(IF(ISERROR(VLOOKUP(E24,$A$12:$B$52,2,0)),VLOOKUP(E24,$P$11:$S$52,4,0)/1000000,(VLOOKUP(E24,$A$12:$B$52,2,0))),0)</f>
        <v>0.49431844899999999</v>
      </c>
      <c r="G24" s="128">
        <f>F24*1000000</f>
        <v>494318.44899999996</v>
      </c>
      <c r="H24" s="64"/>
      <c r="I24" s="80">
        <f>E24</f>
        <v>41061</v>
      </c>
      <c r="J24" s="210">
        <f>$M$12*$N$7</f>
        <v>42635.23</v>
      </c>
      <c r="K24" s="88">
        <f>($F$7/360)*($O$2/100)*M23</f>
        <v>24078.60552951448</v>
      </c>
      <c r="L24" s="90">
        <f>J24-K24</f>
        <v>18556.624470485523</v>
      </c>
      <c r="M24" s="79">
        <f>M23-L24</f>
        <v>808886.86451626651</v>
      </c>
      <c r="N24" s="126">
        <f>L24/M23</f>
        <v>2.2426455362177161E-2</v>
      </c>
      <c r="O24" s="52"/>
      <c r="P24" s="80">
        <f>I24</f>
        <v>41061</v>
      </c>
      <c r="Q24" s="97">
        <f ca="1">S23*N24</f>
        <v>11971.872840651784</v>
      </c>
      <c r="R24" s="98">
        <f ca="1">S23*$C$2/2</f>
        <v>13345.703375000001</v>
      </c>
      <c r="S24" s="99">
        <f ca="1">IF(P24&lt;$A$4,(VLOOKUP(P24,$A$11:$B$52,2,0)*$S$12),(S23-(Q24+R24)))</f>
        <v>494318.44899999996</v>
      </c>
      <c r="U24" s="80">
        <f>P24</f>
        <v>41061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39965</v>
      </c>
      <c r="B25" s="50">
        <v>0.75184652299999999</v>
      </c>
      <c r="C25" s="52"/>
      <c r="D25" s="70" t="str">
        <f ca="1">IF(E25&lt;$A$4,"Actual","Model Num")</f>
        <v>Actual</v>
      </c>
      <c r="E25" s="71">
        <f>DATE(YEAR(E24),MONTH(E24)+6,DAY(E24))</f>
        <v>41244</v>
      </c>
      <c r="F25" s="74">
        <f>MAX(IF(ISERROR(VLOOKUP(E25,$A$12:$B$52,2,0)),VLOOKUP(E25,$P$11:$S$52,4,0)/1000000,(VLOOKUP(E25,$A$12:$B$52,2,0))),0)</f>
        <v>0.43644369900000002</v>
      </c>
      <c r="G25" s="128">
        <f>F25*1000000</f>
        <v>436443.69900000002</v>
      </c>
      <c r="H25" s="64"/>
      <c r="I25" s="80">
        <f>E25</f>
        <v>41244</v>
      </c>
      <c r="J25" s="210">
        <f>$M$12*$N$7</f>
        <v>42635.23</v>
      </c>
      <c r="K25" s="88">
        <f>($F$7/360)*($O$2/100)*M24</f>
        <v>23538.607757423353</v>
      </c>
      <c r="L25" s="90">
        <f>J25-K25</f>
        <v>19096.62224257665</v>
      </c>
      <c r="M25" s="79">
        <f>M24-L25</f>
        <v>789790.24227368983</v>
      </c>
      <c r="N25" s="126">
        <f>L25/M24</f>
        <v>2.3608520647688949E-2</v>
      </c>
      <c r="O25" s="52"/>
      <c r="P25" s="80">
        <f>I25</f>
        <v>41244</v>
      </c>
      <c r="Q25" s="97">
        <f ca="1">S24*N25</f>
        <v>11670.127309750076</v>
      </c>
      <c r="R25" s="98">
        <f ca="1">S24*$C$2/2</f>
        <v>12357.961224999999</v>
      </c>
      <c r="S25" s="99">
        <f ca="1">IF(P25&lt;$A$4,(VLOOKUP(P25,$A$11:$B$52,2,0)*$S$12),(S24-(Q25+R25)))</f>
        <v>436443.69900000002</v>
      </c>
      <c r="U25" s="80">
        <f>P25</f>
        <v>41244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39783</v>
      </c>
      <c r="B26" s="50">
        <v>0.79762765899999999</v>
      </c>
      <c r="C26" s="52"/>
      <c r="D26" s="70" t="str">
        <f ca="1">IF(E26&lt;$A$4,"Actual","Model Num")</f>
        <v>Actual</v>
      </c>
      <c r="E26" s="71">
        <f>DATE(YEAR(E25),MONTH(E25)+6,DAY(E25))</f>
        <v>41426</v>
      </c>
      <c r="F26" s="74">
        <f>MAX(IF(ISERROR(VLOOKUP(E26,$A$12:$B$52,2,0)),VLOOKUP(E26,$P$11:$S$52,4,0)/1000000,(VLOOKUP(E26,$A$12:$B$52,2,0))),0)</f>
        <v>0.38901036300000003</v>
      </c>
      <c r="G26" s="128">
        <f>F26*1000000</f>
        <v>389010.36300000001</v>
      </c>
      <c r="H26" s="64"/>
      <c r="I26" s="80">
        <f>E26</f>
        <v>41426</v>
      </c>
      <c r="J26" s="210">
        <f>$M$12*$N$7</f>
        <v>42635.23</v>
      </c>
      <c r="K26" s="88">
        <f>($F$7/360)*($O$2/100)*M25</f>
        <v>22982.896050164371</v>
      </c>
      <c r="L26" s="90">
        <f>J26-K26</f>
        <v>19652.333949835633</v>
      </c>
      <c r="M26" s="79">
        <f>M25-L26</f>
        <v>770137.90832385421</v>
      </c>
      <c r="N26" s="126">
        <f>L26/M25</f>
        <v>2.4882978920149047E-2</v>
      </c>
      <c r="O26" s="52"/>
      <c r="P26" s="80">
        <f>I26</f>
        <v>41426</v>
      </c>
      <c r="Q26" s="97">
        <f ca="1">S25*N26</f>
        <v>10860.019362048877</v>
      </c>
      <c r="R26" s="98">
        <f ca="1">S25*$C$2/2</f>
        <v>10911.092475000001</v>
      </c>
      <c r="S26" s="99">
        <f ca="1">IF(P26&lt;$A$4,(VLOOKUP(P26,$A$11:$B$52,2,0)*$S$12),(S25-(Q26+R26)))</f>
        <v>389010.36300000001</v>
      </c>
      <c r="U26" s="80">
        <f>P26</f>
        <v>41426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39600</v>
      </c>
      <c r="B27" s="50">
        <v>0.85061188700000001</v>
      </c>
      <c r="C27" s="52"/>
      <c r="D27" s="70" t="str">
        <f ca="1">IF(E27&lt;$A$4,"Actual","Model Num")</f>
        <v>Actual</v>
      </c>
      <c r="E27" s="71">
        <f>DATE(YEAR(E26),MONTH(E26)+6,DAY(E26))</f>
        <v>41609</v>
      </c>
      <c r="F27" s="74">
        <f>MAX(IF(ISERROR(VLOOKUP(E27,$A$12:$B$52,2,0)),VLOOKUP(E27,$P$11:$S$52,4,0)/1000000,(VLOOKUP(E27,$A$12:$B$52,2,0))),0)</f>
        <v>0.32962687800000001</v>
      </c>
      <c r="G27" s="128">
        <f>F27*1000000</f>
        <v>329626.87800000003</v>
      </c>
      <c r="H27" s="64"/>
      <c r="I27" s="80">
        <f>E27</f>
        <v>41609</v>
      </c>
      <c r="J27" s="210">
        <f>$M$12*$N$7</f>
        <v>42635.23</v>
      </c>
      <c r="K27" s="88">
        <f>($F$7/360)*($O$2/100)*M26</f>
        <v>22411.013132224154</v>
      </c>
      <c r="L27" s="90">
        <f>J27-K27</f>
        <v>20224.216867775849</v>
      </c>
      <c r="M27" s="79">
        <f>M26-L27</f>
        <v>749913.69145607832</v>
      </c>
      <c r="N27" s="126">
        <f>L27/M26</f>
        <v>2.6260513408296313E-2</v>
      </c>
      <c r="O27" s="52"/>
      <c r="P27" s="80">
        <f>I27</f>
        <v>41609</v>
      </c>
      <c r="Q27" s="97">
        <f ca="1">S26*N27</f>
        <v>10215.611853527716</v>
      </c>
      <c r="R27" s="98">
        <f ca="1">S26*$C$2/2</f>
        <v>9725.2590749999999</v>
      </c>
      <c r="S27" s="99">
        <f ca="1">IF(P27&lt;$A$4,(VLOOKUP(P27,$A$11:$B$52,2,0)*$S$12),(S26-(Q27+R27)))</f>
        <v>329626.87800000003</v>
      </c>
      <c r="U27" s="80">
        <f>P27</f>
        <v>41609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39417</v>
      </c>
      <c r="B28" s="50">
        <v>0.89701710000000001</v>
      </c>
      <c r="C28" s="52"/>
      <c r="D28" s="70" t="str">
        <f ca="1">IF(E28&lt;$A$4,"Actual","Model Num")</f>
        <v>Actual</v>
      </c>
      <c r="E28" s="71">
        <f>DATE(YEAR(E27),MONTH(E27)+6,DAY(E27))</f>
        <v>41791</v>
      </c>
      <c r="F28" s="74">
        <f>MAX(IF(ISERROR(VLOOKUP(E28,$A$12:$B$52,2,0)),VLOOKUP(E28,$P$11:$S$52,4,0)/1000000,(VLOOKUP(E28,$A$12:$B$52,2,0))),0)</f>
        <v>0.29189192400000002</v>
      </c>
      <c r="G28" s="128">
        <f>F28*1000000</f>
        <v>291891.924</v>
      </c>
      <c r="H28" s="64"/>
      <c r="I28" s="80">
        <f>E28</f>
        <v>41791</v>
      </c>
      <c r="J28" s="210">
        <f>$M$12*$N$7</f>
        <v>42635.23</v>
      </c>
      <c r="K28" s="88">
        <f>($F$7/360)*($O$2/100)*M27</f>
        <v>21822.488421371876</v>
      </c>
      <c r="L28" s="90">
        <f>J28-K28</f>
        <v>20812.741578628127</v>
      </c>
      <c r="M28" s="79">
        <f>M27-L28</f>
        <v>729100.94987745024</v>
      </c>
      <c r="N28" s="126">
        <f>L28/M27</f>
        <v>2.7753515925568493E-2</v>
      </c>
      <c r="O28" s="52"/>
      <c r="P28" s="80">
        <f>I28</f>
        <v>41791</v>
      </c>
      <c r="Q28" s="97">
        <f ca="1">S27*N28</f>
        <v>9148.3048080684239</v>
      </c>
      <c r="R28" s="98">
        <f ca="1">S27*$C$2/2</f>
        <v>8240.6719500000017</v>
      </c>
      <c r="S28" s="99">
        <f ca="1">IF(P28&lt;$A$4,(VLOOKUP(P28,$A$11:$B$52,2,0)*$S$12),(S27-(Q28+R28)))</f>
        <v>291891.924</v>
      </c>
      <c r="U28" s="80">
        <f>P28</f>
        <v>41791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39234</v>
      </c>
      <c r="B29" s="50">
        <v>0.945316551</v>
      </c>
      <c r="C29" s="52"/>
      <c r="D29" s="70" t="str">
        <f ca="1">IF(E29&lt;$A$4,"Actual","Model Num")</f>
        <v>Actual</v>
      </c>
      <c r="E29" s="71">
        <f>DATE(YEAR(E28),MONTH(E28)+6,DAY(E28))</f>
        <v>41974</v>
      </c>
      <c r="F29" s="74">
        <f>MAX(IF(ISERROR(VLOOKUP(E29,$A$12:$B$52,2,0)),VLOOKUP(E29,$P$11:$S$52,4,0)/1000000,(VLOOKUP(E29,$A$12:$B$52,2,0))),0)</f>
        <v>0.24808561000000001</v>
      </c>
      <c r="G29" s="128">
        <f>F29*1000000</f>
        <v>248085.61000000002</v>
      </c>
      <c r="H29" s="64"/>
      <c r="I29" s="80">
        <f>E29</f>
        <v>41974</v>
      </c>
      <c r="J29" s="210">
        <f>$M$12*$N$7</f>
        <v>42635.23</v>
      </c>
      <c r="K29" s="88">
        <f>($F$7/360)*($O$2/100)*M28</f>
        <v>21216.837641433802</v>
      </c>
      <c r="L29" s="90">
        <f>J29-K29</f>
        <v>21418.392358566201</v>
      </c>
      <c r="M29" s="79">
        <f>M28-L29</f>
        <v>707682.55751888407</v>
      </c>
      <c r="N29" s="126">
        <f>L29/M28</f>
        <v>2.9376442812433966E-2</v>
      </c>
      <c r="O29" s="52"/>
      <c r="P29" s="80">
        <f>I29</f>
        <v>41974</v>
      </c>
      <c r="Q29" s="97">
        <f ca="1">S28*N29</f>
        <v>8574.7464127973217</v>
      </c>
      <c r="R29" s="98">
        <f ca="1">S28*$C$2/2</f>
        <v>7297.2981</v>
      </c>
      <c r="S29" s="99">
        <f ca="1">IF(P29&lt;$A$4,(VLOOKUP(P29,$A$11:$B$52,2,0)*$S$12),(S28-(Q29+R29)))</f>
        <v>248085.61000000002</v>
      </c>
      <c r="U29" s="80">
        <f>P29</f>
        <v>41974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39052</v>
      </c>
      <c r="B30" s="50">
        <v>0.98445018200000001</v>
      </c>
      <c r="C30" s="52"/>
      <c r="D30" s="70" t="str">
        <f ca="1">IF(E30&lt;$A$4,"Actual","Model Num")</f>
        <v>Actual</v>
      </c>
      <c r="E30" s="71">
        <f>DATE(YEAR(E29),MONTH(E29)+6,DAY(E29))</f>
        <v>42156</v>
      </c>
      <c r="F30" s="74">
        <f>MAX(IF(ISERROR(VLOOKUP(E30,$A$12:$B$52,2,0)),VLOOKUP(E30,$P$11:$S$52,4,0)/1000000,(VLOOKUP(E30,$A$12:$B$52,2,0))),0)</f>
        <v>0.22074323200000001</v>
      </c>
      <c r="G30" s="128">
        <f>F30*1000000</f>
        <v>220743.23200000002</v>
      </c>
      <c r="H30" s="64"/>
      <c r="I30" s="80">
        <f>E30</f>
        <v>42156</v>
      </c>
      <c r="J30" s="210">
        <f>$M$12*$N$7</f>
        <v>42635.23</v>
      </c>
      <c r="K30" s="88">
        <f>($F$7/360)*($O$2/100)*M29</f>
        <v>20593.562423799525</v>
      </c>
      <c r="L30" s="90">
        <f>J30-K30</f>
        <v>22041.667576200478</v>
      </c>
      <c r="M30" s="79">
        <f>M29-L30</f>
        <v>685640.88994268363</v>
      </c>
      <c r="N30" s="126">
        <f>L30/M29</f>
        <v>3.1146263733668904E-2</v>
      </c>
      <c r="O30" s="52"/>
      <c r="P30" s="80">
        <f>I30</f>
        <v>42156</v>
      </c>
      <c r="Q30" s="97">
        <f ca="1">S29*N30</f>
        <v>7726.9398375881283</v>
      </c>
      <c r="R30" s="98">
        <f ca="1">S29*$C$2/2</f>
        <v>6202.1402500000004</v>
      </c>
      <c r="S30" s="99">
        <f ca="1">IF(P30&lt;$A$4,(VLOOKUP(P30,$A$11:$B$52,2,0)*$S$12),(S29-(Q30+R30)))</f>
        <v>220743.23200000002</v>
      </c>
      <c r="U30" s="80">
        <f>P30</f>
        <v>42156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38882</v>
      </c>
      <c r="B31" s="50">
        <v>1</v>
      </c>
      <c r="C31" s="52"/>
      <c r="D31" s="70" t="str">
        <f ca="1">IF(E31&lt;$A$4,"Actual","Model Num")</f>
        <v>Actual</v>
      </c>
      <c r="E31" s="71">
        <f>DATE(YEAR(E30),MONTH(E30)+6,DAY(E30))</f>
        <v>42339</v>
      </c>
      <c r="F31" s="74">
        <f>MAX(IF(ISERROR(VLOOKUP(E31,$A$12:$B$52,2,0)),VLOOKUP(E31,$P$11:$S$52,4,0)/1000000,(VLOOKUP(E31,$A$12:$B$52,2,0))),0)</f>
        <v>0.18428472400000001</v>
      </c>
      <c r="G31" s="128">
        <f>F31*1000000</f>
        <v>184284.72400000002</v>
      </c>
      <c r="H31" s="64"/>
      <c r="I31" s="80">
        <f>E31</f>
        <v>42339</v>
      </c>
      <c r="J31" s="210">
        <f>$M$12*$N$7</f>
        <v>42635.23</v>
      </c>
      <c r="K31" s="88">
        <f>($F$7/360)*($O$2/100)*M30</f>
        <v>19952.149897332092</v>
      </c>
      <c r="L31" s="90">
        <f>J31-K31</f>
        <v>22683.080102667911</v>
      </c>
      <c r="M31" s="79">
        <f>M30-L31</f>
        <v>662957.80984001572</v>
      </c>
      <c r="N31" s="126">
        <f>L31/M30</f>
        <v>3.3083032875364404E-2</v>
      </c>
      <c r="O31" s="52"/>
      <c r="P31" s="80">
        <f>I31</f>
        <v>42339</v>
      </c>
      <c r="Q31" s="97">
        <f ca="1">S30*N31</f>
        <v>7302.855601270192</v>
      </c>
      <c r="R31" s="98">
        <f ca="1">S30*$C$2/2</f>
        <v>5518.5808000000006</v>
      </c>
      <c r="S31" s="99">
        <f ca="1">IF(P31&lt;$A$4,(VLOOKUP(P31,$A$11:$B$52,2,0)*$S$12),(S30-(Q31+R31)))</f>
        <v>184284.72400000002</v>
      </c>
      <c r="U31" s="80">
        <f>P31</f>
        <v>42339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50"/>
      <c r="B32" s="50"/>
      <c r="C32" s="52"/>
      <c r="D32" s="70" t="str">
        <f ca="1">IF(E32&lt;$A$4,"Actual","Model Num")</f>
        <v>Model Num</v>
      </c>
      <c r="E32" s="71">
        <f>DATE(YEAR(E31),MONTH(E31)+6,DAY(E31))</f>
        <v>42522</v>
      </c>
      <c r="F32" s="74">
        <f ca="1">MAX(IF(ISERROR(VLOOKUP(E32,$A$12:$B$52,2,0)),VLOOKUP(E32,$P$11:$S$52,4,0)/1000000,(VLOOKUP(E32,$A$12:$B$52,2,0))),0)</f>
        <v>0.17318882589562345</v>
      </c>
      <c r="G32" s="128">
        <f ca="1">F32*1000000</f>
        <v>173188.82589562345</v>
      </c>
      <c r="H32" s="64"/>
      <c r="I32" s="80">
        <f>E32</f>
        <v>42522</v>
      </c>
      <c r="J32" s="210">
        <f>$M$12*$N$7</f>
        <v>42635.23</v>
      </c>
      <c r="K32" s="88">
        <f>($F$7/360)*($O$2/100)*M31</f>
        <v>19292.072266344454</v>
      </c>
      <c r="L32" s="90">
        <f>J32-K32</f>
        <v>23343.157733655549</v>
      </c>
      <c r="M32" s="79">
        <f>M31-L32</f>
        <v>639614.65210636018</v>
      </c>
      <c r="N32" s="126">
        <f>L32/M31</f>
        <v>3.521062334161007E-2</v>
      </c>
      <c r="O32" s="52"/>
      <c r="P32" s="80">
        <f>I32</f>
        <v>42522</v>
      </c>
      <c r="Q32" s="97">
        <f ca="1">S31*N32</f>
        <v>6488.7800043765701</v>
      </c>
      <c r="R32" s="98">
        <f ca="1">S31*$C$2/2</f>
        <v>4607.1181000000006</v>
      </c>
      <c r="S32" s="99">
        <f ca="1">IF(P32&lt;$A$4,(VLOOKUP(P32,$A$11:$B$52,2,0)*$S$12),(S31-(Q32+R32)))</f>
        <v>173188.82589562345</v>
      </c>
      <c r="U32" s="80">
        <f>P32</f>
        <v>42522</v>
      </c>
      <c r="V32" s="97">
        <f ca="1">IF(U32&lt;$A$4,0,(YEARFRAC($A$4,U32,1)))</f>
        <v>0.14754098360655737</v>
      </c>
      <c r="W32" s="141">
        <f ca="1">V32*(S31-S32)</f>
        <v>1637.0997203178542</v>
      </c>
    </row>
    <row r="33" spans="1:23">
      <c r="A33" s="50"/>
      <c r="B33" s="50"/>
      <c r="C33" s="52"/>
      <c r="D33" s="70" t="str">
        <f ca="1">IF(E33&lt;$A$4,"Actual","Model Num")</f>
        <v>Model Num</v>
      </c>
      <c r="E33" s="71">
        <f>DATE(YEAR(E32),MONTH(E32)+6,DAY(E32))</f>
        <v>42705</v>
      </c>
      <c r="F33" s="74">
        <f ca="1">MAX(IF(ISERROR(VLOOKUP(E33,$A$12:$B$52,2,0)),VLOOKUP(E33,$P$11:$S$52,4,0)/1000000,(VLOOKUP(E33,$A$12:$B$52,2,0))),0)</f>
        <v>0.16235453442166986</v>
      </c>
      <c r="G33" s="128">
        <f ca="1">F33*1000000</f>
        <v>162354.53442166987</v>
      </c>
      <c r="H33" s="64"/>
      <c r="I33" s="80">
        <f>E33</f>
        <v>42705</v>
      </c>
      <c r="J33" s="210">
        <f>$M$12*$N$7</f>
        <v>42635.23</v>
      </c>
      <c r="K33" s="88">
        <f>($F$7/360)*($O$2/100)*M32</f>
        <v>18612.78637629508</v>
      </c>
      <c r="L33" s="90">
        <f>J33-K33</f>
        <v>24022.443623704923</v>
      </c>
      <c r="M33" s="79">
        <f>M32-L33</f>
        <v>615592.20848265523</v>
      </c>
      <c r="N33" s="126">
        <f>L33/M32</f>
        <v>3.755768187078723E-2</v>
      </c>
      <c r="O33" s="52"/>
      <c r="P33" s="80">
        <f>I33</f>
        <v>42705</v>
      </c>
      <c r="Q33" s="97">
        <f ca="1">S32*N33</f>
        <v>6504.5708265629828</v>
      </c>
      <c r="R33" s="98">
        <f ca="1">S32*$C$2/2</f>
        <v>4329.7206473905862</v>
      </c>
      <c r="S33" s="99">
        <f ca="1">IF(P33&lt;$A$4,(VLOOKUP(P33,$A$11:$B$52,2,0)*$S$12),(S32-(Q33+R33)))</f>
        <v>162354.53442166987</v>
      </c>
      <c r="U33" s="80">
        <f>P33</f>
        <v>42705</v>
      </c>
      <c r="V33" s="97">
        <f ca="1">IF(U33&lt;$A$4,0,(YEARFRAC($A$4,U33,1)))</f>
        <v>0.64754098360655743</v>
      </c>
      <c r="W33" s="141">
        <f ca="1">V33*(S32-S33)</f>
        <v>7015.6477577240385</v>
      </c>
    </row>
    <row r="34" spans="1:23">
      <c r="A34" s="50"/>
      <c r="B34" s="50"/>
      <c r="C34" s="52"/>
      <c r="D34" s="70" t="str">
        <f ca="1">IF(E34&lt;$A$4,"Actual","Model Num")</f>
        <v>Model Num</v>
      </c>
      <c r="E34" s="71">
        <f>DATE(YEAR(E33),MONTH(E33)+6,DAY(E33))</f>
        <v>42887</v>
      </c>
      <c r="F34" s="74">
        <f ca="1">MAX(IF(ISERROR(VLOOKUP(E34,$A$12:$B$52,2,0)),VLOOKUP(E34,$P$11:$S$52,4,0)/1000000,(VLOOKUP(E34,$A$12:$B$52,2,0))),0)</f>
        <v>0.15177569397725432</v>
      </c>
      <c r="G34" s="128">
        <f ca="1">F34*1000000</f>
        <v>151775.69397725433</v>
      </c>
      <c r="H34" s="64"/>
      <c r="I34" s="80">
        <f>E34</f>
        <v>42887</v>
      </c>
      <c r="J34" s="210">
        <f>$M$12*$N$7</f>
        <v>42635.23</v>
      </c>
      <c r="K34" s="88">
        <f>($F$7/360)*($O$2/100)*M33</f>
        <v>17913.733266845265</v>
      </c>
      <c r="L34" s="90">
        <f>J34-K34</f>
        <v>24721.496733154738</v>
      </c>
      <c r="M34" s="79">
        <f>M33-L34</f>
        <v>590870.71174950048</v>
      </c>
      <c r="N34" s="126">
        <f>L34/M33</f>
        <v>4.0158885041916975E-2</v>
      </c>
      <c r="O34" s="52"/>
      <c r="P34" s="80">
        <f>I34</f>
        <v>42887</v>
      </c>
      <c r="Q34" s="97">
        <f ca="1">S33*N34</f>
        <v>6519.9770838737932</v>
      </c>
      <c r="R34" s="98">
        <f ca="1">S33*$C$2/2</f>
        <v>4058.8633605417472</v>
      </c>
      <c r="S34" s="99">
        <f ca="1">IF(P34&lt;$A$4,(VLOOKUP(P34,$A$11:$B$52,2,0)*$S$12),(S33-(Q34+R34)))</f>
        <v>151775.69397725433</v>
      </c>
      <c r="U34" s="80">
        <f>P34</f>
        <v>42887</v>
      </c>
      <c r="V34" s="97">
        <f ca="1">IF(U34&lt;$A$4,0,(YEARFRAC($A$4,U34,1)))</f>
        <v>1.146374829001368</v>
      </c>
      <c r="W34" s="141">
        <f ca="1">V34*(S33-S34)</f>
        <v>12127.316405499627</v>
      </c>
    </row>
    <row r="35" spans="1:23">
      <c r="A35" s="31"/>
      <c r="B35" s="31"/>
      <c r="D35" s="70" t="str">
        <f ca="1">IF(E35&lt;$A$4,"Actual","Model Num")</f>
        <v>Model Num</v>
      </c>
      <c r="E35" s="71">
        <f>DATE(YEAR(E34),MONTH(E34)+6,DAY(E34))</f>
        <v>43070</v>
      </c>
      <c r="F35" s="74">
        <f ca="1">MAX(IF(ISERROR(VLOOKUP(E35,$A$12:$B$52,2,0)),VLOOKUP(E35,$P$11:$S$52,4,0)/1000000,(VLOOKUP(E35,$A$12:$B$52,2,0))),0)</f>
        <v>0.14144635412468395</v>
      </c>
      <c r="G35" s="128">
        <f ca="1">F35*1000000</f>
        <v>141446.35412468394</v>
      </c>
      <c r="I35" s="80">
        <f>E35</f>
        <v>43070</v>
      </c>
      <c r="J35" s="210">
        <f>$M$12*$N$7</f>
        <v>42635.23</v>
      </c>
      <c r="K35" s="88">
        <f>($F$7/360)*($O$2/100)*M34</f>
        <v>17194.337711910463</v>
      </c>
      <c r="L35" s="90">
        <f>J35-K35</f>
        <v>25440.892288089541</v>
      </c>
      <c r="M35" s="79">
        <f>M34-L35</f>
        <v>565429.81946141098</v>
      </c>
      <c r="N35" s="126">
        <f>L35/M34</f>
        <v>4.3056614217282782E-2</v>
      </c>
      <c r="O35" s="52"/>
      <c r="P35" s="80">
        <f>I35</f>
        <v>43070</v>
      </c>
      <c r="Q35" s="97">
        <f ca="1">S34*N35</f>
        <v>6534.9475031390093</v>
      </c>
      <c r="R35" s="98">
        <f ca="1">S34*$C$2/2</f>
        <v>3794.3923494313585</v>
      </c>
      <c r="S35" s="99">
        <f ca="1">IF(P35&lt;$A$4,(VLOOKUP(P35,$A$11:$B$52,2,0)*$S$12),(S34-(Q35+R35)))</f>
        <v>141446.35412468394</v>
      </c>
      <c r="U35" s="80">
        <f>P35</f>
        <v>43070</v>
      </c>
      <c r="V35" s="97">
        <f ca="1">IF(U35&lt;$A$4,0,(YEARFRAC($A$4,U35,1)))</f>
        <v>1.6470588235294117</v>
      </c>
      <c r="W35" s="141">
        <f ca="1">V35*(S34-S35)</f>
        <v>17013.030345410039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43252</v>
      </c>
      <c r="F36" s="74">
        <f ca="1">MAX(IF(ISERROR(VLOOKUP(E36,$A$12:$B$52,2,0)),VLOOKUP(E36,$P$11:$S$52,4,0)/1000000,(VLOOKUP(E36,$A$12:$B$52,2,0))),0)</f>
        <v>0.13136077338603996</v>
      </c>
      <c r="G36" s="128">
        <f ca="1">F36*1000000</f>
        <v>131360.77338603997</v>
      </c>
      <c r="I36" s="80">
        <f>E36</f>
        <v>43252</v>
      </c>
      <c r="J36" s="210">
        <f>$M$12*$N$7</f>
        <v>42635.23</v>
      </c>
      <c r="K36" s="88">
        <f>($F$7/360)*($O$2/100)*M35</f>
        <v>16454.007746327057</v>
      </c>
      <c r="L36" s="90">
        <f>J36-K36</f>
        <v>26181.222253672946</v>
      </c>
      <c r="M36" s="79">
        <f>M35-L36</f>
        <v>539248.59720773809</v>
      </c>
      <c r="N36" s="126">
        <f>L36/M35</f>
        <v>4.6303221642274461E-2</v>
      </c>
      <c r="O36" s="52"/>
      <c r="P36" s="80">
        <f>I36</f>
        <v>43252</v>
      </c>
      <c r="Q36" s="97">
        <f ca="1">S35*N36</f>
        <v>6549.4218855268828</v>
      </c>
      <c r="R36" s="98">
        <f ca="1">S35*$C$2/2</f>
        <v>3536.1588531170987</v>
      </c>
      <c r="S36" s="99">
        <f ca="1">IF(P36&lt;$A$4,(VLOOKUP(P36,$A$11:$B$52,2,0)*$S$12),(S35-(Q36+R36)))</f>
        <v>131360.77338603997</v>
      </c>
      <c r="U36" s="80">
        <f>P36</f>
        <v>43252</v>
      </c>
      <c r="V36" s="97">
        <f ca="1">IF(U36&lt;$A$4,0,(YEARFRAC($A$4,U36,1)))</f>
        <v>2.1459854014598543</v>
      </c>
      <c r="W36" s="141">
        <f ca="1">V36*(S35-S36)</f>
        <v>21643.509030374655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43435</v>
      </c>
      <c r="F37" s="74">
        <f ca="1">MAX(IF(ISERROR(VLOOKUP(E37,$A$12:$B$52,2,0)),VLOOKUP(E37,$P$11:$S$52,4,0)/1000000,(VLOOKUP(E37,$A$12:$B$52,2,0))),0)</f>
        <v>0.12151342514739043</v>
      </c>
      <c r="G37" s="128">
        <f ca="1">F37*1000000</f>
        <v>121513.42514739043</v>
      </c>
      <c r="I37" s="80">
        <f>E37</f>
        <v>43435</v>
      </c>
      <c r="J37" s="210">
        <f>$M$12*$N$7</f>
        <v>42635.23</v>
      </c>
      <c r="K37" s="88">
        <f>($F$7/360)*($O$2/100)*M36</f>
        <v>15692.134178745177</v>
      </c>
      <c r="L37" s="90">
        <f>J37-K37</f>
        <v>26943.095821254828</v>
      </c>
      <c r="M37" s="79">
        <f>M36-L37</f>
        <v>512305.50138648326</v>
      </c>
      <c r="N37" s="126">
        <f>L37/M36</f>
        <v>4.9964146333931717E-2</v>
      </c>
      <c r="O37" s="52"/>
      <c r="P37" s="80">
        <f>I37</f>
        <v>43435</v>
      </c>
      <c r="Q37" s="97">
        <f ca="1">S36*N37</f>
        <v>6563.3289039985439</v>
      </c>
      <c r="R37" s="98">
        <f ca="1">S36*$C$2/2</f>
        <v>3284.0193346509996</v>
      </c>
      <c r="S37" s="99">
        <f ca="1">IF(P37&lt;$A$4,(VLOOKUP(P37,$A$11:$B$52,2,0)*$S$12),(S36-(Q37+R37)))</f>
        <v>121513.42514739043</v>
      </c>
      <c r="U37" s="80">
        <f>P37</f>
        <v>43435</v>
      </c>
      <c r="V37" s="97">
        <f ca="1">IF(U37&lt;$A$4,0,(YEARFRAC($A$4,U37,1)))</f>
        <v>2.6468978102189782</v>
      </c>
      <c r="W37" s="141">
        <f ca="1">V37*(S36-S37)</f>
        <v>26064.924489345194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43617</v>
      </c>
      <c r="F38" s="74">
        <f ca="1">MAX(IF(ISERROR(VLOOKUP(E38,$A$12:$B$52,2,0)),VLOOKUP(E38,$P$11:$S$52,4,0)/1000000,(VLOOKUP(E38,$A$12:$B$52,2,0))),0)</f>
        <v>0.11189900634549249</v>
      </c>
      <c r="G38" s="128">
        <f ca="1">F38*1000000</f>
        <v>111899.0063454925</v>
      </c>
      <c r="I38" s="80">
        <f>E38</f>
        <v>43617</v>
      </c>
      <c r="J38" s="210">
        <f>$M$12*$N$7</f>
        <v>42635.23</v>
      </c>
      <c r="K38" s="88">
        <f>($F$7/360)*($O$2/100)*M37</f>
        <v>14908.090090346661</v>
      </c>
      <c r="L38" s="90">
        <f>J38-K38</f>
        <v>27727.139909653342</v>
      </c>
      <c r="M38" s="79">
        <f>M37-L38</f>
        <v>484578.36147682992</v>
      </c>
      <c r="N38" s="126">
        <f>L38/M37</f>
        <v>5.4122276326554593E-2</v>
      </c>
      <c r="O38" s="52"/>
      <c r="P38" s="80">
        <f>I38</f>
        <v>43617</v>
      </c>
      <c r="Q38" s="97">
        <f ca="1">S37*N38</f>
        <v>6576.5831732131728</v>
      </c>
      <c r="R38" s="98">
        <f ca="1">S37*$C$2/2</f>
        <v>3037.8356286847611</v>
      </c>
      <c r="S38" s="99">
        <f ca="1">IF(P38&lt;$A$4,(VLOOKUP(P38,$A$11:$B$52,2,0)*$S$12),(S37-(Q38+R38)))</f>
        <v>111899.0063454925</v>
      </c>
      <c r="U38" s="80">
        <f>P38</f>
        <v>43617</v>
      </c>
      <c r="V38" s="97">
        <f ca="1">IF(U38&lt;$A$4,0,(YEARFRAC($A$4,U38,1)))</f>
        <v>3.1457905544147846</v>
      </c>
      <c r="W38" s="141">
        <f ca="1">V38*(S37-S38)</f>
        <v>30244.947853198428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43800</v>
      </c>
      <c r="F39" s="74">
        <f ca="1">MAX(IF(ISERROR(VLOOKUP(E39,$A$12:$B$52,2,0)),VLOOKUP(E39,$P$11:$S$52,4,0)/1000000,(VLOOKUP(E39,$A$12:$B$52,2,0))),0)</f>
        <v>0.10251244990464881</v>
      </c>
      <c r="G39" s="128">
        <f ca="1">F39*1000000</f>
        <v>102512.44990464881</v>
      </c>
      <c r="I39" s="80">
        <f>E39</f>
        <v>43800</v>
      </c>
      <c r="J39" s="210">
        <f>$M$12*$N$7</f>
        <v>42635.23</v>
      </c>
      <c r="K39" s="88">
        <f>($F$7/360)*($O$2/100)*M38</f>
        <v>14101.230318975749</v>
      </c>
      <c r="L39" s="90">
        <f>J39-K39</f>
        <v>28533.999681024252</v>
      </c>
      <c r="M39" s="79">
        <f>M38-L39</f>
        <v>456044.36179580569</v>
      </c>
      <c r="N39" s="126">
        <f>L39/M38</f>
        <v>5.8884180453420025E-2</v>
      </c>
      <c r="O39" s="52"/>
      <c r="P39" s="80">
        <f>I39</f>
        <v>43800</v>
      </c>
      <c r="Q39" s="97">
        <f ca="1">S38*N39</f>
        <v>6589.0812822063726</v>
      </c>
      <c r="R39" s="98">
        <f ca="1">S38*$C$2/2</f>
        <v>2797.4751586373127</v>
      </c>
      <c r="S39" s="99">
        <f ca="1">IF(P39&lt;$A$4,(VLOOKUP(P39,$A$11:$B$52,2,0)*$S$12),(S38-(Q39+R39)))</f>
        <v>102512.44990464881</v>
      </c>
      <c r="U39" s="80">
        <f>P39</f>
        <v>43800</v>
      </c>
      <c r="V39" s="97">
        <f ca="1">IF(U39&lt;$A$4,0,(YEARFRAC($A$4,U39,1)))</f>
        <v>3.6468172484599588</v>
      </c>
      <c r="W39" s="141">
        <f ca="1">V39*(S38-S39)</f>
        <v>34231.055932111696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43983</v>
      </c>
      <c r="F40" s="74">
        <f ca="1">MAX(IF(ISERROR(VLOOKUP(E40,$A$12:$B$52,2,0)),VLOOKUP(E40,$P$11:$S$52,4,0)/1000000,(VLOOKUP(E40,$A$12:$B$52,2,0))),0)</f>
        <v>9.3348942342705826E-2</v>
      </c>
      <c r="G40" s="128">
        <f ca="1">F40*1000000</f>
        <v>93348.942342705821</v>
      </c>
      <c r="I40" s="80">
        <f>E40</f>
        <v>43983</v>
      </c>
      <c r="J40" s="210">
        <f>$M$12*$N$7</f>
        <v>42635.23</v>
      </c>
      <c r="K40" s="88">
        <f>($F$7/360)*($O$2/100)*M39</f>
        <v>13270.890928257944</v>
      </c>
      <c r="L40" s="90">
        <f>J40-K40</f>
        <v>29364.339071742059</v>
      </c>
      <c r="M40" s="79">
        <f>M39-L40</f>
        <v>426680.0227240636</v>
      </c>
      <c r="N40" s="126">
        <f>L40/M39</f>
        <v>6.4389216338760422E-2</v>
      </c>
      <c r="O40" s="52"/>
      <c r="P40" s="80">
        <f>I40</f>
        <v>43983</v>
      </c>
      <c r="Q40" s="97">
        <f ca="1">S39*N40</f>
        <v>6600.6963143267722</v>
      </c>
      <c r="R40" s="98">
        <f ca="1">S39*$C$2/2</f>
        <v>2562.8112476162205</v>
      </c>
      <c r="S40" s="99">
        <f ca="1">IF(P40&lt;$A$4,(VLOOKUP(P40,$A$11:$B$52,2,0)*$S$12),(S39-(Q40+R40)))</f>
        <v>93348.942342705821</v>
      </c>
      <c r="U40" s="80">
        <f>P40</f>
        <v>43983</v>
      </c>
      <c r="V40" s="97">
        <f ca="1">IF(U40&lt;$A$4,0,(YEARFRAC($A$4,U40,1)))</f>
        <v>4.1461412151067325</v>
      </c>
      <c r="W40" s="141">
        <f ca="1">V40*(S39-S40)</f>
        <v>37993.196377514018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44166</v>
      </c>
      <c r="F41" s="74">
        <f ca="1">MAX(IF(ISERROR(VLOOKUP(E41,$A$12:$B$52,2,0)),VLOOKUP(E41,$P$11:$S$52,4,0)/1000000,(VLOOKUP(E41,$A$12:$B$52,2,0))),0)</f>
        <v>8.440394868111592E-2</v>
      </c>
      <c r="G41" s="128">
        <f ca="1">F41*1000000</f>
        <v>84403.948681115915</v>
      </c>
      <c r="I41" s="80">
        <f>E41</f>
        <v>44166</v>
      </c>
      <c r="J41" s="210">
        <f>$M$12*$N$7</f>
        <v>42635.23</v>
      </c>
      <c r="K41" s="88">
        <f>($F$7/360)*($O$2/100)*M40</f>
        <v>12416.38866127025</v>
      </c>
      <c r="L41" s="90">
        <f>J41-K41</f>
        <v>30218.841338729755</v>
      </c>
      <c r="M41" s="79">
        <f>M40-L41</f>
        <v>396461.18138533382</v>
      </c>
      <c r="N41" s="126">
        <f>L41/M40</f>
        <v>7.082319239087613E-2</v>
      </c>
      <c r="O41" s="52"/>
      <c r="P41" s="80">
        <f>I41</f>
        <v>44166</v>
      </c>
      <c r="Q41" s="97">
        <f ca="1">S40*N41</f>
        <v>6611.2701030222579</v>
      </c>
      <c r="R41" s="98">
        <f ca="1">S40*$C$2/2</f>
        <v>2333.7235585676458</v>
      </c>
      <c r="S41" s="99">
        <f ca="1">IF(P41&lt;$A$4,(VLOOKUP(P41,$A$11:$B$52,2,0)*$S$12),(S40-(Q41+R41)))</f>
        <v>84403.948681115915</v>
      </c>
      <c r="U41" s="80">
        <f>P41</f>
        <v>44166</v>
      </c>
      <c r="V41" s="97">
        <f ca="1">IF(U41&lt;$A$4,0,(YEARFRAC($A$4,U41,1)))</f>
        <v>4.6469622331691296</v>
      </c>
      <c r="W41" s="141">
        <f ca="1">V41*(S40-S41)</f>
        <v>41567.047721345538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44348</v>
      </c>
      <c r="F42" s="74">
        <f ca="1">MAX(IF(ISERROR(VLOOKUP(E42,$A$12:$B$52,2,0)),VLOOKUP(E42,$P$11:$S$52,4,0)/1000000,(VLOOKUP(E42,$A$12:$B$52,2,0))),0)</f>
        <v>7.5673247967666335E-2</v>
      </c>
      <c r="G42" s="128">
        <f ca="1">F42*1000000</f>
        <v>75673.247967666335</v>
      </c>
      <c r="I42" s="80">
        <f>E42</f>
        <v>44348</v>
      </c>
      <c r="J42" s="210">
        <f>$M$12*$N$7</f>
        <v>42635.23</v>
      </c>
      <c r="K42" s="88">
        <f>($F$7/360)*($O$2/100)*M41</f>
        <v>11537.020378313213</v>
      </c>
      <c r="L42" s="90">
        <f>J42-K42</f>
        <v>31098.20962168679</v>
      </c>
      <c r="M42" s="79">
        <f>M41-L42</f>
        <v>365362.97176364705</v>
      </c>
      <c r="N42" s="126">
        <f>L42/M41</f>
        <v>7.8439481800013616E-2</v>
      </c>
      <c r="O42" s="52"/>
      <c r="P42" s="80">
        <f>I42</f>
        <v>44348</v>
      </c>
      <c r="Q42" s="97">
        <f ca="1">S41*N42</f>
        <v>6620.6019964216748</v>
      </c>
      <c r="R42" s="98">
        <f ca="1">S41*$C$2/2</f>
        <v>2110.0987170278981</v>
      </c>
      <c r="S42" s="99">
        <f ca="1">IF(P42&lt;$A$4,(VLOOKUP(P42,$A$11:$B$52,2,0)*$S$12),(S41-(Q42+R42)))</f>
        <v>75673.247967666335</v>
      </c>
      <c r="U42" s="80">
        <f>P42</f>
        <v>44348</v>
      </c>
      <c r="V42" s="97">
        <f ca="1">IF(U42&lt;$A$4,0,(YEARFRAC($A$4,U42,1)))</f>
        <v>5.1459854014598543</v>
      </c>
      <c r="W42" s="141">
        <f ca="1">V42*(S41-S42)</f>
        <v>44928.058415926673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44531</v>
      </c>
      <c r="F43" s="74">
        <f ca="1">MAX(IF(ISERROR(VLOOKUP(E43,$A$12:$B$52,2,0)),VLOOKUP(E43,$P$11:$S$52,4,0)/1000000,(VLOOKUP(E43,$A$12:$B$52,2,0))),0)</f>
        <v>6.7152984719303185E-2</v>
      </c>
      <c r="G43" s="128">
        <f ca="1">F43*1000000</f>
        <v>67152.984719303189</v>
      </c>
      <c r="I43" s="80">
        <f>E43</f>
        <v>44531</v>
      </c>
      <c r="J43" s="210">
        <f>$M$12*$N$7</f>
        <v>42635.23</v>
      </c>
      <c r="K43" s="88">
        <f>($F$7/360)*($O$2/100)*M42</f>
        <v>10632.062478322128</v>
      </c>
      <c r="L43" s="90">
        <f>J43-K43</f>
        <v>32003.167521677875</v>
      </c>
      <c r="M43" s="79">
        <f>M42-L43</f>
        <v>333359.80424196919</v>
      </c>
      <c r="N43" s="126">
        <f>L43/M42</f>
        <v>8.7592804950088629E-2</v>
      </c>
      <c r="O43" s="52"/>
      <c r="P43" s="80">
        <f>I43</f>
        <v>44531</v>
      </c>
      <c r="Q43" s="97">
        <f ca="1">S42*N43</f>
        <v>6628.432049171488</v>
      </c>
      <c r="R43" s="98">
        <f ca="1">S42*$C$2/2</f>
        <v>1891.8311991916585</v>
      </c>
      <c r="S43" s="99">
        <f ca="1">IF(P43&lt;$A$4,(VLOOKUP(P43,$A$11:$B$52,2,0)*$S$12),(S42-(Q43+R43)))</f>
        <v>67152.984719303189</v>
      </c>
      <c r="U43" s="80">
        <f>P43</f>
        <v>44531</v>
      </c>
      <c r="V43" s="97">
        <f ca="1">IF(U43&lt;$A$4,0,(YEARFRAC($A$4,U43,1)))</f>
        <v>5.6468978102189782</v>
      </c>
      <c r="W43" s="141">
        <f ca="1">V43*(S42-S43)</f>
        <v>48113.05587967109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44713</v>
      </c>
      <c r="F44" s="74">
        <f ca="1">MAX(IF(ISERROR(VLOOKUP(E44,$A$12:$B$52,2,0)),VLOOKUP(E44,$P$11:$S$52,4,0)/1000000,(VLOOKUP(E44,$A$12:$B$52,2,0))),0)</f>
        <v>5.8839745152071993E-2</v>
      </c>
      <c r="G44" s="128">
        <f ca="1">F44*1000000</f>
        <v>58839.745152071991</v>
      </c>
      <c r="I44" s="80">
        <f>E44</f>
        <v>44713</v>
      </c>
      <c r="J44" s="210">
        <f>$M$12*$N$7</f>
        <v>42635.23</v>
      </c>
      <c r="K44" s="88">
        <f>($F$7/360)*($O$2/100)*M43</f>
        <v>9700.7703034413025</v>
      </c>
      <c r="L44" s="90">
        <f>J44-K44</f>
        <v>32934.459696558697</v>
      </c>
      <c r="M44" s="79">
        <f>M43-L44</f>
        <v>300425.34454541048</v>
      </c>
      <c r="N44" s="126">
        <f>L44/M43</f>
        <v>9.8795533467055982E-2</v>
      </c>
      <c r="O44" s="52"/>
      <c r="P44" s="80">
        <f>I44</f>
        <v>44713</v>
      </c>
      <c r="Q44" s="97">
        <f ca="1">S43*N44</f>
        <v>6634.4149492486176</v>
      </c>
      <c r="R44" s="98">
        <f ca="1">S43*$C$2/2</f>
        <v>1678.8246179825799</v>
      </c>
      <c r="S44" s="99">
        <f ca="1">IF(P44&lt;$A$4,(VLOOKUP(P44,$A$11:$B$52,2,0)*$S$12),(S43-(Q44+R44)))</f>
        <v>58839.745152071991</v>
      </c>
      <c r="U44" s="80">
        <f>P44</f>
        <v>44713</v>
      </c>
      <c r="V44" s="97">
        <f ca="1">IF(U44&lt;$A$4,0,(YEARFRAC($A$4,U44,1)))</f>
        <v>6.1458740711771611</v>
      </c>
      <c r="W44" s="141">
        <f ca="1">V44*(S43-S44)</f>
        <v>51092.123503730261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44896</v>
      </c>
      <c r="F45" s="74">
        <f ca="1">MAX(IF(ISERROR(VLOOKUP(E45,$A$12:$B$52,2,0)),VLOOKUP(E45,$P$11:$S$52,4,0)/1000000,(VLOOKUP(E45,$A$12:$B$52,2,0))),0)</f>
        <v>5.0730673750409308E-2</v>
      </c>
      <c r="G45" s="128">
        <f ca="1">F45*1000000</f>
        <v>50730.673750409311</v>
      </c>
      <c r="I45" s="80">
        <f>E45</f>
        <v>44896</v>
      </c>
      <c r="J45" s="210">
        <f>$M$12*$N$7</f>
        <v>42635.23</v>
      </c>
      <c r="K45" s="88">
        <f>($F$7/360)*($O$2/100)*M44</f>
        <v>8742.3775262714444</v>
      </c>
      <c r="L45" s="90">
        <f>J45-K45</f>
        <v>33892.852473728562</v>
      </c>
      <c r="M45" s="79">
        <f>M44-L45</f>
        <v>266532.49207168189</v>
      </c>
      <c r="N45" s="126">
        <f>L45/M44</f>
        <v>0.11281622236304209</v>
      </c>
      <c r="O45" s="52"/>
      <c r="P45" s="80">
        <f>I45</f>
        <v>44896</v>
      </c>
      <c r="Q45" s="97">
        <f ca="1">S44*N45</f>
        <v>6638.0777728608819</v>
      </c>
      <c r="R45" s="98">
        <f ca="1">S44*$C$2/2</f>
        <v>1470.9936288017998</v>
      </c>
      <c r="S45" s="99">
        <f ca="1">IF(P45&lt;$A$4,(VLOOKUP(P45,$A$11:$B$52,2,0)*$S$12),(S44-(Q45+R45)))</f>
        <v>50730.673750409311</v>
      </c>
      <c r="U45" s="80">
        <f>P45</f>
        <v>44896</v>
      </c>
      <c r="V45" s="97">
        <f ca="1">IF(U45&lt;$A$4,0,(YEARFRAC($A$4,U45,1)))</f>
        <v>6.6468517794290189</v>
      </c>
      <c r="W45" s="141">
        <f ca="1">V45*(S44-S45)</f>
        <v>53899.795675658555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45078</v>
      </c>
      <c r="F46" s="74">
        <f ca="1">MAX(IF(ISERROR(VLOOKUP(E46,$A$12:$B$52,2,0)),VLOOKUP(E46,$P$11:$S$52,4,0)/1000000,(VLOOKUP(E46,$A$12:$B$52,2,0))),0)</f>
        <v>4.2823659119149017E-2</v>
      </c>
      <c r="G46" s="128">
        <f ca="1">F46*1000000</f>
        <v>42823.659119149015</v>
      </c>
      <c r="I46" s="80">
        <f>E46</f>
        <v>45078</v>
      </c>
      <c r="J46" s="210">
        <f>$M$12*$N$7</f>
        <v>42635.23</v>
      </c>
      <c r="K46" s="88">
        <f>($F$7/360)*($O$2/100)*M45</f>
        <v>7756.0955192859419</v>
      </c>
      <c r="L46" s="90">
        <f>J46-K46</f>
        <v>34879.134480714063</v>
      </c>
      <c r="M46" s="79">
        <f>M45-L46</f>
        <v>231653.35759096782</v>
      </c>
      <c r="N46" s="126">
        <f>L46/M45</f>
        <v>0.13086259843821813</v>
      </c>
      <c r="O46" s="52"/>
      <c r="P46" s="80">
        <f>I46</f>
        <v>45078</v>
      </c>
      <c r="Q46" s="97">
        <f ca="1">S45*N46</f>
        <v>6638.7477875000668</v>
      </c>
      <c r="R46" s="98">
        <f ca="1">S45*$C$2/2</f>
        <v>1268.2668437602329</v>
      </c>
      <c r="S46" s="99">
        <f ca="1">IF(P46&lt;$A$4,(VLOOKUP(P46,$A$11:$B$52,2,0)*$S$12),(S45-(Q46+R46)))</f>
        <v>42823.659119149015</v>
      </c>
      <c r="U46" s="80">
        <f>P46</f>
        <v>45078</v>
      </c>
      <c r="V46" s="97">
        <f ca="1">IF(U46&lt;$A$4,0,(YEARFRAC($A$4,U46,1)))</f>
        <v>7.1457905544147842</v>
      </c>
      <c r="W46" s="141">
        <f ca="1">V46*(S45-S46)</f>
        <v>56501.87046567932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45261</v>
      </c>
      <c r="F47" s="74">
        <f ca="1">MAX(IF(ISERROR(VLOOKUP(E47,$A$12:$B$52,2,0)),VLOOKUP(E47,$P$11:$S$52,4,0)/1000000,(VLOOKUP(E47,$A$12:$B$52,2,0))),0)</f>
        <v>3.5117647117287744E-2</v>
      </c>
      <c r="G47" s="128">
        <f ca="1">F47*1000000</f>
        <v>35117.647117287743</v>
      </c>
      <c r="I47" s="80">
        <f>E47</f>
        <v>45261</v>
      </c>
      <c r="J47" s="210">
        <f>$M$12*$N$7</f>
        <v>42635.23</v>
      </c>
      <c r="K47" s="88">
        <f>($F$7/360)*($O$2/100)*M46</f>
        <v>6741.1127058971633</v>
      </c>
      <c r="L47" s="90">
        <f>J47-K47</f>
        <v>35894.117294102842</v>
      </c>
      <c r="M47" s="79">
        <f>M46-L47</f>
        <v>195759.24029686497</v>
      </c>
      <c r="N47" s="126">
        <f>L47/M46</f>
        <v>0.15494753742132833</v>
      </c>
      <c r="O47" s="52"/>
      <c r="P47" s="80">
        <f>I47</f>
        <v>45261</v>
      </c>
      <c r="Q47" s="97">
        <f ca="1">S46*N47</f>
        <v>6635.4205238825498</v>
      </c>
      <c r="R47" s="98">
        <f ca="1">S46*$C$2/2</f>
        <v>1070.5914779787254</v>
      </c>
      <c r="S47" s="99">
        <f ca="1">IF(P47&lt;$A$4,(VLOOKUP(P47,$A$11:$B$52,2,0)*$S$12),(S46-(Q47+R47)))</f>
        <v>35117.647117287743</v>
      </c>
      <c r="U47" s="80">
        <f>P47</f>
        <v>45261</v>
      </c>
      <c r="V47" s="97">
        <f ca="1">IF(U47&lt;$A$4,0,(YEARFRAC($A$4,U47,1)))</f>
        <v>7.6468172484599588</v>
      </c>
      <c r="W47" s="141">
        <f ca="1">V47*(S46-S47)</f>
        <v>58926.465492672236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45444</v>
      </c>
      <c r="F48" s="74">
        <f ca="1">MAX(IF(ISERROR(VLOOKUP(E48,$A$12:$B$52,2,0)),VLOOKUP(E48,$P$11:$S$52,4,0)/1000000,(VLOOKUP(E48,$A$12:$B$52,2,0))),0)</f>
        <v>2.7613209096371074E-2</v>
      </c>
      <c r="G48" s="128">
        <f ca="1">F48*1000000</f>
        <v>27613.209096371073</v>
      </c>
      <c r="I48" s="80">
        <f>E48</f>
        <v>45444</v>
      </c>
      <c r="J48" s="210">
        <f>$M$12*$N$7</f>
        <v>42635.23</v>
      </c>
      <c r="K48" s="88">
        <f>($F$7/360)*($O$2/100)*M47</f>
        <v>5696.5938926387698</v>
      </c>
      <c r="L48" s="90">
        <f>J48-K48</f>
        <v>36938.636107361235</v>
      </c>
      <c r="M48" s="79">
        <f>M47-L48</f>
        <v>158820.60418950373</v>
      </c>
      <c r="N48" s="126">
        <f>L48/M47</f>
        <v>0.18869421464521691</v>
      </c>
      <c r="O48" s="52"/>
      <c r="P48" s="80">
        <f>I48</f>
        <v>45444</v>
      </c>
      <c r="Q48" s="97">
        <f ca="1">S47*N48</f>
        <v>6626.4968429844757</v>
      </c>
      <c r="R48" s="98">
        <f ca="1">S47*$C$2/2</f>
        <v>877.94117793219357</v>
      </c>
      <c r="S48" s="99">
        <f ca="1">IF(P48&lt;$A$4,(VLOOKUP(P48,$A$11:$B$52,2,0)*$S$12),(S47-(Q48+R48)))</f>
        <v>27613.209096371073</v>
      </c>
      <c r="U48" s="80">
        <f>P48</f>
        <v>45444</v>
      </c>
      <c r="V48" s="97">
        <f ca="1">IF(U48&lt;$A$4,0,(YEARFRAC($A$4,U48,1)))</f>
        <v>8.1459854014598552</v>
      </c>
      <c r="W48" s="141">
        <f ca="1">V48*(S47-S48)</f>
        <v>61131.042564547482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45627</v>
      </c>
      <c r="F49" s="74">
        <f ca="1">MAX(IF(ISERROR(VLOOKUP(E49,$A$12:$B$52,2,0)),VLOOKUP(E49,$P$11:$S$52,4,0)/1000000,(VLOOKUP(E49,$A$12:$B$52,2,0))),0)</f>
        <v>2.0313685297719798E-2</v>
      </c>
      <c r="G49" s="128">
        <f ca="1">F49*1000000</f>
        <v>20313.6852977198</v>
      </c>
      <c r="I49" s="80">
        <f>E49</f>
        <v>45627</v>
      </c>
      <c r="J49" s="210">
        <f>$M$12*$N$7</f>
        <v>42635.23</v>
      </c>
      <c r="K49" s="88">
        <f>($F$7/360)*($O$2/100)*M48</f>
        <v>4621.6795819145582</v>
      </c>
      <c r="L49" s="90">
        <f>J49-K49</f>
        <v>38013.550418085448</v>
      </c>
      <c r="M49" s="79">
        <f>M48-L49</f>
        <v>120807.05377141829</v>
      </c>
      <c r="N49" s="126">
        <f>L49/M48</f>
        <v>0.23934898505188862</v>
      </c>
      <c r="O49" s="52"/>
      <c r="P49" s="80">
        <f>I49</f>
        <v>45627</v>
      </c>
      <c r="Q49" s="97">
        <f ca="1">S48*N49</f>
        <v>6609.1935712419945</v>
      </c>
      <c r="R49" s="98">
        <f ca="1">S48*$C$2/2</f>
        <v>690.33022740927686</v>
      </c>
      <c r="S49" s="99">
        <f ca="1">IF(P49&lt;$A$4,(VLOOKUP(P49,$A$11:$B$52,2,0)*$S$12),(S48-(Q49+R49)))</f>
        <v>20313.6852977198</v>
      </c>
      <c r="U49" s="80">
        <f>P49</f>
        <v>45627</v>
      </c>
      <c r="V49" s="97">
        <f ca="1">IF(U49&lt;$A$4,0,(YEARFRAC($A$4,U49,1)))</f>
        <v>8.6468978102189791</v>
      </c>
      <c r="W49" s="141">
        <f ca="1">V49*(S48-S49)</f>
        <v>63118.236350199018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45809</v>
      </c>
      <c r="F50" s="74">
        <f ca="1">MAX(IF(ISERROR(VLOOKUP(E50,$A$12:$B$52,2,0)),VLOOKUP(E50,$P$11:$S$52,4,0)/1000000,(VLOOKUP(E50,$A$12:$B$52,2,0))),0)</f>
        <v>1.3227864821540021E-2</v>
      </c>
      <c r="G50" s="128">
        <f ca="1">F50*1000000</f>
        <v>13227.864821540021</v>
      </c>
      <c r="I50" s="80">
        <f>E50</f>
        <v>45809</v>
      </c>
      <c r="J50" s="210">
        <f>$M$12*$N$7</f>
        <v>42635.23</v>
      </c>
      <c r="K50" s="88">
        <f>($F$7/360)*($O$2/100)*M49</f>
        <v>3515.4852647482717</v>
      </c>
      <c r="L50" s="90">
        <f>J50-K50</f>
        <v>39119.744735251734</v>
      </c>
      <c r="M50" s="79">
        <f>M49-L50</f>
        <v>81687.309036166553</v>
      </c>
      <c r="N50" s="126">
        <f>L50/M49</f>
        <v>0.32382003793645259</v>
      </c>
      <c r="O50" s="52"/>
      <c r="P50" s="80">
        <f>I50</f>
        <v>45809</v>
      </c>
      <c r="Q50" s="97">
        <f ca="1">S49*N50</f>
        <v>6577.9783437367851</v>
      </c>
      <c r="R50" s="98">
        <f ca="1">S49*$C$2/2</f>
        <v>507.84213244299502</v>
      </c>
      <c r="S50" s="99">
        <f ca="1">IF(P50&lt;$A$4,(VLOOKUP(P50,$A$11:$B$52,2,0)*$S$12),(S49-(Q50+R50)))</f>
        <v>13227.864821540021</v>
      </c>
      <c r="U50" s="80">
        <f>P50</f>
        <v>45809</v>
      </c>
      <c r="V50" s="97">
        <f ca="1">IF(U50&lt;$A$4,0,(YEARFRAC($A$4,U50,1)))</f>
        <v>9.1459074733096077</v>
      </c>
      <c r="W50" s="141">
        <f ca="1">V50*(S49-S50)</f>
        <v>64806.25844762288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45992</v>
      </c>
      <c r="F51" s="74">
        <f ca="1">MAX(IF(ISERROR(VLOOKUP(E51,$A$12:$B$52,2,0)),VLOOKUP(E51,$P$11:$S$52,4,0)/1000000,(VLOOKUP(E51,$A$12:$B$52,2,0))),0)</f>
        <v>6.3780515998422167E-3</v>
      </c>
      <c r="G51" s="128">
        <f ca="1">F51*1000000</f>
        <v>6378.051599842217</v>
      </c>
      <c r="I51" s="80">
        <f>E51</f>
        <v>45992</v>
      </c>
      <c r="J51" s="210">
        <f>$M$12*$N$7</f>
        <v>42635.23</v>
      </c>
      <c r="K51" s="88">
        <f>($F$7/360)*($O$2/100)*M50</f>
        <v>2377.1006929524465</v>
      </c>
      <c r="L51" s="90">
        <f>J51-K51</f>
        <v>40258.129307047559</v>
      </c>
      <c r="M51" s="79">
        <f>M50-L51</f>
        <v>41429.179729118994</v>
      </c>
      <c r="N51" s="126">
        <f>L51/M50</f>
        <v>0.4928321153194497</v>
      </c>
      <c r="O51" s="52"/>
      <c r="P51" s="80">
        <f>I51</f>
        <v>45992</v>
      </c>
      <c r="Q51" s="97">
        <f ca="1">S50*N51</f>
        <v>6519.1166011593032</v>
      </c>
      <c r="R51" s="98">
        <f ca="1">S50*$C$2/2</f>
        <v>330.69662053850055</v>
      </c>
      <c r="S51" s="99">
        <f ca="1">IF(P51&lt;$A$4,(VLOOKUP(P51,$A$11:$B$52,2,0)*$S$12),(S50-(Q51+R51)))</f>
        <v>6378.051599842217</v>
      </c>
      <c r="U51" s="80">
        <f>P51</f>
        <v>45992</v>
      </c>
      <c r="V51" s="97">
        <f ca="1">IF(U51&lt;$A$4,0,(YEARFRAC($A$4,U51,1)))</f>
        <v>9.6468655899260884</v>
      </c>
      <c r="W51" s="141">
        <f ca="1">V51*(S50-S51)</f>
        <v>66079.227465817297</v>
      </c>
    </row>
    <row r="52" spans="1:23" s="82" customFormat="1" ht="13.5" thickBot="1">
      <c r="A52" s="81"/>
      <c r="B52" s="81"/>
      <c r="D52" s="70" t="str">
        <f ca="1">IF(E52&lt;$A$4,"Actual","Model Num")</f>
        <v>Model Num</v>
      </c>
      <c r="E52" s="71">
        <f>DATE(YEAR(E51),MONTH(E51)+6,DAY(E51))</f>
        <v>46174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46174</v>
      </c>
      <c r="J52" s="211">
        <f>$M$12*$N$7</f>
        <v>42635.23</v>
      </c>
      <c r="K52" s="89">
        <f>($F$7/360)*($O$2/100)*M51</f>
        <v>1205.5891301173626</v>
      </c>
      <c r="L52" s="91">
        <f>J52-K52</f>
        <v>41429.640869882642</v>
      </c>
      <c r="M52" s="85">
        <f>M51-L52</f>
        <v>-0.46114076364756329</v>
      </c>
      <c r="N52" s="127">
        <f>L52/M51</f>
        <v>1.0000111308205151</v>
      </c>
      <c r="O52" s="86"/>
      <c r="P52" s="84">
        <f>I52</f>
        <v>46174</v>
      </c>
      <c r="Q52" s="100">
        <f ca="1">S51*N52</f>
        <v>6378.1225927898104</v>
      </c>
      <c r="R52" s="98">
        <f ca="1">S51*$C$2/2</f>
        <v>159.45128999605544</v>
      </c>
      <c r="S52" s="102">
        <v>0</v>
      </c>
      <c r="U52" s="142">
        <f>P52</f>
        <v>46174</v>
      </c>
      <c r="V52" s="143">
        <f ca="1">IF(U52&lt;$A$4,0,(YEARFRAC($A$4,U52,1)))</f>
        <v>10.145843703334993</v>
      </c>
      <c r="W52" s="141">
        <f ca="1">V52*(S51-S52)</f>
        <v>64710.714663804836</v>
      </c>
    </row>
    <row r="53" spans="1:23">
      <c r="A53" s="31"/>
      <c r="B53" s="31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11" priority="1" stopIfTrue="1">
      <formula>$D1="Actual"</formula>
    </cfRule>
  </conditionalFormatting>
  <conditionalFormatting sqref="A4">
    <cfRule type="expression" dxfId="10" priority="2" stopIfTrue="1">
      <formula>#REF!="Actual"</formula>
    </cfRule>
  </conditionalFormatting>
  <conditionalFormatting sqref="C6:C9">
    <cfRule type="cellIs" dxfId="9" priority="3" stopIfTrue="1" operator="equal">
      <formula>"PROB!!"</formula>
    </cfRule>
  </conditionalFormatting>
  <conditionalFormatting sqref="A7">
    <cfRule type="expression" dxfId="8" priority="4" stopIfTrue="1">
      <formula>A7="Warning - Update"</formula>
    </cfRule>
  </conditionalFormatting>
  <pageMargins left="0.75" right="0.75" top="1" bottom="1" header="0.5" footer="0.5"/>
  <headerFooter alignWithMargins="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indexed="40"/>
  </sheetPr>
  <dimension ref="A1:W53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10.425781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129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27</v>
      </c>
      <c r="B2" s="67" t="str">
        <f>MID(A2,3,9)</f>
        <v>83162CRE5</v>
      </c>
      <c r="C2" s="131">
        <v>0.05</v>
      </c>
      <c r="D2" s="67">
        <f>IF(ISERROR(VLOOKUP(A2,'Bond Position per Summit'!$C$42:$E$56,3,0)),0,VLOOKUP(A2,'Bond Position per Summit'!$C$42:$E$56,3,0))</f>
        <v>0</v>
      </c>
      <c r="E2" s="67">
        <f>IF(ISERROR(VLOOKUP(A2,'Bond Position per Summit'!$C$65:$E$73,3,0)),0,VLOOKUP(A2,'Bond Position per Summit'!$C$65:$E$73,3,0))</f>
        <v>42941247.600000001</v>
      </c>
      <c r="F2" s="67" t="str">
        <f>_xll.BDP($B2&amp;" Mtge Cusip",F$1)</f>
        <v>SBAP 2007-20H 1</v>
      </c>
      <c r="G2" s="67">
        <f>VLOOKUP(A2,'Bond Position per Summit'!$C$10:$D$32,2,0)</f>
        <v>60000000</v>
      </c>
      <c r="H2" s="67">
        <f>VLOOKUP(A2,'Bond Position per Summit'!$C$10:$E$32,3,0)</f>
        <v>42941247.600000001</v>
      </c>
      <c r="I2" s="67" t="str">
        <f>_xll.BDP($B2&amp;" Mtge Cusip",I$1)</f>
        <v>15/08/2007</v>
      </c>
      <c r="J2" s="67" t="str">
        <f>_xll.BDP($B2&amp;" Mtge Cusip",J$1)</f>
        <v>15/08/2007</v>
      </c>
      <c r="K2" s="67" t="str">
        <f>_xll.BDP($B2&amp;" Mtge Cusip",K$1)</f>
        <v>01/02/2008</v>
      </c>
      <c r="L2" s="67" t="str">
        <f>_xll.BDP($B2&amp;" Mtge Cusip",L$1)</f>
        <v>01/08/2027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5.78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177"/>
      <c r="F5" s="117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60000000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0.28565422639000004</v>
      </c>
      <c r="C6" s="68" t="str">
        <f>IF((ROUND(B12,9))=(ROUND(B6,9)),"Ok","PROB!!")</f>
        <v>Ok</v>
      </c>
      <c r="D6" s="52"/>
      <c r="E6" s="178" t="s">
        <v>91</v>
      </c>
      <c r="F6" s="179">
        <f>DAYS360(I12,I13,FALSE)</f>
        <v>166</v>
      </c>
      <c r="I6" s="108" t="s">
        <v>81</v>
      </c>
      <c r="J6" s="118">
        <v>40249</v>
      </c>
      <c r="K6" s="113">
        <f>ROUND(J6/J5,8)</f>
        <v>4.0249E-2</v>
      </c>
      <c r="L6" s="108" t="s">
        <v>81</v>
      </c>
      <c r="M6" s="112">
        <v>2414922</v>
      </c>
      <c r="N6" s="134">
        <f>ROUND(M6/M5,8)</f>
        <v>4.0248699999999998E-2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178" t="s">
        <v>92</v>
      </c>
      <c r="F7" s="179">
        <f>DAYS360(I13,I14,FALSE)</f>
        <v>180</v>
      </c>
      <c r="I7" s="109" t="s">
        <v>82</v>
      </c>
      <c r="J7" s="119">
        <v>42496</v>
      </c>
      <c r="K7" s="115">
        <f>ROUND(J7/J5,8)</f>
        <v>4.2495999999999999E-2</v>
      </c>
      <c r="L7" s="109" t="s">
        <v>82</v>
      </c>
      <c r="M7" s="114">
        <v>2549788</v>
      </c>
      <c r="N7" s="133">
        <f>ROUND(M7/M5,8)</f>
        <v>4.2496470000000001E-2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180" t="s">
        <v>93</v>
      </c>
      <c r="F8" s="181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3.5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5.2605904910978172</v>
      </c>
    </row>
    <row r="12" spans="1:23">
      <c r="A12" s="49">
        <f>_xll.BDS($B2&amp;" Mtge Cusip",A11,"cols=2;rows=18")</f>
        <v>42401</v>
      </c>
      <c r="B12" s="50">
        <v>0.28565422600000001</v>
      </c>
      <c r="C12" s="52"/>
      <c r="D12" s="70" t="str">
        <f ca="1">IF(E12&lt;$A$4,"Actual","Model Num")</f>
        <v>Actual</v>
      </c>
      <c r="E12" s="71">
        <v>39309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39309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39309</v>
      </c>
      <c r="Q12" s="94"/>
      <c r="R12" s="95"/>
      <c r="S12" s="96">
        <f>M12</f>
        <v>1000000</v>
      </c>
      <c r="U12" s="139">
        <f>P12</f>
        <v>39309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42217</v>
      </c>
      <c r="B13" s="50">
        <v>0.33668695799999998</v>
      </c>
      <c r="C13" s="52"/>
      <c r="D13" s="70" t="str">
        <f ca="1">IF(E13&lt;$A$4,"Actual","Model Num")</f>
        <v>Actual</v>
      </c>
      <c r="E13" s="71">
        <v>39479</v>
      </c>
      <c r="F13" s="74">
        <f>MAX(IF(ISERROR(VLOOKUP(E13,$A$12:$B$52,2,0)),VLOOKUP(E13,$P$11:$S$52,4,0)/1000000,(VLOOKUP(E13,$A$12:$B$52,2,0))),0)</f>
        <v>0.97771481999999998</v>
      </c>
      <c r="G13" s="128">
        <f>F13*1000000</f>
        <v>977714.82</v>
      </c>
      <c r="H13" s="64"/>
      <c r="I13" s="80">
        <f>E13</f>
        <v>39479</v>
      </c>
      <c r="J13" s="125">
        <f>$M$12*$N$6</f>
        <v>40248.699999999997</v>
      </c>
      <c r="K13" s="88">
        <f>($F$6/360)*($O$2/100)*M12</f>
        <v>26652.222222222226</v>
      </c>
      <c r="L13" s="90">
        <f>J13-K13</f>
        <v>13596.477777777771</v>
      </c>
      <c r="M13" s="79">
        <f>M12-L13</f>
        <v>986403.52222222218</v>
      </c>
      <c r="N13" s="126">
        <f>L13/M12</f>
        <v>1.359647777777777E-2</v>
      </c>
      <c r="O13" s="52"/>
      <c r="P13" s="80">
        <f>I13</f>
        <v>39479</v>
      </c>
      <c r="Q13" s="97">
        <f>S12*N13</f>
        <v>13596.477777777771</v>
      </c>
      <c r="R13" s="98">
        <f>S12*$C$2/2</f>
        <v>25000</v>
      </c>
      <c r="S13" s="99">
        <f ca="1">IF(P13&lt;$A$4,(VLOOKUP(P13,$A$11:$B$52,2,0)*$S$12),(S12-(Q13+R13)))</f>
        <v>977714.82</v>
      </c>
      <c r="U13" s="80">
        <f>P13</f>
        <v>39479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42036</v>
      </c>
      <c r="B14" s="50">
        <v>0.37990478</v>
      </c>
      <c r="C14" s="52"/>
      <c r="D14" s="70" t="str">
        <f ca="1">IF(E14&lt;$A$4,"Actual","Model Num")</f>
        <v>Actual</v>
      </c>
      <c r="E14" s="71">
        <f>DATE(YEAR(E13),MONTH(E13)+6,DAY(E13))</f>
        <v>39661</v>
      </c>
      <c r="F14" s="74">
        <f>MAX(IF(ISERROR(VLOOKUP(E14,$A$12:$B$52,2,0)),VLOOKUP(E14,$P$11:$S$52,4,0)/1000000,(VLOOKUP(E14,$A$12:$B$52,2,0))),0)</f>
        <v>0.94623240799999997</v>
      </c>
      <c r="G14" s="128">
        <f>F14*1000000</f>
        <v>946232.40799999994</v>
      </c>
      <c r="H14" s="64"/>
      <c r="I14" s="80">
        <f>E14</f>
        <v>39661</v>
      </c>
      <c r="J14" s="210">
        <f>$M$12*$N$7</f>
        <v>42496.47</v>
      </c>
      <c r="K14" s="88">
        <f>($F$7/360)*($O$2/100)*M13</f>
        <v>28507.061792222223</v>
      </c>
      <c r="L14" s="90">
        <f>J14-K14</f>
        <v>13989.408207777778</v>
      </c>
      <c r="M14" s="79">
        <f>M13-L14</f>
        <v>972414.11401444441</v>
      </c>
      <c r="N14" s="126">
        <f>L14/M13</f>
        <v>1.4182236673548872E-2</v>
      </c>
      <c r="O14" s="52"/>
      <c r="P14" s="80">
        <f>I14</f>
        <v>39661</v>
      </c>
      <c r="Q14" s="97">
        <f ca="1">S13*N14</f>
        <v>13866.182976476233</v>
      </c>
      <c r="R14" s="98">
        <f ca="1">S13*$C$2/2</f>
        <v>24442.870500000001</v>
      </c>
      <c r="S14" s="99">
        <f ca="1">IF(P14&lt;$A$4,(VLOOKUP(P14,$A$11:$B$52,2,0)*$S$12),(S13-(Q14+R14)))</f>
        <v>946232.40799999994</v>
      </c>
      <c r="U14" s="80">
        <f>P14</f>
        <v>39661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41852</v>
      </c>
      <c r="B15" s="50">
        <v>0.427541008</v>
      </c>
      <c r="C15" s="52"/>
      <c r="D15" s="70" t="str">
        <f ca="1">IF(E15&lt;$A$4,"Actual","Model Num")</f>
        <v>Actual</v>
      </c>
      <c r="E15" s="71">
        <f>DATE(YEAR(E14),MONTH(E14)+6,DAY(E14))</f>
        <v>39845</v>
      </c>
      <c r="F15" s="74">
        <f>MAX(IF(ISERROR(VLOOKUP(E15,$A$12:$B$52,2,0)),VLOOKUP(E15,$P$11:$S$52,4,0)/1000000,(VLOOKUP(E15,$A$12:$B$52,2,0))),0)</f>
        <v>0.90811481000000005</v>
      </c>
      <c r="G15" s="128">
        <f>F15*1000000</f>
        <v>908114.81</v>
      </c>
      <c r="H15" s="64"/>
      <c r="I15" s="80">
        <f>E15</f>
        <v>39845</v>
      </c>
      <c r="J15" s="210">
        <f>$M$12*$N$7</f>
        <v>42496.47</v>
      </c>
      <c r="K15" s="88">
        <f>($F$7/360)*($O$2/100)*M14</f>
        <v>28102.767895017445</v>
      </c>
      <c r="L15" s="90">
        <f>J15-K15</f>
        <v>14393.702104982556</v>
      </c>
      <c r="M15" s="79">
        <f>M14-L15</f>
        <v>958020.41190946184</v>
      </c>
      <c r="N15" s="126">
        <f>L15/M14</f>
        <v>1.4802029194702485E-2</v>
      </c>
      <c r="O15" s="52"/>
      <c r="P15" s="80">
        <f>I15</f>
        <v>39845</v>
      </c>
      <c r="Q15" s="97">
        <f ca="1">S14*N15</f>
        <v>14006.159728189632</v>
      </c>
      <c r="R15" s="98">
        <f ca="1">S14*$C$2/2</f>
        <v>23655.8102</v>
      </c>
      <c r="S15" s="99">
        <f ca="1">IF(P15&lt;$A$4,(VLOOKUP(P15,$A$11:$B$52,2,0)*$S$12),(S14-(Q15+R15)))</f>
        <v>908114.81</v>
      </c>
      <c r="U15" s="80">
        <f>P15</f>
        <v>39845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41671</v>
      </c>
      <c r="B16" s="50">
        <v>0.45929422199999997</v>
      </c>
      <c r="C16" s="52"/>
      <c r="D16" s="70" t="str">
        <f ca="1">IF(E16&lt;$A$4,"Actual","Model Num")</f>
        <v>Actual</v>
      </c>
      <c r="E16" s="71">
        <f>DATE(YEAR(E15),MONTH(E15)+6,DAY(E15))</f>
        <v>40026</v>
      </c>
      <c r="F16" s="74">
        <f>MAX(IF(ISERROR(VLOOKUP(E16,$A$12:$B$52,2,0)),VLOOKUP(E16,$P$11:$S$52,4,0)/1000000,(VLOOKUP(E16,$A$12:$B$52,2,0))),0)</f>
        <v>0.85089218300000002</v>
      </c>
      <c r="G16" s="128">
        <f>F16*1000000</f>
        <v>850892.18300000008</v>
      </c>
      <c r="H16" s="64"/>
      <c r="I16" s="80">
        <f>E16</f>
        <v>40026</v>
      </c>
      <c r="J16" s="210">
        <f>$M$12*$N$7</f>
        <v>42496.47</v>
      </c>
      <c r="K16" s="88">
        <f>($F$7/360)*($O$2/100)*M15</f>
        <v>27686.78990418345</v>
      </c>
      <c r="L16" s="90">
        <f>J16-K16</f>
        <v>14809.680095816551</v>
      </c>
      <c r="M16" s="79">
        <f>M15-L16</f>
        <v>943210.73181364534</v>
      </c>
      <c r="N16" s="126">
        <f>L16/M15</f>
        <v>1.5458626884889533E-2</v>
      </c>
      <c r="O16" s="52"/>
      <c r="P16" s="80">
        <f>I16</f>
        <v>40026</v>
      </c>
      <c r="Q16" s="97">
        <f ca="1">S15*N16</f>
        <v>14038.208016432351</v>
      </c>
      <c r="R16" s="98">
        <f ca="1">S15*$C$2/2</f>
        <v>22702.870250000004</v>
      </c>
      <c r="S16" s="99">
        <f ca="1">IF(P16&lt;$A$4,(VLOOKUP(P16,$A$11:$B$52,2,0)*$S$12),(S15-(Q16+R16)))</f>
        <v>850892.18300000008</v>
      </c>
      <c r="U16" s="80">
        <f>P16</f>
        <v>40026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41487</v>
      </c>
      <c r="B17" s="50">
        <v>0.493107884</v>
      </c>
      <c r="C17" s="52"/>
      <c r="D17" s="70" t="str">
        <f ca="1">IF(E17&lt;$A$4,"Actual","Model Num")</f>
        <v>Actual</v>
      </c>
      <c r="E17" s="71">
        <f>DATE(YEAR(E16),MONTH(E16)+6,DAY(E16))</f>
        <v>40210</v>
      </c>
      <c r="F17" s="74">
        <f>MAX(IF(ISERROR(VLOOKUP(E17,$A$12:$B$52,2,0)),VLOOKUP(E17,$P$11:$S$52,4,0)/1000000,(VLOOKUP(E17,$A$12:$B$52,2,0))),0)</f>
        <v>0.77668978600000005</v>
      </c>
      <c r="G17" s="128">
        <f>F17*1000000</f>
        <v>776689.78600000008</v>
      </c>
      <c r="H17" s="64"/>
      <c r="I17" s="80">
        <f>E17</f>
        <v>40210</v>
      </c>
      <c r="J17" s="210">
        <f>$M$12*$N$7</f>
        <v>42496.47</v>
      </c>
      <c r="K17" s="88">
        <f>($F$7/360)*($O$2/100)*M16</f>
        <v>27258.790149414352</v>
      </c>
      <c r="L17" s="90">
        <f>J17-K17</f>
        <v>15237.67985058565</v>
      </c>
      <c r="M17" s="79">
        <f>M16-L17</f>
        <v>927973.0519630597</v>
      </c>
      <c r="N17" s="126">
        <f>L17/M16</f>
        <v>1.6155117129854953E-2</v>
      </c>
      <c r="O17" s="52"/>
      <c r="P17" s="80">
        <f>I17</f>
        <v>40210</v>
      </c>
      <c r="Q17" s="97">
        <f ca="1">S16*N17</f>
        <v>13746.262881242978</v>
      </c>
      <c r="R17" s="98">
        <f ca="1">S16*$C$2/2</f>
        <v>21272.304575000002</v>
      </c>
      <c r="S17" s="99">
        <f ca="1">IF(P17&lt;$A$4,(VLOOKUP(P17,$A$11:$B$52,2,0)*$S$12),(S16-(Q17+R17)))</f>
        <v>776689.78600000008</v>
      </c>
      <c r="U17" s="80">
        <f>P17</f>
        <v>40210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41306</v>
      </c>
      <c r="B18" s="50">
        <v>0.53177499299999997</v>
      </c>
      <c r="C18" s="52"/>
      <c r="D18" s="70" t="str">
        <f ca="1">IF(E18&lt;$A$4,"Actual","Model Num")</f>
        <v>Actual</v>
      </c>
      <c r="E18" s="71">
        <f>DATE(YEAR(E17),MONTH(E17)+6,DAY(E17))</f>
        <v>40391</v>
      </c>
      <c r="F18" s="74">
        <f>MAX(IF(ISERROR(VLOOKUP(E18,$A$12:$B$52,2,0)),VLOOKUP(E18,$P$11:$S$52,4,0)/1000000,(VLOOKUP(E18,$A$12:$B$52,2,0))),0)</f>
        <v>0.71568745600000006</v>
      </c>
      <c r="G18" s="128">
        <f>F18*1000000</f>
        <v>715687.45600000001</v>
      </c>
      <c r="H18" s="64"/>
      <c r="I18" s="80">
        <f>E18</f>
        <v>40391</v>
      </c>
      <c r="J18" s="210">
        <f>$M$12*$N$7</f>
        <v>42496.47</v>
      </c>
      <c r="K18" s="88">
        <f>($F$7/360)*($O$2/100)*M17</f>
        <v>26818.421201732428</v>
      </c>
      <c r="L18" s="90">
        <f>J18-K18</f>
        <v>15678.048798267573</v>
      </c>
      <c r="M18" s="79">
        <f>M17-L18</f>
        <v>912295.00316479208</v>
      </c>
      <c r="N18" s="126">
        <f>L18/M17</f>
        <v>1.6894939745396482E-2</v>
      </c>
      <c r="O18" s="52"/>
      <c r="P18" s="80">
        <f>I18</f>
        <v>40391</v>
      </c>
      <c r="Q18" s="97">
        <f ca="1">S17*N18</f>
        <v>13122.127135334889</v>
      </c>
      <c r="R18" s="98">
        <f ca="1">S17*$C$2/2</f>
        <v>19417.244650000004</v>
      </c>
      <c r="S18" s="99">
        <f ca="1">IF(P18&lt;$A$4,(VLOOKUP(P18,$A$11:$B$52,2,0)*$S$12),(S17-(Q18+R18)))</f>
        <v>715687.45600000001</v>
      </c>
      <c r="U18" s="80">
        <f>P18</f>
        <v>40391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41122</v>
      </c>
      <c r="B19" s="50">
        <v>0.58004930399999999</v>
      </c>
      <c r="C19" s="52"/>
      <c r="D19" s="70" t="str">
        <f ca="1">IF(E19&lt;$A$4,"Actual","Model Num")</f>
        <v>Actual</v>
      </c>
      <c r="E19" s="71">
        <f>DATE(YEAR(E18),MONTH(E18)+6,DAY(E18))</f>
        <v>40575</v>
      </c>
      <c r="F19" s="74">
        <f>MAX(IF(ISERROR(VLOOKUP(E19,$A$12:$B$52,2,0)),VLOOKUP(E19,$P$11:$S$52,4,0)/1000000,(VLOOKUP(E19,$A$12:$B$52,2,0))),0)</f>
        <v>0.66789997599999995</v>
      </c>
      <c r="G19" s="128">
        <f>F19*1000000</f>
        <v>667899.97599999991</v>
      </c>
      <c r="H19" s="64"/>
      <c r="I19" s="80">
        <f>E19</f>
        <v>40575</v>
      </c>
      <c r="J19" s="210">
        <f>$M$12*$N$7</f>
        <v>42496.47</v>
      </c>
      <c r="K19" s="88">
        <f>($F$7/360)*($O$2/100)*M18</f>
        <v>26365.325591462493</v>
      </c>
      <c r="L19" s="90">
        <f>J19-K19</f>
        <v>16131.144408537508</v>
      </c>
      <c r="M19" s="79">
        <f>M18-L19</f>
        <v>896163.85875625454</v>
      </c>
      <c r="N19" s="126">
        <f>L19/M18</f>
        <v>1.7681938794554226E-2</v>
      </c>
      <c r="O19" s="52"/>
      <c r="P19" s="80">
        <f>I19</f>
        <v>40575</v>
      </c>
      <c r="Q19" s="97">
        <f ca="1">S18*N19</f>
        <v>12654.74179302222</v>
      </c>
      <c r="R19" s="98">
        <f ca="1">S18*$C$2/2</f>
        <v>17892.186400000002</v>
      </c>
      <c r="S19" s="99">
        <f ca="1">IF(P19&lt;$A$4,(VLOOKUP(P19,$A$11:$B$52,2,0)*$S$12),(S18-(Q19+R19)))</f>
        <v>667899.97599999991</v>
      </c>
      <c r="U19" s="80">
        <f>P19</f>
        <v>40575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40940</v>
      </c>
      <c r="B20" s="50">
        <v>0.60689642300000002</v>
      </c>
      <c r="C20" s="52"/>
      <c r="D20" s="70" t="str">
        <f ca="1">IF(E20&lt;$A$4,"Actual","Model Num")</f>
        <v>Actual</v>
      </c>
      <c r="E20" s="71">
        <f>DATE(YEAR(E19),MONTH(E19)+6,DAY(E19))</f>
        <v>40756</v>
      </c>
      <c r="F20" s="74">
        <f>MAX(IF(ISERROR(VLOOKUP(E20,$A$12:$B$52,2,0)),VLOOKUP(E20,$P$11:$S$52,4,0)/1000000,(VLOOKUP(E20,$A$12:$B$52,2,0))),0)</f>
        <v>0.643746178</v>
      </c>
      <c r="G20" s="128">
        <f>F20*1000000</f>
        <v>643746.17799999996</v>
      </c>
      <c r="H20" s="64"/>
      <c r="I20" s="80">
        <f>E20</f>
        <v>40756</v>
      </c>
      <c r="J20" s="210">
        <f>$M$12*$N$7</f>
        <v>42496.47</v>
      </c>
      <c r="K20" s="88">
        <f>($F$7/360)*($O$2/100)*M19</f>
        <v>25899.135518055758</v>
      </c>
      <c r="L20" s="90">
        <f>J20-K20</f>
        <v>16597.334481944243</v>
      </c>
      <c r="M20" s="79">
        <f>M19-L20</f>
        <v>879566.52427431033</v>
      </c>
      <c r="N20" s="126">
        <f>L20/M19</f>
        <v>1.8520423826262015E-2</v>
      </c>
      <c r="O20" s="52"/>
      <c r="P20" s="80">
        <f>I20</f>
        <v>40756</v>
      </c>
      <c r="Q20" s="97">
        <f ca="1">S19*N20</f>
        <v>12369.790629070227</v>
      </c>
      <c r="R20" s="98">
        <f ca="1">S19*$C$2/2</f>
        <v>16697.499399999997</v>
      </c>
      <c r="S20" s="99">
        <f ca="1">IF(P20&lt;$A$4,(VLOOKUP(P20,$A$11:$B$52,2,0)*$S$12),(S19-(Q20+R20)))</f>
        <v>643746.17799999996</v>
      </c>
      <c r="U20" s="80">
        <f>P20</f>
        <v>40756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40756</v>
      </c>
      <c r="B21" s="50">
        <v>0.643746178</v>
      </c>
      <c r="C21" s="52"/>
      <c r="D21" s="70" t="str">
        <f ca="1">IF(E21&lt;$A$4,"Actual","Model Num")</f>
        <v>Actual</v>
      </c>
      <c r="E21" s="71">
        <f>DATE(YEAR(E20),MONTH(E20)+6,DAY(E20))</f>
        <v>40940</v>
      </c>
      <c r="F21" s="74">
        <f>MAX(IF(ISERROR(VLOOKUP(E21,$A$12:$B$52,2,0)),VLOOKUP(E21,$P$11:$S$52,4,0)/1000000,(VLOOKUP(E21,$A$12:$B$52,2,0))),0)</f>
        <v>0.60689642300000002</v>
      </c>
      <c r="G21" s="128">
        <f>F21*1000000</f>
        <v>606896.42300000007</v>
      </c>
      <c r="H21" s="64"/>
      <c r="I21" s="80">
        <f>E21</f>
        <v>40940</v>
      </c>
      <c r="J21" s="210">
        <f>$M$12*$N$7</f>
        <v>42496.47</v>
      </c>
      <c r="K21" s="88">
        <f>($F$7/360)*($O$2/100)*M20</f>
        <v>25419.472551527571</v>
      </c>
      <c r="L21" s="90">
        <f>J21-K21</f>
        <v>17076.99744847243</v>
      </c>
      <c r="M21" s="79">
        <f>M20-L21</f>
        <v>862489.52682583791</v>
      </c>
      <c r="N21" s="126">
        <f>L21/M20</f>
        <v>1.9415242596416308E-2</v>
      </c>
      <c r="O21" s="52"/>
      <c r="P21" s="80">
        <f>I21</f>
        <v>40940</v>
      </c>
      <c r="Q21" s="97">
        <f ca="1">S20*N21</f>
        <v>12498.488216385795</v>
      </c>
      <c r="R21" s="98">
        <f ca="1">S20*$C$2/2</f>
        <v>16093.65445</v>
      </c>
      <c r="S21" s="99">
        <f ca="1">IF(P21&lt;$A$4,(VLOOKUP(P21,$A$11:$B$52,2,0)*$S$12),(S20-(Q21+R21)))</f>
        <v>606896.42300000007</v>
      </c>
      <c r="U21" s="80">
        <f>P21</f>
        <v>40940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40575</v>
      </c>
      <c r="B22" s="50">
        <v>0.66789997599999995</v>
      </c>
      <c r="C22" s="52"/>
      <c r="D22" s="70" t="str">
        <f ca="1">IF(E22&lt;$A$4,"Actual","Model Num")</f>
        <v>Actual</v>
      </c>
      <c r="E22" s="71">
        <f>DATE(YEAR(E21),MONTH(E21)+6,DAY(E21))</f>
        <v>41122</v>
      </c>
      <c r="F22" s="74">
        <f>MAX(IF(ISERROR(VLOOKUP(E22,$A$12:$B$52,2,0)),VLOOKUP(E22,$P$11:$S$52,4,0)/1000000,(VLOOKUP(E22,$A$12:$B$52,2,0))),0)</f>
        <v>0.58004930399999999</v>
      </c>
      <c r="G22" s="128">
        <f>F22*1000000</f>
        <v>580049.304</v>
      </c>
      <c r="H22" s="64"/>
      <c r="I22" s="80">
        <f>E22</f>
        <v>41122</v>
      </c>
      <c r="J22" s="210">
        <f>$M$12*$N$7</f>
        <v>42496.47</v>
      </c>
      <c r="K22" s="88">
        <f>($F$7/360)*($O$2/100)*M21</f>
        <v>24925.947325266716</v>
      </c>
      <c r="L22" s="90">
        <f>J22-K22</f>
        <v>17570.522674733285</v>
      </c>
      <c r="M22" s="79">
        <f>M21-L22</f>
        <v>844919.0041511046</v>
      </c>
      <c r="N22" s="126">
        <f>L22/M21</f>
        <v>2.0371867864177894E-2</v>
      </c>
      <c r="O22" s="52"/>
      <c r="P22" s="80">
        <f>I22</f>
        <v>41122</v>
      </c>
      <c r="Q22" s="97">
        <f ca="1">S21*N22</f>
        <v>12363.613736598216</v>
      </c>
      <c r="R22" s="98">
        <f ca="1">S21*$C$2/2</f>
        <v>15172.410575000002</v>
      </c>
      <c r="S22" s="99">
        <f ca="1">IF(P22&lt;$A$4,(VLOOKUP(P22,$A$11:$B$52,2,0)*$S$12),(S21-(Q22+R22)))</f>
        <v>580049.304</v>
      </c>
      <c r="U22" s="80">
        <f>P22</f>
        <v>41122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40391</v>
      </c>
      <c r="B23" s="50">
        <v>0.71568745600000006</v>
      </c>
      <c r="C23" s="52"/>
      <c r="D23" s="70" t="str">
        <f ca="1">IF(E23&lt;$A$4,"Actual","Model Num")</f>
        <v>Actual</v>
      </c>
      <c r="E23" s="71">
        <f>DATE(YEAR(E22),MONTH(E22)+6,DAY(E22))</f>
        <v>41306</v>
      </c>
      <c r="F23" s="74">
        <f>MAX(IF(ISERROR(VLOOKUP(E23,$A$12:$B$52,2,0)),VLOOKUP(E23,$P$11:$S$52,4,0)/1000000,(VLOOKUP(E23,$A$12:$B$52,2,0))),0)</f>
        <v>0.53177499299999997</v>
      </c>
      <c r="G23" s="128">
        <f>F23*1000000</f>
        <v>531774.99300000002</v>
      </c>
      <c r="H23" s="64"/>
      <c r="I23" s="80">
        <f>E23</f>
        <v>41306</v>
      </c>
      <c r="J23" s="210">
        <f>$M$12*$N$7</f>
        <v>42496.47</v>
      </c>
      <c r="K23" s="88">
        <f>($F$7/360)*($O$2/100)*M22</f>
        <v>24418.159219966925</v>
      </c>
      <c r="L23" s="90">
        <f>J23-K23</f>
        <v>18078.310780033076</v>
      </c>
      <c r="M23" s="79">
        <f>M22-L23</f>
        <v>826840.69337107148</v>
      </c>
      <c r="N23" s="126">
        <f>L23/M22</f>
        <v>2.1396501547738849E-2</v>
      </c>
      <c r="O23" s="52"/>
      <c r="P23" s="80">
        <f>I23</f>
        <v>41306</v>
      </c>
      <c r="Q23" s="97">
        <f ca="1">S22*N23</f>
        <v>12411.025830800842</v>
      </c>
      <c r="R23" s="98">
        <f ca="1">S22*$C$2/2</f>
        <v>14501.232600000001</v>
      </c>
      <c r="S23" s="99">
        <f ca="1">IF(P23&lt;$A$4,(VLOOKUP(P23,$A$11:$B$52,2,0)*$S$12),(S22-(Q23+R23)))</f>
        <v>531774.99300000002</v>
      </c>
      <c r="U23" s="80">
        <f>P23</f>
        <v>41306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40210</v>
      </c>
      <c r="B24" s="50">
        <v>0.77668978600000005</v>
      </c>
      <c r="C24" s="52"/>
      <c r="D24" s="70" t="str">
        <f ca="1">IF(E24&lt;$A$4,"Actual","Model Num")</f>
        <v>Actual</v>
      </c>
      <c r="E24" s="71">
        <f>DATE(YEAR(E23),MONTH(E23)+6,DAY(E23))</f>
        <v>41487</v>
      </c>
      <c r="F24" s="74">
        <f>MAX(IF(ISERROR(VLOOKUP(E24,$A$12:$B$52,2,0)),VLOOKUP(E24,$P$11:$S$52,4,0)/1000000,(VLOOKUP(E24,$A$12:$B$52,2,0))),0)</f>
        <v>0.493107884</v>
      </c>
      <c r="G24" s="128">
        <f>F24*1000000</f>
        <v>493107.88400000002</v>
      </c>
      <c r="H24" s="64"/>
      <c r="I24" s="80">
        <f>E24</f>
        <v>41487</v>
      </c>
      <c r="J24" s="210">
        <f>$M$12*$N$7</f>
        <v>42496.47</v>
      </c>
      <c r="K24" s="88">
        <f>($F$7/360)*($O$2/100)*M23</f>
        <v>23895.696038423968</v>
      </c>
      <c r="L24" s="90">
        <f>J24-K24</f>
        <v>18600.773961576033</v>
      </c>
      <c r="M24" s="79">
        <f>M23-L24</f>
        <v>808239.91940949543</v>
      </c>
      <c r="N24" s="126">
        <f>L24/M23</f>
        <v>2.2496200429782589E-2</v>
      </c>
      <c r="O24" s="52"/>
      <c r="P24" s="80">
        <f>I24</f>
        <v>41487</v>
      </c>
      <c r="Q24" s="97">
        <f ca="1">S23*N24</f>
        <v>11962.916826074234</v>
      </c>
      <c r="R24" s="98">
        <f ca="1">S23*$C$2/2</f>
        <v>13294.374825000001</v>
      </c>
      <c r="S24" s="99">
        <f ca="1">IF(P24&lt;$A$4,(VLOOKUP(P24,$A$11:$B$52,2,0)*$S$12),(S23-(Q24+R24)))</f>
        <v>493107.88400000002</v>
      </c>
      <c r="U24" s="80">
        <f>P24</f>
        <v>41487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40026</v>
      </c>
      <c r="B25" s="50">
        <v>0.85089218300000002</v>
      </c>
      <c r="C25" s="52"/>
      <c r="D25" s="70" t="str">
        <f ca="1">IF(E25&lt;$A$4,"Actual","Model Num")</f>
        <v>Actual</v>
      </c>
      <c r="E25" s="71">
        <f>DATE(YEAR(E24),MONTH(E24)+6,DAY(E24))</f>
        <v>41671</v>
      </c>
      <c r="F25" s="74">
        <f>MAX(IF(ISERROR(VLOOKUP(E25,$A$12:$B$52,2,0)),VLOOKUP(E25,$P$11:$S$52,4,0)/1000000,(VLOOKUP(E25,$A$12:$B$52,2,0))),0)</f>
        <v>0.45929422199999997</v>
      </c>
      <c r="G25" s="128">
        <f>F25*1000000</f>
        <v>459294.22199999995</v>
      </c>
      <c r="H25" s="64"/>
      <c r="I25" s="80">
        <f>E25</f>
        <v>41671</v>
      </c>
      <c r="J25" s="210">
        <f>$M$12*$N$7</f>
        <v>42496.47</v>
      </c>
      <c r="K25" s="88">
        <f>($F$7/360)*($O$2/100)*M24</f>
        <v>23358.133670934421</v>
      </c>
      <c r="L25" s="90">
        <f>J25-K25</f>
        <v>19138.33632906558</v>
      </c>
      <c r="M25" s="79">
        <f>M24-L25</f>
        <v>789101.58308042982</v>
      </c>
      <c r="N25" s="126">
        <f>L25/M24</f>
        <v>2.3679028800072329E-2</v>
      </c>
      <c r="O25" s="52"/>
      <c r="P25" s="80">
        <f>I25</f>
        <v>41671</v>
      </c>
      <c r="Q25" s="97">
        <f ca="1">S24*N25</f>
        <v>11676.315786778725</v>
      </c>
      <c r="R25" s="98">
        <f ca="1">S24*$C$2/2</f>
        <v>12327.697100000001</v>
      </c>
      <c r="S25" s="99">
        <f ca="1">IF(P25&lt;$A$4,(VLOOKUP(P25,$A$11:$B$52,2,0)*$S$12),(S24-(Q25+R25)))</f>
        <v>459294.22199999995</v>
      </c>
      <c r="U25" s="80">
        <f>P25</f>
        <v>41671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39845</v>
      </c>
      <c r="B26" s="50">
        <v>0.90811481000000005</v>
      </c>
      <c r="C26" s="52"/>
      <c r="D26" s="70" t="str">
        <f ca="1">IF(E26&lt;$A$4,"Actual","Model Num")</f>
        <v>Actual</v>
      </c>
      <c r="E26" s="71">
        <f>DATE(YEAR(E25),MONTH(E25)+6,DAY(E25))</f>
        <v>41852</v>
      </c>
      <c r="F26" s="74">
        <f>MAX(IF(ISERROR(VLOOKUP(E26,$A$12:$B$52,2,0)),VLOOKUP(E26,$P$11:$S$52,4,0)/1000000,(VLOOKUP(E26,$A$12:$B$52,2,0))),0)</f>
        <v>0.427541008</v>
      </c>
      <c r="G26" s="128">
        <f>F26*1000000</f>
        <v>427541.00799999997</v>
      </c>
      <c r="H26" s="64"/>
      <c r="I26" s="80">
        <f>E26</f>
        <v>41852</v>
      </c>
      <c r="J26" s="210">
        <f>$M$12*$N$7</f>
        <v>42496.47</v>
      </c>
      <c r="K26" s="88">
        <f>($F$7/360)*($O$2/100)*M25</f>
        <v>22805.035751024425</v>
      </c>
      <c r="L26" s="90">
        <f>J26-K26</f>
        <v>19691.434248975576</v>
      </c>
      <c r="M26" s="79">
        <f>M25-L26</f>
        <v>769410.14883145422</v>
      </c>
      <c r="N26" s="126">
        <f>L26/M25</f>
        <v>2.4954245018880557E-2</v>
      </c>
      <c r="O26" s="52"/>
      <c r="P26" s="80">
        <f>I26</f>
        <v>41852</v>
      </c>
      <c r="Q26" s="97">
        <f ca="1">S25*N26</f>
        <v>11461.340551544119</v>
      </c>
      <c r="R26" s="98">
        <f ca="1">S25*$C$2/2</f>
        <v>11482.35555</v>
      </c>
      <c r="S26" s="99">
        <f ca="1">IF(P26&lt;$A$4,(VLOOKUP(P26,$A$11:$B$52,2,0)*$S$12),(S25-(Q26+R26)))</f>
        <v>427541.00799999997</v>
      </c>
      <c r="U26" s="80">
        <f>P26</f>
        <v>41852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39661</v>
      </c>
      <c r="B27" s="50">
        <v>0.94623240799999997</v>
      </c>
      <c r="C27" s="52"/>
      <c r="D27" s="70" t="str">
        <f ca="1">IF(E27&lt;$A$4,"Actual","Model Num")</f>
        <v>Actual</v>
      </c>
      <c r="E27" s="71">
        <f>DATE(YEAR(E26),MONTH(E26)+6,DAY(E26))</f>
        <v>42036</v>
      </c>
      <c r="F27" s="74">
        <f>MAX(IF(ISERROR(VLOOKUP(E27,$A$12:$B$52,2,0)),VLOOKUP(E27,$P$11:$S$52,4,0)/1000000,(VLOOKUP(E27,$A$12:$B$52,2,0))),0)</f>
        <v>0.37990478</v>
      </c>
      <c r="G27" s="128">
        <f>F27*1000000</f>
        <v>379904.77999999997</v>
      </c>
      <c r="H27" s="64"/>
      <c r="I27" s="80">
        <f>E27</f>
        <v>42036</v>
      </c>
      <c r="J27" s="210">
        <f>$M$12*$N$7</f>
        <v>42496.47</v>
      </c>
      <c r="K27" s="88">
        <f>($F$7/360)*($O$2/100)*M26</f>
        <v>22235.95330122903</v>
      </c>
      <c r="L27" s="90">
        <f>J27-K27</f>
        <v>20260.516698770971</v>
      </c>
      <c r="M27" s="79">
        <f>M26-L27</f>
        <v>749149.6321326833</v>
      </c>
      <c r="N27" s="126">
        <f>L27/M26</f>
        <v>2.6332531133806514E-2</v>
      </c>
      <c r="O27" s="52"/>
      <c r="P27" s="80">
        <f>I27</f>
        <v>42036</v>
      </c>
      <c r="Q27" s="97">
        <f ca="1">S26*N27</f>
        <v>11258.236904139019</v>
      </c>
      <c r="R27" s="98">
        <f ca="1">S26*$C$2/2</f>
        <v>10688.5252</v>
      </c>
      <c r="S27" s="99">
        <f ca="1">IF(P27&lt;$A$4,(VLOOKUP(P27,$A$11:$B$52,2,0)*$S$12),(S26-(Q27+R27)))</f>
        <v>379904.77999999997</v>
      </c>
      <c r="U27" s="80">
        <f>P27</f>
        <v>42036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39479</v>
      </c>
      <c r="B28" s="50">
        <v>0.97771481999999998</v>
      </c>
      <c r="C28" s="52"/>
      <c r="D28" s="70" t="str">
        <f ca="1">IF(E28&lt;$A$4,"Actual","Model Num")</f>
        <v>Actual</v>
      </c>
      <c r="E28" s="71">
        <f>DATE(YEAR(E27),MONTH(E27)+6,DAY(E27))</f>
        <v>42217</v>
      </c>
      <c r="F28" s="74">
        <f>MAX(IF(ISERROR(VLOOKUP(E28,$A$12:$B$52,2,0)),VLOOKUP(E28,$P$11:$S$52,4,0)/1000000,(VLOOKUP(E28,$A$12:$B$52,2,0))),0)</f>
        <v>0.33668695799999998</v>
      </c>
      <c r="G28" s="128">
        <f>F28*1000000</f>
        <v>336686.95799999998</v>
      </c>
      <c r="H28" s="64"/>
      <c r="I28" s="80">
        <f>E28</f>
        <v>42217</v>
      </c>
      <c r="J28" s="210">
        <f>$M$12*$N$7</f>
        <v>42496.47</v>
      </c>
      <c r="K28" s="88">
        <f>($F$7/360)*($O$2/100)*M27</f>
        <v>21650.424368634547</v>
      </c>
      <c r="L28" s="90">
        <f>J28-K28</f>
        <v>20846.045631365454</v>
      </c>
      <c r="M28" s="79">
        <f>M27-L28</f>
        <v>728303.5865013178</v>
      </c>
      <c r="N28" s="126">
        <f>L28/M27</f>
        <v>2.7826277604943644E-2</v>
      </c>
      <c r="O28" s="52"/>
      <c r="P28" s="80">
        <f>I28</f>
        <v>42217</v>
      </c>
      <c r="Q28" s="97">
        <f ca="1">S27*N28</f>
        <v>10571.335871725041</v>
      </c>
      <c r="R28" s="98">
        <f ca="1">S27*$C$2/2</f>
        <v>9497.6194999999989</v>
      </c>
      <c r="S28" s="99">
        <f ca="1">IF(P28&lt;$A$4,(VLOOKUP(P28,$A$11:$B$52,2,0)*$S$12),(S27-(Q28+R28)))</f>
        <v>336686.95799999998</v>
      </c>
      <c r="U28" s="80">
        <f>P28</f>
        <v>42217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39309</v>
      </c>
      <c r="B29" s="50">
        <v>1</v>
      </c>
      <c r="C29" s="52"/>
      <c r="D29" s="70" t="str">
        <f ca="1">IF(E29&lt;$A$4,"Actual","Model Num")</f>
        <v>Actual</v>
      </c>
      <c r="E29" s="71">
        <f>DATE(YEAR(E28),MONTH(E28)+6,DAY(E28))</f>
        <v>42401</v>
      </c>
      <c r="F29" s="74">
        <f>MAX(IF(ISERROR(VLOOKUP(E29,$A$12:$B$52,2,0)),VLOOKUP(E29,$P$11:$S$52,4,0)/1000000,(VLOOKUP(E29,$A$12:$B$52,2,0))),0)</f>
        <v>0.28565422600000001</v>
      </c>
      <c r="G29" s="128">
        <f>F29*1000000</f>
        <v>285654.22600000002</v>
      </c>
      <c r="H29" s="64"/>
      <c r="I29" s="80">
        <f>E29</f>
        <v>42401</v>
      </c>
      <c r="J29" s="210">
        <f>$M$12*$N$7</f>
        <v>42496.47</v>
      </c>
      <c r="K29" s="88">
        <f>($F$7/360)*($O$2/100)*M28</f>
        <v>21047.973649888085</v>
      </c>
      <c r="L29" s="90">
        <f>J29-K29</f>
        <v>21448.496350111916</v>
      </c>
      <c r="M29" s="79">
        <f>M28-L29</f>
        <v>706855.09015120589</v>
      </c>
      <c r="N29" s="126">
        <f>L29/M28</f>
        <v>2.9449939211679425E-2</v>
      </c>
      <c r="O29" s="52"/>
      <c r="P29" s="80">
        <f>I29</f>
        <v>42401</v>
      </c>
      <c r="Q29" s="97">
        <f ca="1">S28*N29</f>
        <v>9915.4104464652628</v>
      </c>
      <c r="R29" s="98">
        <f ca="1">S28*$C$2/2</f>
        <v>8417.1739500000003</v>
      </c>
      <c r="S29" s="99">
        <f ca="1">IF(P29&lt;$A$4,(VLOOKUP(P29,$A$11:$B$52,2,0)*$S$12),(S28-(Q29+R29)))</f>
        <v>285654.22600000002</v>
      </c>
      <c r="U29" s="80">
        <f>P29</f>
        <v>42401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50"/>
      <c r="B30" s="50"/>
      <c r="C30" s="52"/>
      <c r="D30" s="70" t="str">
        <f ca="1">IF(E30&lt;$A$4,"Actual","Model Num")</f>
        <v>Model Num</v>
      </c>
      <c r="E30" s="71">
        <f>DATE(YEAR(E29),MONTH(E29)+6,DAY(E29))</f>
        <v>42583</v>
      </c>
      <c r="F30" s="74">
        <f ca="1">MAX(IF(ISERROR(VLOOKUP(E30,$A$12:$B$52,2,0)),VLOOKUP(E30,$P$11:$S$52,4,0)/1000000,(VLOOKUP(E30,$A$12:$B$52,2,0))),0)</f>
        <v>0.26959460721330386</v>
      </c>
      <c r="G30" s="128">
        <f ca="1">F30*1000000</f>
        <v>269594.60721330385</v>
      </c>
      <c r="H30" s="64"/>
      <c r="I30" s="80">
        <f>E30</f>
        <v>42583</v>
      </c>
      <c r="J30" s="210">
        <f>$M$12*$N$7</f>
        <v>42496.47</v>
      </c>
      <c r="K30" s="88">
        <f>($F$7/360)*($O$2/100)*M29</f>
        <v>20428.112105369852</v>
      </c>
      <c r="L30" s="90">
        <f>J30-K30</f>
        <v>22068.35789463015</v>
      </c>
      <c r="M30" s="79">
        <f>M29-L30</f>
        <v>684786.73225657572</v>
      </c>
      <c r="N30" s="126">
        <f>L30/M29</f>
        <v>3.1220483805116873E-2</v>
      </c>
      <c r="O30" s="52"/>
      <c r="P30" s="80">
        <f>I30</f>
        <v>42583</v>
      </c>
      <c r="Q30" s="97">
        <f ca="1">S29*N30</f>
        <v>8918.2631366961959</v>
      </c>
      <c r="R30" s="98">
        <f ca="1">S29*$C$2/2</f>
        <v>7141.3556500000013</v>
      </c>
      <c r="S30" s="99">
        <f ca="1">IF(P30&lt;$A$4,(VLOOKUP(P30,$A$11:$B$52,2,0)*$S$12),(S29-(Q30+R30)))</f>
        <v>269594.60721330385</v>
      </c>
      <c r="U30" s="80">
        <f>P30</f>
        <v>42583</v>
      </c>
      <c r="V30" s="97">
        <f ca="1">IF(U30&lt;$A$4,0,(YEARFRAC($A$4,U30,1)))</f>
        <v>0.31420765027322406</v>
      </c>
      <c r="W30" s="141">
        <f ca="1">V30*(S29-S30)</f>
        <v>5046.0550832515291</v>
      </c>
    </row>
    <row r="31" spans="1:23">
      <c r="A31" s="50"/>
      <c r="B31" s="50"/>
      <c r="C31" s="52"/>
      <c r="D31" s="70" t="str">
        <f ca="1">IF(E31&lt;$A$4,"Actual","Model Num")</f>
        <v>Model Num</v>
      </c>
      <c r="E31" s="71">
        <f>DATE(YEAR(E30),MONTH(E30)+6,DAY(E30))</f>
        <v>42767</v>
      </c>
      <c r="F31" s="74">
        <f ca="1">MAX(IF(ISERROR(VLOOKUP(E31,$A$12:$B$52,2,0)),VLOOKUP(E31,$P$11:$S$52,4,0)/1000000,(VLOOKUP(E31,$A$12:$B$52,2,0))),0)</f>
        <v>0.25391553390123583</v>
      </c>
      <c r="G31" s="128">
        <f ca="1">F31*1000000</f>
        <v>253915.53390123585</v>
      </c>
      <c r="H31" s="64"/>
      <c r="I31" s="80">
        <f>E31</f>
        <v>42767</v>
      </c>
      <c r="J31" s="210">
        <f>$M$12*$N$7</f>
        <v>42496.47</v>
      </c>
      <c r="K31" s="88">
        <f>($F$7/360)*($O$2/100)*M30</f>
        <v>19790.336562215041</v>
      </c>
      <c r="L31" s="90">
        <f>J31-K31</f>
        <v>22706.13343778496</v>
      </c>
      <c r="M31" s="79">
        <f>M30-L31</f>
        <v>662080.59881879075</v>
      </c>
      <c r="N31" s="126">
        <f>L31/M30</f>
        <v>3.3157963447921233E-2</v>
      </c>
      <c r="O31" s="52"/>
      <c r="P31" s="80">
        <f>I31</f>
        <v>42767</v>
      </c>
      <c r="Q31" s="97">
        <f ca="1">S30*N31</f>
        <v>8939.2081317354114</v>
      </c>
      <c r="R31" s="98">
        <f ca="1">S30*$C$2/2</f>
        <v>6739.8651803325965</v>
      </c>
      <c r="S31" s="99">
        <f ca="1">IF(P31&lt;$A$4,(VLOOKUP(P31,$A$11:$B$52,2,0)*$S$12),(S30-(Q31+R31)))</f>
        <v>253915.53390123585</v>
      </c>
      <c r="U31" s="80">
        <f>P31</f>
        <v>42767</v>
      </c>
      <c r="V31" s="97">
        <f ca="1">IF(U31&lt;$A$4,0,(YEARFRAC($A$4,U31,1)))</f>
        <v>0.81917808219178079</v>
      </c>
      <c r="W31" s="141">
        <f ca="1">V31*(S30-S31)</f>
        <v>12843.953206324204</v>
      </c>
    </row>
    <row r="32" spans="1:23">
      <c r="A32" s="50"/>
      <c r="B32" s="50"/>
      <c r="C32" s="52"/>
      <c r="D32" s="70" t="str">
        <f ca="1">IF(E32&lt;$A$4,"Actual","Model Num")</f>
        <v>Model Num</v>
      </c>
      <c r="E32" s="71">
        <f>DATE(YEAR(E31),MONTH(E31)+6,DAY(E31))</f>
        <v>42948</v>
      </c>
      <c r="F32" s="74">
        <f ca="1">MAX(IF(ISERROR(VLOOKUP(E32,$A$12:$B$52,2,0)),VLOOKUP(E32,$P$11:$S$52,4,0)/1000000,(VLOOKUP(E32,$A$12:$B$52,2,0))),0)</f>
        <v>0.23860791886617225</v>
      </c>
      <c r="G32" s="128">
        <f ca="1">F32*1000000</f>
        <v>238607.91886617226</v>
      </c>
      <c r="H32" s="64"/>
      <c r="I32" s="80">
        <f>E32</f>
        <v>42948</v>
      </c>
      <c r="J32" s="210">
        <f>$M$12*$N$7</f>
        <v>42496.47</v>
      </c>
      <c r="K32" s="88">
        <f>($F$7/360)*($O$2/100)*M31</f>
        <v>19134.129305863054</v>
      </c>
      <c r="L32" s="90">
        <f>J32-K32</f>
        <v>23362.340694136947</v>
      </c>
      <c r="M32" s="79">
        <f>M31-L32</f>
        <v>638718.25812465383</v>
      </c>
      <c r="N32" s="126">
        <f>L32/M31</f>
        <v>3.5286248737415642E-2</v>
      </c>
      <c r="O32" s="52"/>
      <c r="P32" s="80">
        <f>I32</f>
        <v>42948</v>
      </c>
      <c r="Q32" s="97">
        <f ca="1">S31*N32</f>
        <v>8959.7266875327023</v>
      </c>
      <c r="R32" s="98">
        <f ca="1">S31*$C$2/2</f>
        <v>6347.8883475308967</v>
      </c>
      <c r="S32" s="99">
        <f ca="1">IF(P32&lt;$A$4,(VLOOKUP(P32,$A$11:$B$52,2,0)*$S$12),(S31-(Q32+R32)))</f>
        <v>238607.91886617226</v>
      </c>
      <c r="U32" s="80">
        <f>P32</f>
        <v>42948</v>
      </c>
      <c r="V32" s="97">
        <f ca="1">IF(U32&lt;$A$4,0,(YEARFRAC($A$4,U32,1)))</f>
        <v>1.3132694938440492</v>
      </c>
      <c r="W32" s="141">
        <f ca="1">V32*(S31-S32)</f>
        <v>20103.023849057514</v>
      </c>
    </row>
    <row r="33" spans="1:23">
      <c r="A33" s="50"/>
      <c r="B33" s="50"/>
      <c r="C33" s="52"/>
      <c r="D33" s="70" t="str">
        <f ca="1">IF(E33&lt;$A$4,"Actual","Model Num")</f>
        <v>Model Num</v>
      </c>
      <c r="E33" s="71">
        <f>DATE(YEAR(E32),MONTH(E32)+6,DAY(E32))</f>
        <v>43132</v>
      </c>
      <c r="F33" s="74">
        <f ca="1">MAX(IF(ISERROR(VLOOKUP(E33,$A$12:$B$52,2,0)),VLOOKUP(E33,$P$11:$S$52,4,0)/1000000,(VLOOKUP(E33,$A$12:$B$52,2,0))),0)</f>
        <v>0.22366295443057715</v>
      </c>
      <c r="G33" s="128">
        <f ca="1">F33*1000000</f>
        <v>223662.95443057714</v>
      </c>
      <c r="H33" s="64"/>
      <c r="I33" s="80">
        <f>E33</f>
        <v>43132</v>
      </c>
      <c r="J33" s="210">
        <f>$M$12*$N$7</f>
        <v>42496.47</v>
      </c>
      <c r="K33" s="88">
        <f>($F$7/360)*($O$2/100)*M32</f>
        <v>18458.957659802498</v>
      </c>
      <c r="L33" s="90">
        <f>J33-K33</f>
        <v>24037.512340197503</v>
      </c>
      <c r="M33" s="79">
        <f>M32-L33</f>
        <v>614680.74578445638</v>
      </c>
      <c r="N33" s="126">
        <f>L33/M32</f>
        <v>3.7633983426079362E-2</v>
      </c>
      <c r="O33" s="52"/>
      <c r="P33" s="80">
        <f>I33</f>
        <v>43132</v>
      </c>
      <c r="Q33" s="97">
        <f ca="1">S32*N33</f>
        <v>8979.7664639408158</v>
      </c>
      <c r="R33" s="98">
        <f ca="1">S32*$C$2/2</f>
        <v>5965.1979716543065</v>
      </c>
      <c r="S33" s="99">
        <f ca="1">IF(P33&lt;$A$4,(VLOOKUP(P33,$A$11:$B$52,2,0)*$S$12),(S32-(Q33+R33)))</f>
        <v>223662.95443057714</v>
      </c>
      <c r="U33" s="80">
        <f>P33</f>
        <v>43132</v>
      </c>
      <c r="V33" s="97">
        <f ca="1">IF(U33&lt;$A$4,0,(YEARFRAC($A$4,U33,1)))</f>
        <v>1.8175182481751826</v>
      </c>
      <c r="W33" s="141">
        <f ca="1">V33*(S32-S33)</f>
        <v>27162.745580023242</v>
      </c>
    </row>
    <row r="34" spans="1:23">
      <c r="A34" s="50"/>
      <c r="B34" s="50"/>
      <c r="C34" s="52"/>
      <c r="D34" s="70" t="str">
        <f ca="1">IF(E34&lt;$A$4,"Actual","Model Num")</f>
        <v>Model Num</v>
      </c>
      <c r="E34" s="71">
        <f>DATE(YEAR(E33),MONTH(E33)+6,DAY(E33))</f>
        <v>43313</v>
      </c>
      <c r="F34" s="74">
        <f ca="1">MAX(IF(ISERROR(VLOOKUP(E34,$A$12:$B$52,2,0)),VLOOKUP(E34,$P$11:$S$52,4,0)/1000000,(VLOOKUP(E34,$A$12:$B$52,2,0))),0)</f>
        <v>0.20907211360921235</v>
      </c>
      <c r="G34" s="128">
        <f ca="1">F34*1000000</f>
        <v>209072.11360921236</v>
      </c>
      <c r="H34" s="64"/>
      <c r="I34" s="80">
        <f>E34</f>
        <v>43313</v>
      </c>
      <c r="J34" s="210">
        <f>$M$12*$N$7</f>
        <v>42496.47</v>
      </c>
      <c r="K34" s="88">
        <f>($F$7/360)*($O$2/100)*M33</f>
        <v>17764.273553170791</v>
      </c>
      <c r="L34" s="90">
        <f>J34-K34</f>
        <v>24732.19644682921</v>
      </c>
      <c r="M34" s="79">
        <f>M33-L34</f>
        <v>589948.54933762713</v>
      </c>
      <c r="N34" s="126">
        <f>L34/M33</f>
        <v>4.0235840501667168E-2</v>
      </c>
      <c r="O34" s="52"/>
      <c r="P34" s="80">
        <f>I34</f>
        <v>43313</v>
      </c>
      <c r="Q34" s="97">
        <f ca="1">S33*N34</f>
        <v>8999.2669606003547</v>
      </c>
      <c r="R34" s="98">
        <f ca="1">S33*$C$2/2</f>
        <v>5591.5738607644289</v>
      </c>
      <c r="S34" s="99">
        <f ca="1">IF(P34&lt;$A$4,(VLOOKUP(P34,$A$11:$B$52,2,0)*$S$12),(S33-(Q34+R34)))</f>
        <v>209072.11360921236</v>
      </c>
      <c r="U34" s="80">
        <f>P34</f>
        <v>43313</v>
      </c>
      <c r="V34" s="97">
        <f ca="1">IF(U34&lt;$A$4,0,(YEARFRAC($A$4,U34,1)))</f>
        <v>2.312956204379562</v>
      </c>
      <c r="W34" s="141">
        <f ca="1">V34*(S33-S34)</f>
        <v>33747.975804890244</v>
      </c>
    </row>
    <row r="35" spans="1:23">
      <c r="A35" s="31"/>
      <c r="B35" s="31"/>
      <c r="D35" s="70" t="str">
        <f ca="1">IF(E35&lt;$A$4,"Actual","Model Num")</f>
        <v>Model Num</v>
      </c>
      <c r="E35" s="71">
        <f>DATE(YEAR(E34),MONTH(E34)+6,DAY(E34))</f>
        <v>43497</v>
      </c>
      <c r="F35" s="74">
        <f ca="1">MAX(IF(ISERROR(VLOOKUP(E35,$A$12:$B$52,2,0)),VLOOKUP(E35,$P$11:$S$52,4,0)/1000000,(VLOOKUP(E35,$A$12:$B$52,2,0))),0)</f>
        <v>0.19482715304145404</v>
      </c>
      <c r="G35" s="128">
        <f ca="1">F35*1000000</f>
        <v>194827.15304145403</v>
      </c>
      <c r="I35" s="80">
        <f>E35</f>
        <v>43497</v>
      </c>
      <c r="J35" s="210">
        <f>$M$12*$N$7</f>
        <v>42496.47</v>
      </c>
      <c r="K35" s="88">
        <f>($F$7/360)*($O$2/100)*M34</f>
        <v>17049.513075857427</v>
      </c>
      <c r="L35" s="90">
        <f>J35-K35</f>
        <v>25446.956924142574</v>
      </c>
      <c r="M35" s="79">
        <f>M34-L35</f>
        <v>564501.59241348458</v>
      </c>
      <c r="N35" s="126">
        <f>L35/M34</f>
        <v>4.3134196961266358E-2</v>
      </c>
      <c r="O35" s="52"/>
      <c r="P35" s="80">
        <f>I35</f>
        <v>43497</v>
      </c>
      <c r="Q35" s="97">
        <f ca="1">S34*N35</f>
        <v>9018.1577275280233</v>
      </c>
      <c r="R35" s="98">
        <f ca="1">S34*$C$2/2</f>
        <v>5226.8028402303098</v>
      </c>
      <c r="S35" s="99">
        <f ca="1">IF(P35&lt;$A$4,(VLOOKUP(P35,$A$11:$B$52,2,0)*$S$12),(S34-(Q35+R35)))</f>
        <v>194827.15304145403</v>
      </c>
      <c r="U35" s="80">
        <f>P35</f>
        <v>43497</v>
      </c>
      <c r="V35" s="97">
        <f ca="1">IF(U35&lt;$A$4,0,(YEARFRAC($A$4,U35,1)))</f>
        <v>2.817248459958932</v>
      </c>
      <c r="W35" s="141">
        <f ca="1">V35*(S34-S35)</f>
        <v>40131.59322169287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43678</v>
      </c>
      <c r="F36" s="74">
        <f ca="1">MAX(IF(ISERROR(VLOOKUP(E36,$A$12:$B$52,2,0)),VLOOKUP(E36,$P$11:$S$52,4,0)/1000000,(VLOOKUP(E36,$A$12:$B$52,2,0))),0)</f>
        <v>0.18092011816115949</v>
      </c>
      <c r="G36" s="128">
        <f ca="1">F36*1000000</f>
        <v>180920.11816115948</v>
      </c>
      <c r="I36" s="80">
        <f>E36</f>
        <v>43678</v>
      </c>
      <c r="J36" s="210">
        <f>$M$12*$N$7</f>
        <v>42496.47</v>
      </c>
      <c r="K36" s="88">
        <f>($F$7/360)*($O$2/100)*M35</f>
        <v>16314.096020749706</v>
      </c>
      <c r="L36" s="90">
        <f>J36-K36</f>
        <v>26182.373979250297</v>
      </c>
      <c r="M36" s="79">
        <f>M35-L36</f>
        <v>538319.21843423427</v>
      </c>
      <c r="N36" s="126">
        <f>L36/M35</f>
        <v>4.6381399682699748E-2</v>
      </c>
      <c r="O36" s="52"/>
      <c r="P36" s="80">
        <f>I36</f>
        <v>43678</v>
      </c>
      <c r="Q36" s="97">
        <f ca="1">S35*N36</f>
        <v>9036.3560542581909</v>
      </c>
      <c r="R36" s="98">
        <f ca="1">S35*$C$2/2</f>
        <v>4870.678826036351</v>
      </c>
      <c r="S36" s="99">
        <f ca="1">IF(P36&lt;$A$4,(VLOOKUP(P36,$A$11:$B$52,2,0)*$S$12),(S35-(Q36+R36)))</f>
        <v>180920.11816115948</v>
      </c>
      <c r="U36" s="80">
        <f>P36</f>
        <v>43678</v>
      </c>
      <c r="V36" s="97">
        <f ca="1">IF(U36&lt;$A$4,0,(YEARFRAC($A$4,U36,1)))</f>
        <v>3.3127994524298425</v>
      </c>
      <c r="W36" s="141">
        <f ca="1">V36*(S35-S36)</f>
        <v>46071.217536362514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43862</v>
      </c>
      <c r="F37" s="74">
        <f ca="1">MAX(IF(ISERROR(VLOOKUP(E37,$A$12:$B$52,2,0)),VLOOKUP(E37,$P$11:$S$52,4,0)/1000000,(VLOOKUP(E37,$A$12:$B$52,2,0))),0)</f>
        <v>0.16734335126377695</v>
      </c>
      <c r="G37" s="128">
        <f ca="1">F37*1000000</f>
        <v>167343.35126377695</v>
      </c>
      <c r="I37" s="80">
        <f>E37</f>
        <v>43862</v>
      </c>
      <c r="J37" s="210">
        <f>$M$12*$N$7</f>
        <v>42496.47</v>
      </c>
      <c r="K37" s="88">
        <f>($F$7/360)*($O$2/100)*M36</f>
        <v>15557.425412749371</v>
      </c>
      <c r="L37" s="90">
        <f>J37-K37</f>
        <v>26939.044587250632</v>
      </c>
      <c r="M37" s="79">
        <f>M36-L37</f>
        <v>511380.17384698364</v>
      </c>
      <c r="N37" s="126">
        <f>L37/M36</f>
        <v>5.0042880998389876E-2</v>
      </c>
      <c r="O37" s="52"/>
      <c r="P37" s="80">
        <f>I37</f>
        <v>43862</v>
      </c>
      <c r="Q37" s="97">
        <f ca="1">S36*N37</f>
        <v>9053.7639433535387</v>
      </c>
      <c r="R37" s="98">
        <f ca="1">S36*$C$2/2</f>
        <v>4523.002954028987</v>
      </c>
      <c r="S37" s="99">
        <f ca="1">IF(P37&lt;$A$4,(VLOOKUP(P37,$A$11:$B$52,2,0)*$S$12),(S36-(Q37+R37)))</f>
        <v>167343.35126377695</v>
      </c>
      <c r="U37" s="80">
        <f>P37</f>
        <v>43862</v>
      </c>
      <c r="V37" s="97">
        <f ca="1">IF(U37&lt;$A$4,0,(YEARFRAC($A$4,U37,1)))</f>
        <v>3.8149972632731255</v>
      </c>
      <c r="W37" s="141">
        <f ca="1">V37*(S36-S37)</f>
        <v>51795.32855761153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44044</v>
      </c>
      <c r="F38" s="74">
        <f ca="1">MAX(IF(ISERROR(VLOOKUP(E38,$A$12:$B$52,2,0)),VLOOKUP(E38,$P$11:$S$52,4,0)/1000000,(VLOOKUP(E38,$A$12:$B$52,2,0))),0)</f>
        <v>0.15408950339819832</v>
      </c>
      <c r="G38" s="128">
        <f ca="1">F38*1000000</f>
        <v>154089.50339819831</v>
      </c>
      <c r="I38" s="80">
        <f>E38</f>
        <v>44044</v>
      </c>
      <c r="J38" s="210">
        <f>$M$12*$N$7</f>
        <v>42496.47</v>
      </c>
      <c r="K38" s="88">
        <f>($F$7/360)*($O$2/100)*M37</f>
        <v>14778.887024177828</v>
      </c>
      <c r="L38" s="90">
        <f>J38-K38</f>
        <v>27717.582975822173</v>
      </c>
      <c r="M38" s="79">
        <f>M37-L38</f>
        <v>483662.59087116149</v>
      </c>
      <c r="N38" s="126">
        <f>L38/M37</f>
        <v>5.4201520499533272E-2</v>
      </c>
      <c r="O38" s="52"/>
      <c r="P38" s="80">
        <f>I38</f>
        <v>44044</v>
      </c>
      <c r="Q38" s="97">
        <f ca="1">S37*N38</f>
        <v>9070.2640839842024</v>
      </c>
      <c r="R38" s="98">
        <f ca="1">S37*$C$2/2</f>
        <v>4183.5837815944242</v>
      </c>
      <c r="S38" s="99">
        <f ca="1">IF(P38&lt;$A$4,(VLOOKUP(P38,$A$11:$B$52,2,0)*$S$12),(S37-(Q38+R38)))</f>
        <v>154089.50339819831</v>
      </c>
      <c r="U38" s="80">
        <f>P38</f>
        <v>44044</v>
      </c>
      <c r="V38" s="97">
        <f ca="1">IF(U38&lt;$A$4,0,(YEARFRAC($A$4,U38,1)))</f>
        <v>4.3130815544608652</v>
      </c>
      <c r="W38" s="141">
        <f ca="1">V38*(S37-S38)</f>
        <v>57164.926754657703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44228</v>
      </c>
      <c r="F39" s="74">
        <f ca="1">MAX(IF(ISERROR(VLOOKUP(E39,$A$12:$B$52,2,0)),VLOOKUP(E39,$P$11:$S$52,4,0)/1000000,(VLOOKUP(E39,$A$12:$B$52,2,0))),0)</f>
        <v>0.14115155141334279</v>
      </c>
      <c r="G39" s="128">
        <f ca="1">F39*1000000</f>
        <v>141151.55141334279</v>
      </c>
      <c r="I39" s="80">
        <f>E39</f>
        <v>44228</v>
      </c>
      <c r="J39" s="210">
        <f>$M$12*$N$7</f>
        <v>42496.47</v>
      </c>
      <c r="K39" s="88">
        <f>($F$7/360)*($O$2/100)*M38</f>
        <v>13977.848876176568</v>
      </c>
      <c r="L39" s="90">
        <f>J39-K39</f>
        <v>28518.621123823432</v>
      </c>
      <c r="M39" s="79">
        <f>M38-L39</f>
        <v>455143.96974733804</v>
      </c>
      <c r="N39" s="126">
        <f>L39/M38</f>
        <v>5.896387618578558E-2</v>
      </c>
      <c r="O39" s="52"/>
      <c r="P39" s="80">
        <f>I39</f>
        <v>44228</v>
      </c>
      <c r="Q39" s="97">
        <f ca="1">S38*N39</f>
        <v>9085.7143999005511</v>
      </c>
      <c r="R39" s="98">
        <f ca="1">S38*$C$2/2</f>
        <v>3852.237584954958</v>
      </c>
      <c r="S39" s="99">
        <f ca="1">IF(P39&lt;$A$4,(VLOOKUP(P39,$A$11:$B$52,2,0)*$S$12),(S38-(Q39+R39)))</f>
        <v>141151.55141334279</v>
      </c>
      <c r="U39" s="80">
        <f>P39</f>
        <v>44228</v>
      </c>
      <c r="V39" s="97">
        <f ca="1">IF(U39&lt;$A$4,0,(YEARFRAC($A$4,U39,1)))</f>
        <v>4.8175182481751824</v>
      </c>
      <c r="W39" s="141">
        <f ca="1">V39*(S38-S39)</f>
        <v>62328.81978105579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44409</v>
      </c>
      <c r="F40" s="74">
        <f ca="1">MAX(IF(ISERROR(VLOOKUP(E40,$A$12:$B$52,2,0)),VLOOKUP(E40,$P$11:$S$52,4,0)/1000000,(VLOOKUP(E40,$A$12:$B$52,2,0))),0)</f>
        <v>0.1285228221098634</v>
      </c>
      <c r="G40" s="128">
        <f ca="1">F40*1000000</f>
        <v>128522.82210986341</v>
      </c>
      <c r="I40" s="80">
        <f>E40</f>
        <v>44409</v>
      </c>
      <c r="J40" s="210">
        <f>$M$12*$N$7</f>
        <v>42496.47</v>
      </c>
      <c r="K40" s="88">
        <f>($F$7/360)*($O$2/100)*M39</f>
        <v>13153.66072569807</v>
      </c>
      <c r="L40" s="90">
        <f>J40-K40</f>
        <v>29342.80927430193</v>
      </c>
      <c r="M40" s="79">
        <f>M39-L40</f>
        <v>425801.16047303611</v>
      </c>
      <c r="N40" s="126">
        <f>L40/M39</f>
        <v>6.4469291531184886E-2</v>
      </c>
      <c r="O40" s="52"/>
      <c r="P40" s="80">
        <f>I40</f>
        <v>44409</v>
      </c>
      <c r="Q40" s="97">
        <f ca="1">S39*N40</f>
        <v>9099.9405181458278</v>
      </c>
      <c r="R40" s="98">
        <f ca="1">S39*$C$2/2</f>
        <v>3528.7887853335701</v>
      </c>
      <c r="S40" s="99">
        <f ca="1">IF(P40&lt;$A$4,(VLOOKUP(P40,$A$11:$B$52,2,0)*$S$12),(S39-(Q40+R40)))</f>
        <v>128522.82210986339</v>
      </c>
      <c r="U40" s="80">
        <f>P40</f>
        <v>44409</v>
      </c>
      <c r="V40" s="97">
        <f ca="1">IF(U40&lt;$A$4,0,(YEARFRAC($A$4,U40,1)))</f>
        <v>5.312956204379562</v>
      </c>
      <c r="W40" s="141">
        <f ca="1">V40*(S39-S40)</f>
        <v>67095.885706350848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44593</v>
      </c>
      <c r="F41" s="74">
        <f ca="1">MAX(IF(ISERROR(VLOOKUP(E41,$A$12:$B$52,2,0)),VLOOKUP(E41,$P$11:$S$52,4,0)/1000000,(VLOOKUP(E41,$A$12:$B$52,2,0))),0)</f>
        <v>0.11619702643154686</v>
      </c>
      <c r="G41" s="128">
        <f ca="1">F41*1000000</f>
        <v>116197.02643154687</v>
      </c>
      <c r="I41" s="80">
        <f>E41</f>
        <v>44593</v>
      </c>
      <c r="J41" s="210">
        <f>$M$12*$N$7</f>
        <v>42496.47</v>
      </c>
      <c r="K41" s="88">
        <f>($F$7/360)*($O$2/100)*M40</f>
        <v>12305.653537670745</v>
      </c>
      <c r="L41" s="90">
        <f>J41-K41</f>
        <v>30190.816462329254</v>
      </c>
      <c r="M41" s="79">
        <f>M40-L41</f>
        <v>395610.34401070687</v>
      </c>
      <c r="N41" s="126">
        <f>L41/M40</f>
        <v>7.0903556084227937E-2</v>
      </c>
      <c r="O41" s="52"/>
      <c r="P41" s="80">
        <f>I41</f>
        <v>44593</v>
      </c>
      <c r="Q41" s="97">
        <f ca="1">S40*N41</f>
        <v>9112.7251255699503</v>
      </c>
      <c r="R41" s="98">
        <f ca="1">S40*$C$2/2</f>
        <v>3213.0705527465852</v>
      </c>
      <c r="S41" s="99">
        <f ca="1">IF(P41&lt;$A$4,(VLOOKUP(P41,$A$11:$B$52,2,0)*$S$12),(S40-(Q41+R41)))</f>
        <v>116197.02643154687</v>
      </c>
      <c r="U41" s="80">
        <f>P41</f>
        <v>44593</v>
      </c>
      <c r="V41" s="97">
        <f ca="1">IF(U41&lt;$A$4,0,(YEARFRAC($A$4,U41,1)))</f>
        <v>5.817364098552992</v>
      </c>
      <c r="W41" s="141">
        <f ca="1">V41*(S40-S41)</f>
        <v>71703.641265138198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44774</v>
      </c>
      <c r="F42" s="74">
        <f ca="1">MAX(IF(ISERROR(VLOOKUP(E42,$A$12:$B$52,2,0)),VLOOKUP(E42,$P$11:$S$52,4,0)/1000000,(VLOOKUP(E42,$A$12:$B$52,2,0))),0)</f>
        <v>0.10416830824446582</v>
      </c>
      <c r="G42" s="128">
        <f ca="1">F42*1000000</f>
        <v>104168.30824446582</v>
      </c>
      <c r="I42" s="80">
        <f>E42</f>
        <v>44774</v>
      </c>
      <c r="J42" s="210">
        <f>$M$12*$N$7</f>
        <v>42496.47</v>
      </c>
      <c r="K42" s="88">
        <f>($F$7/360)*($O$2/100)*M41</f>
        <v>11433.13894190943</v>
      </c>
      <c r="L42" s="90">
        <f>J42-K42</f>
        <v>31063.331058090571</v>
      </c>
      <c r="M42" s="79">
        <f>M41-L42</f>
        <v>364547.01295261632</v>
      </c>
      <c r="N42" s="126">
        <f>L42/M41</f>
        <v>7.8520017305841391E-2</v>
      </c>
      <c r="O42" s="52"/>
      <c r="P42" s="80">
        <f>I42</f>
        <v>44774</v>
      </c>
      <c r="Q42" s="97">
        <f ca="1">S41*N42</f>
        <v>9123.7925262923691</v>
      </c>
      <c r="R42" s="98">
        <f ca="1">S41*$C$2/2</f>
        <v>2904.9256607886718</v>
      </c>
      <c r="S42" s="99">
        <f ca="1">IF(P42&lt;$A$4,(VLOOKUP(P42,$A$11:$B$52,2,0)*$S$12),(S41-(Q42+R42)))</f>
        <v>104168.30824446582</v>
      </c>
      <c r="U42" s="80">
        <f>P42</f>
        <v>44774</v>
      </c>
      <c r="V42" s="97">
        <f ca="1">IF(U42&lt;$A$4,0,(YEARFRAC($A$4,U42,1)))</f>
        <v>6.3128666405944465</v>
      </c>
      <c r="W42" s="141">
        <f ca="1">V42*(S41-S42)</f>
        <v>75935.693772335639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44958</v>
      </c>
      <c r="F43" s="74">
        <f ca="1">MAX(IF(ISERROR(VLOOKUP(E43,$A$12:$B$52,2,0)),VLOOKUP(E43,$P$11:$S$52,4,0)/1000000,(VLOOKUP(E43,$A$12:$B$52,2,0))),0)</f>
        <v>9.2431314999866301E-2</v>
      </c>
      <c r="G43" s="128">
        <f ca="1">F43*1000000</f>
        <v>92431.314999866299</v>
      </c>
      <c r="I43" s="80">
        <f>E43</f>
        <v>44958</v>
      </c>
      <c r="J43" s="210">
        <f>$M$12*$N$7</f>
        <v>42496.47</v>
      </c>
      <c r="K43" s="88">
        <f>($F$7/360)*($O$2/100)*M42</f>
        <v>10535.408674330612</v>
      </c>
      <c r="L43" s="90">
        <f>J43-K43</f>
        <v>31961.06132566939</v>
      </c>
      <c r="M43" s="79">
        <f>M42-L43</f>
        <v>332585.95162694692</v>
      </c>
      <c r="N43" s="126">
        <f>L43/M42</f>
        <v>8.7673359512134244E-2</v>
      </c>
      <c r="O43" s="52"/>
      <c r="P43" s="80">
        <f>I43</f>
        <v>44958</v>
      </c>
      <c r="Q43" s="97">
        <f ca="1">S42*N43</f>
        <v>9132.7855384878694</v>
      </c>
      <c r="R43" s="98">
        <f ca="1">S42*$C$2/2</f>
        <v>2604.2077061116456</v>
      </c>
      <c r="S43" s="99">
        <f ca="1">IF(P43&lt;$A$4,(VLOOKUP(P43,$A$11:$B$52,2,0)*$S$12),(S42-(Q43+R43)))</f>
        <v>92431.314999866299</v>
      </c>
      <c r="U43" s="80">
        <f>P43</f>
        <v>44958</v>
      </c>
      <c r="V43" s="97">
        <f ca="1">IF(U43&lt;$A$4,0,(YEARFRAC($A$4,U43,1)))</f>
        <v>6.8172484599589325</v>
      </c>
      <c r="W43" s="141">
        <f ca="1">V43*(S42-S43)</f>
        <v>80013.999121294488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45139</v>
      </c>
      <c r="F44" s="74">
        <f ca="1">MAX(IF(ISERROR(VLOOKUP(E44,$A$12:$B$52,2,0)),VLOOKUP(E44,$P$11:$S$52,4,0)/1000000,(VLOOKUP(E44,$A$12:$B$52,2,0))),0)</f>
        <v>8.0981302470556807E-2</v>
      </c>
      <c r="G44" s="128">
        <f ca="1">F44*1000000</f>
        <v>80981.30247055681</v>
      </c>
      <c r="I44" s="80">
        <f>E44</f>
        <v>45139</v>
      </c>
      <c r="J44" s="210">
        <f>$M$12*$N$7</f>
        <v>42496.47</v>
      </c>
      <c r="K44" s="88">
        <f>($F$7/360)*($O$2/100)*M43</f>
        <v>9611.7340020187658</v>
      </c>
      <c r="L44" s="90">
        <f>J44-K44</f>
        <v>32884.735997981232</v>
      </c>
      <c r="M44" s="79">
        <f>M43-L44</f>
        <v>299701.2156289657</v>
      </c>
      <c r="N44" s="126">
        <f>L44/M43</f>
        <v>9.8875902115273931E-2</v>
      </c>
      <c r="O44" s="52"/>
      <c r="P44" s="80">
        <f>I44</f>
        <v>45139</v>
      </c>
      <c r="Q44" s="97">
        <f ca="1">S43*N44</f>
        <v>9139.2296543128305</v>
      </c>
      <c r="R44" s="98">
        <f ca="1">S43*$C$2/2</f>
        <v>2310.7828749966575</v>
      </c>
      <c r="S44" s="99">
        <f ca="1">IF(P44&lt;$A$4,(VLOOKUP(P44,$A$11:$B$52,2,0)*$S$12),(S43-(Q44+R44)))</f>
        <v>80981.30247055681</v>
      </c>
      <c r="U44" s="80">
        <f>P44</f>
        <v>45139</v>
      </c>
      <c r="V44" s="97">
        <f ca="1">IF(U44&lt;$A$4,0,(YEARFRAC($A$4,U44,1)))</f>
        <v>7.312799452429843</v>
      </c>
      <c r="W44" s="141">
        <f ca="1">V44*(S43-S44)</f>
        <v>83731.645354649285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45323</v>
      </c>
      <c r="F45" s="74">
        <f ca="1">MAX(IF(ISERROR(VLOOKUP(E45,$A$12:$B$52,2,0)),VLOOKUP(E45,$P$11:$S$52,4,0)/1000000,(VLOOKUP(E45,$A$12:$B$52,2,0))),0)</f>
        <v>6.9814294941801636E-2</v>
      </c>
      <c r="G45" s="128">
        <f ca="1">F45*1000000</f>
        <v>69814.294941801636</v>
      </c>
      <c r="I45" s="80">
        <f>E45</f>
        <v>45323</v>
      </c>
      <c r="J45" s="210">
        <f>$M$12*$N$7</f>
        <v>42496.47</v>
      </c>
      <c r="K45" s="88">
        <f>($F$7/360)*($O$2/100)*M44</f>
        <v>8661.3651316771102</v>
      </c>
      <c r="L45" s="90">
        <f>J45-K45</f>
        <v>33835.104868322887</v>
      </c>
      <c r="M45" s="79">
        <f>M44-L45</f>
        <v>265866.1107606428</v>
      </c>
      <c r="N45" s="126">
        <f>L45/M44</f>
        <v>0.11289612154997469</v>
      </c>
      <c r="O45" s="52"/>
      <c r="P45" s="80">
        <f>I45</f>
        <v>45323</v>
      </c>
      <c r="Q45" s="97">
        <f ca="1">S44*N45</f>
        <v>9142.4749669912471</v>
      </c>
      <c r="R45" s="98">
        <f ca="1">S44*$C$2/2</f>
        <v>2024.5325617639203</v>
      </c>
      <c r="S45" s="99">
        <f ca="1">IF(P45&lt;$A$4,(VLOOKUP(P45,$A$11:$B$52,2,0)*$S$12),(S44-(Q45+R45)))</f>
        <v>69814.294941801636</v>
      </c>
      <c r="U45" s="80">
        <f>P45</f>
        <v>45323</v>
      </c>
      <c r="V45" s="97">
        <f ca="1">IF(U45&lt;$A$4,0,(YEARFRAC($A$4,U45,1)))</f>
        <v>7.8147810218978107</v>
      </c>
      <c r="W45" s="141">
        <f ca="1">V45*(S44-S45)</f>
        <v>87267.718507105907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45505</v>
      </c>
      <c r="F46" s="74">
        <f ca="1">MAX(IF(ISERROR(VLOOKUP(E46,$A$12:$B$52,2,0)),VLOOKUP(E46,$P$11:$S$52,4,0)/1000000,(VLOOKUP(E46,$A$12:$B$52,2,0))),0)</f>
        <v>5.8927340649263873E-2</v>
      </c>
      <c r="G46" s="128">
        <f ca="1">F46*1000000</f>
        <v>58927.340649263875</v>
      </c>
      <c r="I46" s="80">
        <f>E46</f>
        <v>45505</v>
      </c>
      <c r="J46" s="210">
        <f>$M$12*$N$7</f>
        <v>42496.47</v>
      </c>
      <c r="K46" s="88">
        <f>($F$7/360)*($O$2/100)*M45</f>
        <v>7683.5306009825772</v>
      </c>
      <c r="L46" s="90">
        <f>J46-K46</f>
        <v>34812.939399017421</v>
      </c>
      <c r="M46" s="79">
        <f>M45-L46</f>
        <v>231053.17136162537</v>
      </c>
      <c r="N46" s="126">
        <f>L46/M45</f>
        <v>0.13094162057517456</v>
      </c>
      <c r="O46" s="52"/>
      <c r="P46" s="80">
        <f>I46</f>
        <v>45505</v>
      </c>
      <c r="Q46" s="97">
        <f ca="1">S45*N46</f>
        <v>9141.5969189927182</v>
      </c>
      <c r="R46" s="98">
        <f ca="1">S45*$C$2/2</f>
        <v>1745.3573735450409</v>
      </c>
      <c r="S46" s="99">
        <f ca="1">IF(P46&lt;$A$4,(VLOOKUP(P46,$A$11:$B$52,2,0)*$S$12),(S45-(Q46+R46)))</f>
        <v>58927.340649263875</v>
      </c>
      <c r="U46" s="80">
        <f>P46</f>
        <v>45505</v>
      </c>
      <c r="V46" s="97">
        <f ca="1">IF(U46&lt;$A$4,0,(YEARFRAC($A$4,U46,1)))</f>
        <v>8.312956204379562</v>
      </c>
      <c r="W46" s="141">
        <f ca="1">V46*(S45-S46)</f>
        <v>90502.77423294849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45689</v>
      </c>
      <c r="F47" s="74">
        <f ca="1">MAX(IF(ISERROR(VLOOKUP(E47,$A$12:$B$52,2,0)),VLOOKUP(E47,$P$11:$S$52,4,0)/1000000,(VLOOKUP(E47,$A$12:$B$52,2,0))),0)</f>
        <v>4.831894220667781E-2</v>
      </c>
      <c r="G47" s="128">
        <f ca="1">F47*1000000</f>
        <v>48318.942206677813</v>
      </c>
      <c r="I47" s="80">
        <f>E47</f>
        <v>45689</v>
      </c>
      <c r="J47" s="210">
        <f>$M$12*$N$7</f>
        <v>42496.47</v>
      </c>
      <c r="K47" s="88">
        <f>($F$7/360)*($O$2/100)*M46</f>
        <v>6677.4366523509734</v>
      </c>
      <c r="L47" s="90">
        <f>J47-K47</f>
        <v>35819.033347649027</v>
      </c>
      <c r="M47" s="79">
        <f>M46-L47</f>
        <v>195234.13801397634</v>
      </c>
      <c r="N47" s="126">
        <f>L47/M46</f>
        <v>0.15502506689937628</v>
      </c>
      <c r="O47" s="52"/>
      <c r="P47" s="80">
        <f>I47</f>
        <v>45689</v>
      </c>
      <c r="Q47" s="97">
        <f ca="1">S46*N47</f>
        <v>9135.214926354467</v>
      </c>
      <c r="R47" s="98">
        <f ca="1">S46*$C$2/2</f>
        <v>1473.183516231597</v>
      </c>
      <c r="S47" s="99">
        <f ca="1">IF(P47&lt;$A$4,(VLOOKUP(P47,$A$11:$B$52,2,0)*$S$12),(S46-(Q47+R47)))</f>
        <v>48318.942206677813</v>
      </c>
      <c r="U47" s="80">
        <f>P47</f>
        <v>45689</v>
      </c>
      <c r="V47" s="97">
        <f ca="1">IF(U47&lt;$A$4,0,(YEARFRAC($A$4,U47,1)))</f>
        <v>8.8174103476594574</v>
      </c>
      <c r="W47" s="141">
        <f ca="1">V47*(S46-S47)</f>
        <v>93538.602199752815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45870</v>
      </c>
      <c r="F48" s="74">
        <f ca="1">MAX(IF(ISERROR(VLOOKUP(E48,$A$12:$B$52,2,0)),VLOOKUP(E48,$P$11:$S$52,4,0)/1000000,(VLOOKUP(E48,$A$12:$B$52,2,0))),0)</f>
        <v>3.798983777336027E-2</v>
      </c>
      <c r="G48" s="128">
        <f ca="1">F48*1000000</f>
        <v>37989.837773360268</v>
      </c>
      <c r="I48" s="80">
        <f>E48</f>
        <v>45870</v>
      </c>
      <c r="J48" s="210">
        <f>$M$12*$N$7</f>
        <v>42496.47</v>
      </c>
      <c r="K48" s="88">
        <f>($F$7/360)*($O$2/100)*M47</f>
        <v>5642.2665886039167</v>
      </c>
      <c r="L48" s="90">
        <f>J48-K48</f>
        <v>36854.203411396084</v>
      </c>
      <c r="M48" s="79">
        <f>M47-L48</f>
        <v>158379.93460258027</v>
      </c>
      <c r="N48" s="126">
        <f>L48/M47</f>
        <v>0.18876925821629506</v>
      </c>
      <c r="O48" s="52"/>
      <c r="P48" s="80">
        <f>I48</f>
        <v>45870</v>
      </c>
      <c r="Q48" s="97">
        <f ca="1">S47*N48</f>
        <v>9121.1308781506013</v>
      </c>
      <c r="R48" s="98">
        <f ca="1">S47*$C$2/2</f>
        <v>1207.9735551669453</v>
      </c>
      <c r="S48" s="99">
        <f ca="1">IF(P48&lt;$A$4,(VLOOKUP(P48,$A$11:$B$52,2,0)*$S$12),(S47-(Q48+R48)))</f>
        <v>37989.837773360268</v>
      </c>
      <c r="U48" s="80">
        <f>P48</f>
        <v>45870</v>
      </c>
      <c r="V48" s="97">
        <f ca="1">IF(U48&lt;$A$4,0,(YEARFRAC($A$4,U48,1)))</f>
        <v>9.312893512181768</v>
      </c>
      <c r="W48" s="141">
        <f ca="1">V48*(S47-S48)</f>
        <v>96193.849663690897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46054</v>
      </c>
      <c r="F49" s="74">
        <f ca="1">MAX(IF(ISERROR(VLOOKUP(E49,$A$12:$B$52,2,0)),VLOOKUP(E49,$P$11:$S$52,4,0)/1000000,(VLOOKUP(E49,$A$12:$B$52,2,0))),0)</f>
        <v>2.7944573037354165E-2</v>
      </c>
      <c r="G49" s="128">
        <f ca="1">F49*1000000</f>
        <v>27944.573037354166</v>
      </c>
      <c r="I49" s="80">
        <f>E49</f>
        <v>46054</v>
      </c>
      <c r="J49" s="210">
        <f>$M$12*$N$7</f>
        <v>42496.47</v>
      </c>
      <c r="K49" s="88">
        <f>($F$7/360)*($O$2/100)*M48</f>
        <v>4577.1801100145703</v>
      </c>
      <c r="L49" s="90">
        <f>J49-K49</f>
        <v>37919.289889985434</v>
      </c>
      <c r="M49" s="79">
        <f>M48-L49</f>
        <v>120460.64471259483</v>
      </c>
      <c r="N49" s="126">
        <f>L49/M48</f>
        <v>0.23941978499445388</v>
      </c>
      <c r="O49" s="52"/>
      <c r="P49" s="80">
        <f>I49</f>
        <v>46054</v>
      </c>
      <c r="Q49" s="97">
        <f ca="1">S48*N49</f>
        <v>9095.518791672097</v>
      </c>
      <c r="R49" s="98">
        <f ca="1">S48*$C$2/2</f>
        <v>949.74594433400671</v>
      </c>
      <c r="S49" s="99">
        <f ca="1">IF(P49&lt;$A$4,(VLOOKUP(P49,$A$11:$B$52,2,0)*$S$12),(S48-(Q49+R49)))</f>
        <v>27944.573037354166</v>
      </c>
      <c r="U49" s="80">
        <f>P49</f>
        <v>46054</v>
      </c>
      <c r="V49" s="97">
        <f ca="1">IF(U49&lt;$A$4,0,(YEARFRAC($A$4,U49,1)))</f>
        <v>9.8173220507715282</v>
      </c>
      <c r="W49" s="141">
        <f ca="1">V49*(S48-S49)</f>
        <v>98617.598998630332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46235</v>
      </c>
      <c r="F50" s="74">
        <f ca="1">MAX(IF(ISERROR(VLOOKUP(E50,$A$12:$B$52,2,0)),VLOOKUP(E50,$P$11:$S$52,4,0)/1000000,(VLOOKUP(E50,$A$12:$B$52,2,0))),0)</f>
        <v>1.8195186011093493E-2</v>
      </c>
      <c r="G50" s="128">
        <f ca="1">F50*1000000</f>
        <v>18195.186011093494</v>
      </c>
      <c r="I50" s="80">
        <f>E50</f>
        <v>46235</v>
      </c>
      <c r="J50" s="210">
        <f>$M$12*$N$7</f>
        <v>42496.47</v>
      </c>
      <c r="K50" s="88">
        <f>($F$7/360)*($O$2/100)*M49</f>
        <v>3481.3126321939908</v>
      </c>
      <c r="L50" s="90">
        <f>J50-K50</f>
        <v>39015.157367806009</v>
      </c>
      <c r="M50" s="79">
        <f>M49-L50</f>
        <v>81445.487344788824</v>
      </c>
      <c r="N50" s="126">
        <f>L50/M49</f>
        <v>0.32388301972724504</v>
      </c>
      <c r="O50" s="52"/>
      <c r="P50" s="80">
        <f>I50</f>
        <v>46235</v>
      </c>
      <c r="Q50" s="97">
        <f ca="1">S49*N50</f>
        <v>9050.7727003268192</v>
      </c>
      <c r="R50" s="98">
        <f ca="1">S49*$C$2/2</f>
        <v>698.61432593385416</v>
      </c>
      <c r="S50" s="99">
        <f ca="1">IF(P50&lt;$A$4,(VLOOKUP(P50,$A$11:$B$52,2,0)*$S$12),(S49-(Q50+R50)))</f>
        <v>18195.186011093494</v>
      </c>
      <c r="U50" s="80">
        <f>P50</f>
        <v>46235</v>
      </c>
      <c r="V50" s="97">
        <f ca="1">IF(U50&lt;$A$4,0,(YEARFRAC($A$4,U50,1)))</f>
        <v>10.312842210054754</v>
      </c>
      <c r="W50" s="141">
        <f ca="1">V50*(S49-S50)</f>
        <v>100543.89004658126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46419</v>
      </c>
      <c r="F51" s="74">
        <f ca="1">MAX(IF(ISERROR(VLOOKUP(E51,$A$12:$B$52,2,0)),VLOOKUP(E51,$P$11:$S$52,4,0)/1000000,(VLOOKUP(E51,$A$12:$B$52,2,0))),0)</f>
        <v>8.7722980169786368E-3</v>
      </c>
      <c r="G51" s="128">
        <f ca="1">F51*1000000</f>
        <v>8772.298016978637</v>
      </c>
      <c r="I51" s="80">
        <f>E51</f>
        <v>46419</v>
      </c>
      <c r="J51" s="210">
        <f>$M$12*$N$7</f>
        <v>42496.47</v>
      </c>
      <c r="K51" s="88">
        <f>($F$7/360)*($O$2/100)*M50</f>
        <v>2353.7745842643972</v>
      </c>
      <c r="L51" s="90">
        <f>J51-K51</f>
        <v>40142.695415735601</v>
      </c>
      <c r="M51" s="79">
        <f>M50-L51</f>
        <v>41302.791929053223</v>
      </c>
      <c r="N51" s="126">
        <f>L51/M50</f>
        <v>0.49287807985968268</v>
      </c>
      <c r="O51" s="52"/>
      <c r="P51" s="80">
        <f>I51</f>
        <v>46419</v>
      </c>
      <c r="Q51" s="97">
        <f ca="1">S50*N51</f>
        <v>8968.0083438375204</v>
      </c>
      <c r="R51" s="98">
        <f ca="1">S50*$C$2/2</f>
        <v>454.87965027733736</v>
      </c>
      <c r="S51" s="99">
        <f ca="1">IF(P51&lt;$A$4,(VLOOKUP(P51,$A$11:$B$52,2,0)*$S$12),(S50-(Q51+R51)))</f>
        <v>8772.298016978637</v>
      </c>
      <c r="U51" s="80">
        <f>P51</f>
        <v>46419</v>
      </c>
      <c r="V51" s="97">
        <f ca="1">IF(U51&lt;$A$4,0,(YEARFRAC($A$4,U51,1)))</f>
        <v>10.817248459958932</v>
      </c>
      <c r="W51" s="141">
        <f ca="1">V51*(S50-S51)</f>
        <v>101929.72064270446</v>
      </c>
    </row>
    <row r="52" spans="1:23" s="82" customFormat="1" ht="13.5" thickBot="1">
      <c r="A52" s="81"/>
      <c r="B52" s="81"/>
      <c r="D52" s="70" t="str">
        <f ca="1">IF(E52&lt;$A$4,"Actual","Model Num")</f>
        <v>Model Num</v>
      </c>
      <c r="E52" s="71">
        <f>DATE(YEAR(E51),MONTH(E51)+6,DAY(E51))</f>
        <v>46600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46600</v>
      </c>
      <c r="J52" s="211">
        <f>$M$12*$N$7</f>
        <v>42496.47</v>
      </c>
      <c r="K52" s="89">
        <f>($F$7/360)*($O$2/100)*M51</f>
        <v>1193.6506867496382</v>
      </c>
      <c r="L52" s="91">
        <f>J52-K52</f>
        <v>41302.819313250366</v>
      </c>
      <c r="M52" s="85">
        <f>M51-L52</f>
        <v>-2.7384197142964695E-2</v>
      </c>
      <c r="N52" s="127">
        <f>L52/M51</f>
        <v>1.0000006630108005</v>
      </c>
      <c r="O52" s="86"/>
      <c r="P52" s="84">
        <f>I52</f>
        <v>46600</v>
      </c>
      <c r="Q52" s="100">
        <f ca="1">S51*N52</f>
        <v>8772.3038331069674</v>
      </c>
      <c r="R52" s="98">
        <f ca="1">S51*$C$2/2</f>
        <v>219.30745042446594</v>
      </c>
      <c r="S52" s="102">
        <v>0</v>
      </c>
      <c r="U52" s="142">
        <f>P52</f>
        <v>46600</v>
      </c>
      <c r="V52" s="143">
        <f ca="1">IF(U52&lt;$A$4,0,(YEARFRAC($A$4,U52,1)))</f>
        <v>11.312799452429843</v>
      </c>
      <c r="W52" s="141">
        <f ca="1">V52*(S51-S52)</f>
        <v>99239.248203027324</v>
      </c>
    </row>
    <row r="53" spans="1:23">
      <c r="A53" s="31"/>
      <c r="B53" s="31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7" priority="1" stopIfTrue="1">
      <formula>$D1="Actual"</formula>
    </cfRule>
  </conditionalFormatting>
  <conditionalFormatting sqref="A4">
    <cfRule type="expression" dxfId="6" priority="2" stopIfTrue="1">
      <formula>#REF!="Actual"</formula>
    </cfRule>
  </conditionalFormatting>
  <conditionalFormatting sqref="C6:C9">
    <cfRule type="cellIs" dxfId="5" priority="3" stopIfTrue="1" operator="equal">
      <formula>"PROB!!"</formula>
    </cfRule>
  </conditionalFormatting>
  <conditionalFormatting sqref="A7">
    <cfRule type="expression" dxfId="4" priority="4" stopIfTrue="1">
      <formula>A7="Warning - Update"</formula>
    </cfRule>
  </conditionalFormatting>
  <pageMargins left="0.75" right="0.75" top="1" bottom="1" header="0.5" footer="0.5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indexed="40"/>
  </sheetPr>
  <dimension ref="A1:W53"/>
  <sheetViews>
    <sheetView workbookViewId="0"/>
  </sheetViews>
  <sheetFormatPr defaultRowHeight="12.75"/>
  <cols>
    <col min="1" max="1" width="22.42578125" style="53" bestFit="1" customWidth="1"/>
    <col min="2" max="2" width="15.7109375" style="53" bestFit="1" customWidth="1"/>
    <col min="3" max="3" width="10.42578125" style="53" bestFit="1" customWidth="1"/>
    <col min="4" max="4" width="14" style="53" bestFit="1" customWidth="1"/>
    <col min="5" max="5" width="9.28515625" style="53" bestFit="1" customWidth="1"/>
    <col min="6" max="6" width="16" style="53" bestFit="1" customWidth="1"/>
    <col min="7" max="7" width="12.28515625" style="55" bestFit="1" customWidth="1"/>
    <col min="8" max="8" width="11.28515625" style="55" bestFit="1" customWidth="1"/>
    <col min="9" max="9" width="14.7109375" style="53" customWidth="1"/>
    <col min="10" max="10" width="14.85546875" style="53" bestFit="1" customWidth="1"/>
    <col min="11" max="11" width="12.85546875" style="53" bestFit="1" customWidth="1"/>
    <col min="12" max="12" width="13.140625" style="53" bestFit="1" customWidth="1"/>
    <col min="13" max="13" width="11.28515625" style="53" bestFit="1" customWidth="1"/>
    <col min="14" max="14" width="11.85546875" style="53" bestFit="1" customWidth="1"/>
    <col min="15" max="15" width="13.140625" style="53" bestFit="1" customWidth="1"/>
    <col min="16" max="16" width="11.28515625" style="53" bestFit="1" customWidth="1"/>
    <col min="17" max="17" width="11.42578125" style="53" bestFit="1" customWidth="1"/>
    <col min="18" max="18" width="10.7109375" style="53" bestFit="1" customWidth="1"/>
    <col min="19" max="19" width="11.140625" style="53" bestFit="1" customWidth="1"/>
    <col min="20" max="22" width="9.140625" style="53"/>
    <col min="23" max="23" width="11.42578125" style="53" bestFit="1" customWidth="1"/>
    <col min="24" max="16384" width="9.140625" style="53"/>
  </cols>
  <sheetData>
    <row r="1" spans="1:23" s="130" customFormat="1" ht="11.25">
      <c r="A1" s="129" t="s">
        <v>17</v>
      </c>
      <c r="B1" s="130" t="s">
        <v>44</v>
      </c>
      <c r="C1" s="130" t="s">
        <v>68</v>
      </c>
      <c r="D1" s="130" t="s">
        <v>105</v>
      </c>
      <c r="E1" s="130" t="s">
        <v>34</v>
      </c>
      <c r="F1" s="130" t="s">
        <v>54</v>
      </c>
      <c r="G1" s="130" t="s">
        <v>65</v>
      </c>
      <c r="H1" s="130" t="s">
        <v>64</v>
      </c>
      <c r="I1" s="130" t="s">
        <v>74</v>
      </c>
      <c r="J1" s="130" t="s">
        <v>75</v>
      </c>
      <c r="K1" s="130" t="s">
        <v>77</v>
      </c>
      <c r="L1" s="130" t="s">
        <v>76</v>
      </c>
      <c r="M1" s="130" t="s">
        <v>48</v>
      </c>
      <c r="N1" s="130" t="s">
        <v>62</v>
      </c>
      <c r="O1" s="130" t="s">
        <v>94</v>
      </c>
    </row>
    <row r="2" spans="1:23" s="67" customFormat="1" ht="12" thickBot="1">
      <c r="A2" s="67" t="s">
        <v>25</v>
      </c>
      <c r="B2" s="67" t="str">
        <f>MID(A2,3,9)</f>
        <v>83162CQG1</v>
      </c>
      <c r="C2" s="131">
        <v>0.05</v>
      </c>
      <c r="D2" s="67">
        <f>IF(ISERROR(VLOOKUP(A2,'Bond Position per Summit'!$C$42:$E$56,3,0)),0,VLOOKUP(A2,'Bond Position per Summit'!$C$42:$E$56,3,0))</f>
        <v>0</v>
      </c>
      <c r="E2" s="67">
        <f>IF(ISERROR(VLOOKUP(A2,'Bond Position per Summit'!$C$65:$E$73,3,0)),0,VLOOKUP(A2,'Bond Position per Summit'!$C$65:$E$73,3,0))</f>
        <v>31579482.5</v>
      </c>
      <c r="F2" s="67" t="str">
        <f>_xll.BDP($B2&amp;" Mtge Cusip",F$1)</f>
        <v>SBAP 2006-20E 1</v>
      </c>
      <c r="G2" s="67">
        <f>VLOOKUP(A2,'Bond Position per Summit'!$C$65:$E$74,2,0)</f>
        <v>50000000</v>
      </c>
      <c r="H2" s="67">
        <f>VLOOKUP(A2,'Bond Position per Summit'!$C$10:$E$32,3,0)</f>
        <v>0</v>
      </c>
      <c r="I2" s="67" t="str">
        <f>_xll.BDP($B2&amp;" Mtge Cusip",I$1)</f>
        <v>17/05/2006</v>
      </c>
      <c r="J2" s="67" t="str">
        <f>_xll.BDP($B2&amp;" Mtge Cusip",J$1)</f>
        <v>17/05/2006</v>
      </c>
      <c r="K2" s="67" t="str">
        <f>_xll.BDP($B2&amp;" Mtge Cusip",K$1)</f>
        <v>01/11/2006</v>
      </c>
      <c r="L2" s="67" t="str">
        <f>_xll.BDP($B2&amp;" Mtge Cusip",L$1)</f>
        <v>01/05/2026</v>
      </c>
      <c r="M2" s="67">
        <f>_xll.BDP($B2&amp;" Mtge Cusip",M$1)</f>
        <v>2</v>
      </c>
      <c r="N2" s="67" t="str">
        <f>_xll.BDP($B2&amp;" Mtge Cusip",N$1)</f>
        <v>30/360(104)</v>
      </c>
      <c r="O2" s="67">
        <f>_xll.BDP($B2&amp;" Mtge Cusip",O$1)</f>
        <v>5.87</v>
      </c>
    </row>
    <row r="3" spans="1:23" s="56" customFormat="1" ht="13.5" thickBot="1">
      <c r="C3" s="57"/>
      <c r="D3" s="58"/>
      <c r="E3" s="58"/>
      <c r="F3" s="59"/>
      <c r="G3" s="60"/>
      <c r="H3" s="60"/>
      <c r="I3" s="59"/>
      <c r="J3" s="59"/>
      <c r="K3" s="59"/>
      <c r="L3" s="59"/>
      <c r="M3" s="59"/>
      <c r="N3" s="59"/>
    </row>
    <row r="4" spans="1:23" s="56" customFormat="1" ht="13.5" thickBot="1">
      <c r="A4" s="121">
        <f ca="1">TODAY()</f>
        <v>42468</v>
      </c>
    </row>
    <row r="5" spans="1:23">
      <c r="A5" s="61"/>
      <c r="B5" s="62" t="s">
        <v>78</v>
      </c>
      <c r="C5" s="63" t="s">
        <v>80</v>
      </c>
      <c r="D5" s="52"/>
      <c r="E5" s="61"/>
      <c r="F5" s="104" t="s">
        <v>90</v>
      </c>
      <c r="I5" s="107" t="s">
        <v>104</v>
      </c>
      <c r="J5" s="116">
        <v>1000000</v>
      </c>
      <c r="K5" s="117"/>
      <c r="L5" s="107" t="s">
        <v>83</v>
      </c>
      <c r="M5" s="110">
        <f>G2</f>
        <v>50000000</v>
      </c>
      <c r="N5" s="111"/>
      <c r="O5" s="52"/>
      <c r="P5" s="52"/>
      <c r="Q5" s="52"/>
      <c r="R5" s="52"/>
      <c r="S5" s="52"/>
    </row>
    <row r="6" spans="1:23" ht="13.5" thickBot="1">
      <c r="A6" s="66" t="s">
        <v>79</v>
      </c>
      <c r="B6" s="67">
        <f>_xll.BDP(B2&amp;" Mtge Cusip",$B$5)</f>
        <v>0.21744464689800005</v>
      </c>
      <c r="C6" s="68" t="str">
        <f>IF((ROUND(B12,9))=(ROUND(B6,9)),"Ok","PROB!!")</f>
        <v>Ok</v>
      </c>
      <c r="D6" s="52"/>
      <c r="E6" s="70" t="s">
        <v>91</v>
      </c>
      <c r="F6" s="105">
        <f>DAYS360(I12,I13,FALSE)</f>
        <v>164</v>
      </c>
      <c r="I6" s="108" t="s">
        <v>81</v>
      </c>
      <c r="J6" s="118">
        <v>40200</v>
      </c>
      <c r="K6" s="113">
        <f>ROUND(J6/J5,8)</f>
        <v>4.02E-2</v>
      </c>
      <c r="L6" s="108" t="s">
        <v>81</v>
      </c>
      <c r="M6" s="112">
        <v>2010004</v>
      </c>
      <c r="N6" s="134">
        <f>ROUND(M6/M5,8)</f>
        <v>4.0200079999999999E-2</v>
      </c>
      <c r="O6" s="52"/>
      <c r="P6" s="52"/>
      <c r="Q6" s="52"/>
      <c r="R6" s="52"/>
      <c r="S6" s="52"/>
    </row>
    <row r="7" spans="1:23" ht="13.5" thickBot="1">
      <c r="A7" s="52" t="str">
        <f ca="1">IF(A4-A12&gt;$F$7,"Warning - Update","Updated")</f>
        <v>Updated</v>
      </c>
      <c r="B7" s="52"/>
      <c r="C7" s="52"/>
      <c r="D7" s="52"/>
      <c r="E7" s="70" t="s">
        <v>92</v>
      </c>
      <c r="F7" s="105">
        <f>DAYS360(I13,I14,FALSE)</f>
        <v>180</v>
      </c>
      <c r="I7" s="109" t="s">
        <v>82</v>
      </c>
      <c r="J7" s="119">
        <v>42809</v>
      </c>
      <c r="K7" s="115">
        <f>ROUND(J7/J5,8)</f>
        <v>4.2809E-2</v>
      </c>
      <c r="L7" s="109" t="s">
        <v>82</v>
      </c>
      <c r="M7" s="114">
        <v>2140449</v>
      </c>
      <c r="N7" s="133">
        <f>ROUND(M7/M5,8)</f>
        <v>4.2808980000000003E-2</v>
      </c>
      <c r="O7" s="52"/>
      <c r="P7" s="52"/>
      <c r="Q7" s="52"/>
      <c r="R7" s="52"/>
      <c r="S7" s="52"/>
    </row>
    <row r="8" spans="1:23" ht="13.5" thickBot="1">
      <c r="A8" s="52"/>
      <c r="B8" s="52"/>
      <c r="C8" s="52"/>
      <c r="D8" s="52"/>
      <c r="E8" s="66" t="s">
        <v>93</v>
      </c>
      <c r="F8" s="106">
        <f>DAYS360(I14,I15,FALSE)</f>
        <v>180</v>
      </c>
      <c r="I8" s="52"/>
      <c r="J8" s="64"/>
      <c r="K8" s="69"/>
      <c r="L8" s="52"/>
      <c r="M8" s="69"/>
      <c r="N8" s="52"/>
      <c r="O8" s="52"/>
      <c r="P8" s="52"/>
      <c r="Q8" s="52"/>
      <c r="R8" s="52"/>
      <c r="S8" s="52"/>
    </row>
    <row r="9" spans="1:23" ht="13.5" thickBot="1">
      <c r="A9" s="52"/>
      <c r="B9" s="52"/>
      <c r="C9" s="52"/>
      <c r="D9" s="52"/>
      <c r="E9" s="52"/>
      <c r="I9" s="52"/>
      <c r="J9" s="64"/>
      <c r="K9" s="69"/>
      <c r="L9" s="52"/>
      <c r="M9" s="69"/>
      <c r="N9" s="52"/>
      <c r="O9" s="52"/>
      <c r="P9" s="52"/>
      <c r="Q9" s="52"/>
      <c r="R9" s="52"/>
      <c r="S9" s="52"/>
    </row>
    <row r="10" spans="1:23" ht="12.75" customHeight="1" thickBot="1">
      <c r="A10" s="227" t="s">
        <v>101</v>
      </c>
      <c r="B10" s="228"/>
      <c r="C10" s="52"/>
      <c r="D10" s="227" t="s">
        <v>84</v>
      </c>
      <c r="E10" s="228"/>
      <c r="F10" s="228"/>
      <c r="G10" s="229"/>
      <c r="H10" s="64"/>
      <c r="I10" s="227" t="s">
        <v>102</v>
      </c>
      <c r="J10" s="228"/>
      <c r="K10" s="228"/>
      <c r="L10" s="230"/>
      <c r="M10" s="230"/>
      <c r="N10" s="229"/>
      <c r="O10" s="52"/>
      <c r="P10" s="227" t="s">
        <v>103</v>
      </c>
      <c r="Q10" s="228"/>
      <c r="R10" s="228"/>
      <c r="S10" s="230"/>
      <c r="U10" s="226" t="s">
        <v>107</v>
      </c>
      <c r="V10" s="226"/>
      <c r="W10" s="226"/>
    </row>
    <row r="11" spans="1:23" s="73" customFormat="1" ht="25.5" customHeight="1" thickBot="1">
      <c r="A11" s="76" t="s">
        <v>0</v>
      </c>
      <c r="B11" s="76"/>
      <c r="C11" s="51"/>
      <c r="D11" s="77" t="s">
        <v>99</v>
      </c>
      <c r="E11" s="76" t="s">
        <v>85</v>
      </c>
      <c r="F11" s="76" t="s">
        <v>100</v>
      </c>
      <c r="G11" s="78" t="s">
        <v>87</v>
      </c>
      <c r="H11" s="72"/>
      <c r="I11" s="77" t="s">
        <v>85</v>
      </c>
      <c r="J11" s="76" t="s">
        <v>86</v>
      </c>
      <c r="K11" s="76" t="s">
        <v>88</v>
      </c>
      <c r="L11" s="76" t="s">
        <v>89</v>
      </c>
      <c r="M11" s="76" t="s">
        <v>87</v>
      </c>
      <c r="N11" s="78" t="s">
        <v>95</v>
      </c>
      <c r="O11" s="51"/>
      <c r="P11" s="77" t="s">
        <v>85</v>
      </c>
      <c r="Q11" s="76" t="s">
        <v>96</v>
      </c>
      <c r="R11" s="76" t="s">
        <v>97</v>
      </c>
      <c r="S11" s="78" t="s">
        <v>98</v>
      </c>
      <c r="U11" s="144"/>
      <c r="V11" s="145" t="s">
        <v>108</v>
      </c>
      <c r="W11" s="146">
        <f ca="1">SUM(W12:W52)/(1000000*$B$6)</f>
        <v>4.6019674180209815</v>
      </c>
    </row>
    <row r="12" spans="1:23">
      <c r="A12" s="49">
        <f>_xll.BDS($B2&amp;" Mtge Cusip",A11,"cols=2;rows=20")</f>
        <v>42309</v>
      </c>
      <c r="B12" s="50">
        <v>0.21744464699999999</v>
      </c>
      <c r="C12" s="52"/>
      <c r="D12" s="70" t="str">
        <f ca="1">IF(E12&lt;$A$4,"Actual","Model Num")</f>
        <v>Actual</v>
      </c>
      <c r="E12" s="71">
        <v>38854</v>
      </c>
      <c r="F12" s="74">
        <f>MAX(IF(ISERROR(VLOOKUP(E12,$A$12:$B$52,2,0)),VLOOKUP(E12,$P$11:$S$52,4,0)/1000000,(VLOOKUP(E12,$A$12:$B$52,2,0))),0)</f>
        <v>1</v>
      </c>
      <c r="G12" s="75">
        <f>F12*1000000</f>
        <v>1000000</v>
      </c>
      <c r="H12" s="64"/>
      <c r="I12" s="80">
        <f>E12</f>
        <v>38854</v>
      </c>
      <c r="J12" s="61">
        <v>0</v>
      </c>
      <c r="K12" s="87">
        <v>0</v>
      </c>
      <c r="L12" s="63">
        <v>0</v>
      </c>
      <c r="M12" s="65">
        <f>J5</f>
        <v>1000000</v>
      </c>
      <c r="N12" s="126"/>
      <c r="O12" s="52"/>
      <c r="P12" s="80">
        <f>I12</f>
        <v>38854</v>
      </c>
      <c r="Q12" s="94"/>
      <c r="R12" s="95"/>
      <c r="S12" s="96">
        <f>M12</f>
        <v>1000000</v>
      </c>
      <c r="U12" s="139">
        <f>P12</f>
        <v>38854</v>
      </c>
      <c r="V12" s="94">
        <f ca="1">IF(U12&lt;$A$4,0,(YEARFRAC($A$4,U12,1)))</f>
        <v>0</v>
      </c>
      <c r="W12" s="140">
        <f ca="1">V12*(S12-S13)</f>
        <v>0</v>
      </c>
    </row>
    <row r="13" spans="1:23">
      <c r="A13" s="49">
        <v>42125</v>
      </c>
      <c r="B13" s="50">
        <v>0.25315726599999999</v>
      </c>
      <c r="C13" s="52"/>
      <c r="D13" s="70" t="str">
        <f ca="1">IF(E13&lt;$A$4,"Actual","Model Num")</f>
        <v>Actual</v>
      </c>
      <c r="E13" s="71">
        <v>39022</v>
      </c>
      <c r="F13" s="74">
        <f>MAX(IF(ISERROR(VLOOKUP(E13,$A$12:$B$52,2,0)),VLOOKUP(E13,$P$11:$S$52,4,0)/1000000,(VLOOKUP(E13,$A$12:$B$52,2,0))),0)</f>
        <v>0.97880635999999999</v>
      </c>
      <c r="G13" s="128">
        <f>F13*1000000</f>
        <v>978806.36</v>
      </c>
      <c r="H13" s="64"/>
      <c r="I13" s="80">
        <f>E13</f>
        <v>39022</v>
      </c>
      <c r="J13" s="125">
        <f>$M$12*$N$6</f>
        <v>40200.080000000002</v>
      </c>
      <c r="K13" s="88">
        <f>($F$6/360)*($O$2/100)*M12</f>
        <v>26741.111111111113</v>
      </c>
      <c r="L13" s="90">
        <f>J13-K13</f>
        <v>13458.968888888889</v>
      </c>
      <c r="M13" s="79">
        <f>M12-L13</f>
        <v>986541.03111111117</v>
      </c>
      <c r="N13" s="126">
        <f>L13/M12</f>
        <v>1.3458968888888888E-2</v>
      </c>
      <c r="O13" s="52"/>
      <c r="P13" s="80">
        <f>I13</f>
        <v>39022</v>
      </c>
      <c r="Q13" s="97">
        <f>S12*N13</f>
        <v>13458.968888888889</v>
      </c>
      <c r="R13" s="98">
        <f>S12*$C$2/2</f>
        <v>25000</v>
      </c>
      <c r="S13" s="99">
        <f ca="1">IF(P13&lt;$A$4,(VLOOKUP(P13,$A$11:$B$52,2,0)*$S$12),(S12-(Q13+R13)))</f>
        <v>978806.36</v>
      </c>
      <c r="U13" s="80">
        <f>P13</f>
        <v>39022</v>
      </c>
      <c r="V13" s="97">
        <f ca="1">IF(U13&lt;$A$4,0,(YEARFRAC($A$4,U13,1)))</f>
        <v>0</v>
      </c>
      <c r="W13" s="141">
        <f ca="1">V13*(S12-S13)</f>
        <v>0</v>
      </c>
    </row>
    <row r="14" spans="1:23">
      <c r="A14" s="49">
        <v>41944</v>
      </c>
      <c r="B14" s="50">
        <v>0.29165445499999998</v>
      </c>
      <c r="C14" s="52"/>
      <c r="D14" s="70" t="str">
        <f ca="1">IF(E14&lt;$A$4,"Actual","Model Num")</f>
        <v>Actual</v>
      </c>
      <c r="E14" s="71">
        <f>DATE(YEAR(E13),MONTH(E13)+6,DAY(E13))</f>
        <v>39203</v>
      </c>
      <c r="F14" s="74">
        <f>MAX(IF(ISERROR(VLOOKUP(E14,$A$12:$B$52,2,0)),VLOOKUP(E14,$P$11:$S$52,4,0)/1000000,(VLOOKUP(E14,$A$12:$B$52,2,0))),0)</f>
        <v>0.945873572</v>
      </c>
      <c r="G14" s="128">
        <f>F14*1000000</f>
        <v>945873.57200000004</v>
      </c>
      <c r="H14" s="64"/>
      <c r="I14" s="80">
        <f>E14</f>
        <v>39203</v>
      </c>
      <c r="J14" s="210">
        <f>$M$12*$N$7</f>
        <v>42808.98</v>
      </c>
      <c r="K14" s="88">
        <f>($F$7/360)*($O$2/100)*M13</f>
        <v>28954.979263111112</v>
      </c>
      <c r="L14" s="90">
        <f>J14-K14</f>
        <v>13854.000736888891</v>
      </c>
      <c r="M14" s="79">
        <f>M13-L14</f>
        <v>972687.03037422232</v>
      </c>
      <c r="N14" s="126">
        <f>L14/M13</f>
        <v>1.4043005105713192E-2</v>
      </c>
      <c r="O14" s="52"/>
      <c r="P14" s="80">
        <f>I14</f>
        <v>39203</v>
      </c>
      <c r="Q14" s="97">
        <f ca="1">S13*N14</f>
        <v>13745.382710984544</v>
      </c>
      <c r="R14" s="98">
        <f ca="1">S13*$C$2/2</f>
        <v>24470.159</v>
      </c>
      <c r="S14" s="99">
        <f ca="1">IF(P14&lt;$A$4,(VLOOKUP(P14,$A$11:$B$52,2,0)*$S$12),(S13-(Q14+R14)))</f>
        <v>945873.57200000004</v>
      </c>
      <c r="U14" s="80">
        <f>P14</f>
        <v>39203</v>
      </c>
      <c r="V14" s="97">
        <f ca="1">IF(U14&lt;$A$4,0,(YEARFRAC($A$4,U14,1)))</f>
        <v>0</v>
      </c>
      <c r="W14" s="141">
        <f ca="1">V14*(S13-S14)</f>
        <v>0</v>
      </c>
    </row>
    <row r="15" spans="1:23">
      <c r="A15" s="49">
        <v>41760</v>
      </c>
      <c r="B15" s="50">
        <v>0.33620887700000002</v>
      </c>
      <c r="C15" s="52"/>
      <c r="D15" s="70" t="str">
        <f ca="1">IF(E15&lt;$A$4,"Actual","Model Num")</f>
        <v>Actual</v>
      </c>
      <c r="E15" s="71">
        <f>DATE(YEAR(E14),MONTH(E14)+6,DAY(E14))</f>
        <v>39387</v>
      </c>
      <c r="F15" s="74">
        <f>MAX(IF(ISERROR(VLOOKUP(E15,$A$12:$B$52,2,0)),VLOOKUP(E15,$P$11:$S$52,4,0)/1000000,(VLOOKUP(E15,$A$12:$B$52,2,0))),0)</f>
        <v>0.91551371500000001</v>
      </c>
      <c r="G15" s="128">
        <f>F15*1000000</f>
        <v>915513.71499999997</v>
      </c>
      <c r="H15" s="64"/>
      <c r="I15" s="80">
        <f>E15</f>
        <v>39387</v>
      </c>
      <c r="J15" s="210">
        <f>$M$12*$N$7</f>
        <v>42808.98</v>
      </c>
      <c r="K15" s="88">
        <f>($F$7/360)*($O$2/100)*M14</f>
        <v>28548.364341483426</v>
      </c>
      <c r="L15" s="90">
        <f>J15-K15</f>
        <v>14260.615658516577</v>
      </c>
      <c r="M15" s="79">
        <f>M14-L15</f>
        <v>958426.41471570579</v>
      </c>
      <c r="N15" s="126">
        <f>L15/M14</f>
        <v>1.4661052541257885E-2</v>
      </c>
      <c r="O15" s="52"/>
      <c r="P15" s="80">
        <f>I15</f>
        <v>39387</v>
      </c>
      <c r="Q15" s="97">
        <f ca="1">S14*N15</f>
        <v>13867.502136479274</v>
      </c>
      <c r="R15" s="98">
        <f ca="1">S14*$C$2/2</f>
        <v>23646.839300000003</v>
      </c>
      <c r="S15" s="99">
        <f ca="1">IF(P15&lt;$A$4,(VLOOKUP(P15,$A$11:$B$52,2,0)*$S$12),(S14-(Q15+R15)))</f>
        <v>915513.71499999997</v>
      </c>
      <c r="U15" s="80">
        <f>P15</f>
        <v>39387</v>
      </c>
      <c r="V15" s="97">
        <f ca="1">IF(U15&lt;$A$4,0,(YEARFRAC($A$4,U15,1)))</f>
        <v>0</v>
      </c>
      <c r="W15" s="141">
        <f ca="1">V15*(S14-S15)</f>
        <v>0</v>
      </c>
    </row>
    <row r="16" spans="1:23">
      <c r="A16" s="49">
        <v>41579</v>
      </c>
      <c r="B16" s="50">
        <v>0.36636781400000001</v>
      </c>
      <c r="C16" s="52"/>
      <c r="D16" s="70" t="str">
        <f ca="1">IF(E16&lt;$A$4,"Actual","Model Num")</f>
        <v>Actual</v>
      </c>
      <c r="E16" s="71">
        <f>DATE(YEAR(E15),MONTH(E15)+6,DAY(E15))</f>
        <v>39569</v>
      </c>
      <c r="F16" s="74">
        <f>MAX(IF(ISERROR(VLOOKUP(E16,$A$12:$B$52,2,0)),VLOOKUP(E16,$P$11:$S$52,4,0)/1000000,(VLOOKUP(E16,$A$12:$B$52,2,0))),0)</f>
        <v>0.87048861799999999</v>
      </c>
      <c r="G16" s="128">
        <f>F16*1000000</f>
        <v>870488.61800000002</v>
      </c>
      <c r="H16" s="64"/>
      <c r="I16" s="80">
        <f>E16</f>
        <v>39569</v>
      </c>
      <c r="J16" s="210">
        <f>$M$12*$N$7</f>
        <v>42808.98</v>
      </c>
      <c r="K16" s="88">
        <f>($F$7/360)*($O$2/100)*M15</f>
        <v>28129.815271905965</v>
      </c>
      <c r="L16" s="90">
        <f>J16-K16</f>
        <v>14679.164728094038</v>
      </c>
      <c r="M16" s="79">
        <f>M15-L16</f>
        <v>943747.24998761178</v>
      </c>
      <c r="N16" s="126">
        <f>L16/M15</f>
        <v>1.5315901672480783E-2</v>
      </c>
      <c r="O16" s="52"/>
      <c r="P16" s="80">
        <f>I16</f>
        <v>39569</v>
      </c>
      <c r="Q16" s="97">
        <f ca="1">S15*N16</f>
        <v>14021.918038747594</v>
      </c>
      <c r="R16" s="98">
        <f ca="1">S15*$C$2/2</f>
        <v>22887.842875000002</v>
      </c>
      <c r="S16" s="99">
        <f ca="1">IF(P16&lt;$A$4,(VLOOKUP(P16,$A$11:$B$52,2,0)*$S$12),(S15-(Q16+R16)))</f>
        <v>870488.61800000002</v>
      </c>
      <c r="U16" s="80">
        <f>P16</f>
        <v>39569</v>
      </c>
      <c r="V16" s="97">
        <f ca="1">IF(U16&lt;$A$4,0,(YEARFRAC($A$4,U16,1)))</f>
        <v>0</v>
      </c>
      <c r="W16" s="141">
        <f ca="1">V16*(S15-S16)</f>
        <v>0</v>
      </c>
    </row>
    <row r="17" spans="1:23">
      <c r="A17" s="49">
        <v>41395</v>
      </c>
      <c r="B17" s="50">
        <v>0.419725603</v>
      </c>
      <c r="C17" s="52"/>
      <c r="D17" s="70" t="str">
        <f ca="1">IF(E17&lt;$A$4,"Actual","Model Num")</f>
        <v>Actual</v>
      </c>
      <c r="E17" s="71">
        <f>DATE(YEAR(E16),MONTH(E16)+6,DAY(E16))</f>
        <v>39753</v>
      </c>
      <c r="F17" s="74">
        <f>MAX(IF(ISERROR(VLOOKUP(E17,$A$12:$B$52,2,0)),VLOOKUP(E17,$P$11:$S$52,4,0)/1000000,(VLOOKUP(E17,$A$12:$B$52,2,0))),0)</f>
        <v>0.80840764700000001</v>
      </c>
      <c r="G17" s="128">
        <f>F17*1000000</f>
        <v>808407.647</v>
      </c>
      <c r="H17" s="64"/>
      <c r="I17" s="80">
        <f>E17</f>
        <v>39753</v>
      </c>
      <c r="J17" s="210">
        <f>$M$12*$N$7</f>
        <v>42808.98</v>
      </c>
      <c r="K17" s="88">
        <f>($F$7/360)*($O$2/100)*M16</f>
        <v>27698.981787136407</v>
      </c>
      <c r="L17" s="90">
        <f>J17-K17</f>
        <v>15109.998212863597</v>
      </c>
      <c r="M17" s="79">
        <f>M16-L17</f>
        <v>928637.25177474821</v>
      </c>
      <c r="N17" s="126">
        <f>L17/M16</f>
        <v>1.6010640786568588E-2</v>
      </c>
      <c r="O17" s="52"/>
      <c r="P17" s="80">
        <f>I17</f>
        <v>39753</v>
      </c>
      <c r="Q17" s="97">
        <f ca="1">S16*N17</f>
        <v>13937.080571594523</v>
      </c>
      <c r="R17" s="98">
        <f ca="1">S16*$C$2/2</f>
        <v>21762.215450000003</v>
      </c>
      <c r="S17" s="99">
        <f ca="1">IF(P17&lt;$A$4,(VLOOKUP(P17,$A$11:$B$52,2,0)*$S$12),(S16-(Q17+R17)))</f>
        <v>808407.647</v>
      </c>
      <c r="U17" s="80">
        <f>P17</f>
        <v>39753</v>
      </c>
      <c r="V17" s="97">
        <f ca="1">IF(U17&lt;$A$4,0,(YEARFRAC($A$4,U17,1)))</f>
        <v>0</v>
      </c>
      <c r="W17" s="141">
        <f ca="1">V17*(S16-S17)</f>
        <v>0</v>
      </c>
    </row>
    <row r="18" spans="1:23">
      <c r="A18" s="49">
        <v>41214</v>
      </c>
      <c r="B18" s="50">
        <v>0.46250698899999998</v>
      </c>
      <c r="C18" s="52"/>
      <c r="D18" s="70" t="str">
        <f ca="1">IF(E18&lt;$A$4,"Actual","Model Num")</f>
        <v>Actual</v>
      </c>
      <c r="E18" s="71">
        <f>DATE(YEAR(E17),MONTH(E17)+6,DAY(E17))</f>
        <v>39934</v>
      </c>
      <c r="F18" s="74">
        <f>MAX(IF(ISERROR(VLOOKUP(E18,$A$12:$B$52,2,0)),VLOOKUP(E18,$P$11:$S$52,4,0)/1000000,(VLOOKUP(E18,$A$12:$B$52,2,0))),0)</f>
        <v>0.76740151700000003</v>
      </c>
      <c r="G18" s="128">
        <f>F18*1000000</f>
        <v>767401.51699999999</v>
      </c>
      <c r="H18" s="64"/>
      <c r="I18" s="80">
        <f>E18</f>
        <v>39934</v>
      </c>
      <c r="J18" s="210">
        <f>$M$12*$N$7</f>
        <v>42808.98</v>
      </c>
      <c r="K18" s="88">
        <f>($F$7/360)*($O$2/100)*M17</f>
        <v>27255.50333958886</v>
      </c>
      <c r="L18" s="90">
        <f>J18-K18</f>
        <v>15553.476660411143</v>
      </c>
      <c r="M18" s="79">
        <f>M17-L18</f>
        <v>913083.7751143371</v>
      </c>
      <c r="N18" s="126">
        <f>L18/M17</f>
        <v>1.6748710684054941E-2</v>
      </c>
      <c r="O18" s="52"/>
      <c r="P18" s="80">
        <f>I18</f>
        <v>39934</v>
      </c>
      <c r="Q18" s="97">
        <f ca="1">S17*N18</f>
        <v>13539.785794380616</v>
      </c>
      <c r="R18" s="98">
        <f ca="1">S17*$C$2/2</f>
        <v>20210.191175</v>
      </c>
      <c r="S18" s="99">
        <f ca="1">IF(P18&lt;$A$4,(VLOOKUP(P18,$A$11:$B$52,2,0)*$S$12),(S17-(Q18+R18)))</f>
        <v>767401.51699999999</v>
      </c>
      <c r="U18" s="80">
        <f>P18</f>
        <v>39934</v>
      </c>
      <c r="V18" s="97">
        <f ca="1">IF(U18&lt;$A$4,0,(YEARFRAC($A$4,U18,1)))</f>
        <v>0</v>
      </c>
      <c r="W18" s="141">
        <f ca="1">V18*(S17-S18)</f>
        <v>0</v>
      </c>
    </row>
    <row r="19" spans="1:23">
      <c r="A19" s="49">
        <v>41030</v>
      </c>
      <c r="B19" s="50">
        <v>0.49987624200000003</v>
      </c>
      <c r="C19" s="52"/>
      <c r="D19" s="70" t="str">
        <f ca="1">IF(E19&lt;$A$4,"Actual","Model Num")</f>
        <v>Actual</v>
      </c>
      <c r="E19" s="71">
        <f>DATE(YEAR(E18),MONTH(E18)+6,DAY(E18))</f>
        <v>40118</v>
      </c>
      <c r="F19" s="74">
        <f>MAX(IF(ISERROR(VLOOKUP(E19,$A$12:$B$52,2,0)),VLOOKUP(E19,$P$11:$S$52,4,0)/1000000,(VLOOKUP(E19,$A$12:$B$52,2,0))),0)</f>
        <v>0.71580406699999999</v>
      </c>
      <c r="G19" s="128">
        <f>F19*1000000</f>
        <v>715804.06700000004</v>
      </c>
      <c r="H19" s="64"/>
      <c r="I19" s="80">
        <f>E19</f>
        <v>40118</v>
      </c>
      <c r="J19" s="210">
        <f>$M$12*$N$7</f>
        <v>42808.98</v>
      </c>
      <c r="K19" s="88">
        <f>($F$7/360)*($O$2/100)*M18</f>
        <v>26799.008799605796</v>
      </c>
      <c r="L19" s="90">
        <f>J19-K19</f>
        <v>16009.971200394208</v>
      </c>
      <c r="M19" s="79">
        <f>M18-L19</f>
        <v>897073.80391394289</v>
      </c>
      <c r="N19" s="126">
        <f>L19/M18</f>
        <v>1.7533956507319853E-2</v>
      </c>
      <c r="O19" s="52"/>
      <c r="P19" s="80">
        <f>I19</f>
        <v>40118</v>
      </c>
      <c r="Q19" s="97">
        <f ca="1">S18*N19</f>
        <v>13455.584822729277</v>
      </c>
      <c r="R19" s="98">
        <f ca="1">S18*$C$2/2</f>
        <v>19185.037925000001</v>
      </c>
      <c r="S19" s="99">
        <f ca="1">IF(P19&lt;$A$4,(VLOOKUP(P19,$A$11:$B$52,2,0)*$S$12),(S18-(Q19+R19)))</f>
        <v>715804.06700000004</v>
      </c>
      <c r="U19" s="80">
        <f>P19</f>
        <v>40118</v>
      </c>
      <c r="V19" s="97">
        <f ca="1">IF(U19&lt;$A$4,0,(YEARFRAC($A$4,U19,1)))</f>
        <v>0</v>
      </c>
      <c r="W19" s="141">
        <f ca="1">V19*(S18-S19)</f>
        <v>0</v>
      </c>
    </row>
    <row r="20" spans="1:23">
      <c r="A20" s="49">
        <v>40848</v>
      </c>
      <c r="B20" s="50">
        <v>0.54987094000000003</v>
      </c>
      <c r="C20" s="52"/>
      <c r="D20" s="70" t="str">
        <f ca="1">IF(E20&lt;$A$4,"Actual","Model Num")</f>
        <v>Actual</v>
      </c>
      <c r="E20" s="71">
        <f>DATE(YEAR(E19),MONTH(E19)+6,DAY(E19))</f>
        <v>40299</v>
      </c>
      <c r="F20" s="74">
        <f>MAX(IF(ISERROR(VLOOKUP(E20,$A$12:$B$52,2,0)),VLOOKUP(E20,$P$11:$S$52,4,0)/1000000,(VLOOKUP(E20,$A$12:$B$52,2,0))),0)</f>
        <v>0.67518431400000001</v>
      </c>
      <c r="G20" s="128">
        <f>F20*1000000</f>
        <v>675184.31400000001</v>
      </c>
      <c r="H20" s="64"/>
      <c r="I20" s="80">
        <f>E20</f>
        <v>40299</v>
      </c>
      <c r="J20" s="210">
        <f>$M$12*$N$7</f>
        <v>42808.98</v>
      </c>
      <c r="K20" s="88">
        <f>($F$7/360)*($O$2/100)*M19</f>
        <v>26329.116144874224</v>
      </c>
      <c r="L20" s="90">
        <f>J20-K20</f>
        <v>16479.863855125779</v>
      </c>
      <c r="M20" s="79">
        <f>M19-L20</f>
        <v>880593.94005881716</v>
      </c>
      <c r="N20" s="126">
        <f>L20/M19</f>
        <v>1.8370688992615715E-2</v>
      </c>
      <c r="O20" s="52"/>
      <c r="P20" s="80">
        <f>I20</f>
        <v>40299</v>
      </c>
      <c r="Q20" s="97">
        <f ca="1">S19*N20</f>
        <v>13149.813894506462</v>
      </c>
      <c r="R20" s="98">
        <f ca="1">S19*$C$2/2</f>
        <v>17895.101675000002</v>
      </c>
      <c r="S20" s="99">
        <f ca="1">IF(P20&lt;$A$4,(VLOOKUP(P20,$A$11:$B$52,2,0)*$S$12),(S19-(Q20+R20)))</f>
        <v>675184.31400000001</v>
      </c>
      <c r="U20" s="80">
        <f>P20</f>
        <v>40299</v>
      </c>
      <c r="V20" s="97">
        <f ca="1">IF(U20&lt;$A$4,0,(YEARFRAC($A$4,U20,1)))</f>
        <v>0</v>
      </c>
      <c r="W20" s="141">
        <f ca="1">V20*(S19-S20)</f>
        <v>0</v>
      </c>
    </row>
    <row r="21" spans="1:23">
      <c r="A21" s="49">
        <v>40664</v>
      </c>
      <c r="B21" s="50">
        <v>0.58363116900000001</v>
      </c>
      <c r="C21" s="52"/>
      <c r="D21" s="70" t="str">
        <f ca="1">IF(E21&lt;$A$4,"Actual","Model Num")</f>
        <v>Actual</v>
      </c>
      <c r="E21" s="71">
        <f>DATE(YEAR(E20),MONTH(E20)+6,DAY(E20))</f>
        <v>40483</v>
      </c>
      <c r="F21" s="74">
        <f>MAX(IF(ISERROR(VLOOKUP(E21,$A$12:$B$52,2,0)),VLOOKUP(E21,$P$11:$S$52,4,0)/1000000,(VLOOKUP(E21,$A$12:$B$52,2,0))),0)</f>
        <v>0.63158964799999995</v>
      </c>
      <c r="G21" s="128">
        <f>F21*1000000</f>
        <v>631589.64799999993</v>
      </c>
      <c r="H21" s="64"/>
      <c r="I21" s="80">
        <f>E21</f>
        <v>40483</v>
      </c>
      <c r="J21" s="210">
        <f>$M$12*$N$7</f>
        <v>42808.98</v>
      </c>
      <c r="K21" s="88">
        <f>($F$7/360)*($O$2/100)*M20</f>
        <v>25845.432140726283</v>
      </c>
      <c r="L21" s="90">
        <f>J21-K21</f>
        <v>16963.54785927372</v>
      </c>
      <c r="M21" s="79">
        <f>M20-L21</f>
        <v>863630.39219954342</v>
      </c>
      <c r="N21" s="126">
        <f>L21/M20</f>
        <v>1.9263757207028567E-2</v>
      </c>
      <c r="O21" s="52"/>
      <c r="P21" s="80">
        <f>I21</f>
        <v>40483</v>
      </c>
      <c r="Q21" s="97">
        <f ca="1">S20*N21</f>
        <v>13006.58669489014</v>
      </c>
      <c r="R21" s="98">
        <f ca="1">S20*$C$2/2</f>
        <v>16879.60785</v>
      </c>
      <c r="S21" s="99">
        <f ca="1">IF(P21&lt;$A$4,(VLOOKUP(P21,$A$11:$B$52,2,0)*$S$12),(S20-(Q21+R21)))</f>
        <v>631589.64799999993</v>
      </c>
      <c r="U21" s="80">
        <f>P21</f>
        <v>40483</v>
      </c>
      <c r="V21" s="97">
        <f ca="1">IF(U21&lt;$A$4,0,(YEARFRAC($A$4,U21,1)))</f>
        <v>0</v>
      </c>
      <c r="W21" s="141">
        <f ca="1">V21*(S20-S21)</f>
        <v>0</v>
      </c>
    </row>
    <row r="22" spans="1:23">
      <c r="A22" s="49">
        <v>40483</v>
      </c>
      <c r="B22" s="50">
        <v>0.63158964799999995</v>
      </c>
      <c r="C22" s="52"/>
      <c r="D22" s="70" t="str">
        <f ca="1">IF(E22&lt;$A$4,"Actual","Model Num")</f>
        <v>Actual</v>
      </c>
      <c r="E22" s="71">
        <f>DATE(YEAR(E21),MONTH(E21)+6,DAY(E21))</f>
        <v>40664</v>
      </c>
      <c r="F22" s="74">
        <f>MAX(IF(ISERROR(VLOOKUP(E22,$A$12:$B$52,2,0)),VLOOKUP(E22,$P$11:$S$52,4,0)/1000000,(VLOOKUP(E22,$A$12:$B$52,2,0))),0)</f>
        <v>0.58363116900000001</v>
      </c>
      <c r="G22" s="128">
        <f>F22*1000000</f>
        <v>583631.16899999999</v>
      </c>
      <c r="H22" s="64"/>
      <c r="I22" s="80">
        <f>E22</f>
        <v>40664</v>
      </c>
      <c r="J22" s="210">
        <f>$M$12*$N$7</f>
        <v>42808.98</v>
      </c>
      <c r="K22" s="88">
        <f>($F$7/360)*($O$2/100)*M21</f>
        <v>25347.552011056599</v>
      </c>
      <c r="L22" s="90">
        <f>J22-K22</f>
        <v>17461.427988943404</v>
      </c>
      <c r="M22" s="79">
        <f>M21-L22</f>
        <v>846168.96421060001</v>
      </c>
      <c r="N22" s="126">
        <f>L22/M21</f>
        <v>2.0218635363759764E-2</v>
      </c>
      <c r="O22" s="52"/>
      <c r="P22" s="80">
        <f>I22</f>
        <v>40664</v>
      </c>
      <c r="Q22" s="97">
        <f ca="1">S21*N22</f>
        <v>12769.88079243738</v>
      </c>
      <c r="R22" s="98">
        <f ca="1">S21*$C$2/2</f>
        <v>15789.741199999999</v>
      </c>
      <c r="S22" s="99">
        <f ca="1">IF(P22&lt;$A$4,(VLOOKUP(P22,$A$11:$B$52,2,0)*$S$12),(S21-(Q22+R22)))</f>
        <v>583631.16899999999</v>
      </c>
      <c r="U22" s="80">
        <f>P22</f>
        <v>40664</v>
      </c>
      <c r="V22" s="97">
        <f ca="1">IF(U22&lt;$A$4,0,(YEARFRAC($A$4,U22,1)))</f>
        <v>0</v>
      </c>
      <c r="W22" s="141">
        <f ca="1">V22*(S21-S22)</f>
        <v>0</v>
      </c>
    </row>
    <row r="23" spans="1:23">
      <c r="A23" s="49">
        <v>40299</v>
      </c>
      <c r="B23" s="50">
        <v>0.67518431400000001</v>
      </c>
      <c r="C23" s="52"/>
      <c r="D23" s="70" t="str">
        <f ca="1">IF(E23&lt;$A$4,"Actual","Model Num")</f>
        <v>Actual</v>
      </c>
      <c r="E23" s="71">
        <f>DATE(YEAR(E22),MONTH(E22)+6,DAY(E22))</f>
        <v>40848</v>
      </c>
      <c r="F23" s="74">
        <f>MAX(IF(ISERROR(VLOOKUP(E23,$A$12:$B$52,2,0)),VLOOKUP(E23,$P$11:$S$52,4,0)/1000000,(VLOOKUP(E23,$A$12:$B$52,2,0))),0)</f>
        <v>0.54987094000000003</v>
      </c>
      <c r="G23" s="128">
        <f>F23*1000000</f>
        <v>549870.94000000006</v>
      </c>
      <c r="H23" s="64"/>
      <c r="I23" s="80">
        <f>E23</f>
        <v>40848</v>
      </c>
      <c r="J23" s="210">
        <f>$M$12*$N$7</f>
        <v>42808.98</v>
      </c>
      <c r="K23" s="88">
        <f>($F$7/360)*($O$2/100)*M22</f>
        <v>24835.059099581111</v>
      </c>
      <c r="L23" s="90">
        <f>J23-K23</f>
        <v>17973.920900418892</v>
      </c>
      <c r="M23" s="79">
        <f>M22-L23</f>
        <v>828195.04331018112</v>
      </c>
      <c r="N23" s="126">
        <f>L23/M22</f>
        <v>2.1241527000682367E-2</v>
      </c>
      <c r="O23" s="52"/>
      <c r="P23" s="80">
        <f>I23</f>
        <v>40848</v>
      </c>
      <c r="Q23" s="97">
        <f ca="1">S22*N23</f>
        <v>12397.217234753314</v>
      </c>
      <c r="R23" s="98">
        <f ca="1">S22*$C$2/2</f>
        <v>14590.779225</v>
      </c>
      <c r="S23" s="99">
        <f ca="1">IF(P23&lt;$A$4,(VLOOKUP(P23,$A$11:$B$52,2,0)*$S$12),(S22-(Q23+R23)))</f>
        <v>549870.94000000006</v>
      </c>
      <c r="U23" s="80">
        <f>P23</f>
        <v>40848</v>
      </c>
      <c r="V23" s="97">
        <f ca="1">IF(U23&lt;$A$4,0,(YEARFRAC($A$4,U23,1)))</f>
        <v>0</v>
      </c>
      <c r="W23" s="141">
        <f ca="1">V23*(S22-S23)</f>
        <v>0</v>
      </c>
    </row>
    <row r="24" spans="1:23">
      <c r="A24" s="49">
        <v>40118</v>
      </c>
      <c r="B24" s="50">
        <v>0.71580406699999999</v>
      </c>
      <c r="C24" s="52"/>
      <c r="D24" s="70" t="str">
        <f ca="1">IF(E24&lt;$A$4,"Actual","Model Num")</f>
        <v>Actual</v>
      </c>
      <c r="E24" s="71">
        <f>DATE(YEAR(E23),MONTH(E23)+6,DAY(E23))</f>
        <v>41030</v>
      </c>
      <c r="F24" s="74">
        <f>MAX(IF(ISERROR(VLOOKUP(E24,$A$12:$B$52,2,0)),VLOOKUP(E24,$P$11:$S$52,4,0)/1000000,(VLOOKUP(E24,$A$12:$B$52,2,0))),0)</f>
        <v>0.49987624200000003</v>
      </c>
      <c r="G24" s="128">
        <f>F24*1000000</f>
        <v>499876.24200000003</v>
      </c>
      <c r="H24" s="64"/>
      <c r="I24" s="80">
        <f>E24</f>
        <v>41030</v>
      </c>
      <c r="J24" s="210">
        <f>$M$12*$N$7</f>
        <v>42808.98</v>
      </c>
      <c r="K24" s="88">
        <f>($F$7/360)*($O$2/100)*M23</f>
        <v>24307.524521153817</v>
      </c>
      <c r="L24" s="90">
        <f>J24-K24</f>
        <v>18501.455478846186</v>
      </c>
      <c r="M24" s="79">
        <f>M23-L24</f>
        <v>809693.58783133491</v>
      </c>
      <c r="N24" s="126">
        <f>L24/M23</f>
        <v>2.2339490713320892E-2</v>
      </c>
      <c r="O24" s="52"/>
      <c r="P24" s="80">
        <f>I24</f>
        <v>41030</v>
      </c>
      <c r="Q24" s="97">
        <f ca="1">S23*N24</f>
        <v>12283.83675765503</v>
      </c>
      <c r="R24" s="98">
        <f ca="1">S23*$C$2/2</f>
        <v>13746.773500000003</v>
      </c>
      <c r="S24" s="99">
        <f ca="1">IF(P24&lt;$A$4,(VLOOKUP(P24,$A$11:$B$52,2,0)*$S$12),(S23-(Q24+R24)))</f>
        <v>499876.24200000003</v>
      </c>
      <c r="U24" s="80">
        <f>P24</f>
        <v>41030</v>
      </c>
      <c r="V24" s="97">
        <f ca="1">IF(U24&lt;$A$4,0,(YEARFRAC($A$4,U24,1)))</f>
        <v>0</v>
      </c>
      <c r="W24" s="141">
        <f ca="1">V24*(S23-S24)</f>
        <v>0</v>
      </c>
    </row>
    <row r="25" spans="1:23">
      <c r="A25" s="49">
        <v>39934</v>
      </c>
      <c r="B25" s="50">
        <v>0.76740151700000003</v>
      </c>
      <c r="C25" s="52"/>
      <c r="D25" s="70" t="str">
        <f ca="1">IF(E25&lt;$A$4,"Actual","Model Num")</f>
        <v>Actual</v>
      </c>
      <c r="E25" s="71">
        <f>DATE(YEAR(E24),MONTH(E24)+6,DAY(E24))</f>
        <v>41214</v>
      </c>
      <c r="F25" s="74">
        <f>MAX(IF(ISERROR(VLOOKUP(E25,$A$12:$B$52,2,0)),VLOOKUP(E25,$P$11:$S$52,4,0)/1000000,(VLOOKUP(E25,$A$12:$B$52,2,0))),0)</f>
        <v>0.46250698899999998</v>
      </c>
      <c r="G25" s="128">
        <f>F25*1000000</f>
        <v>462506.989</v>
      </c>
      <c r="H25" s="64"/>
      <c r="I25" s="80">
        <f>E25</f>
        <v>41214</v>
      </c>
      <c r="J25" s="210">
        <f>$M$12*$N$7</f>
        <v>42808.98</v>
      </c>
      <c r="K25" s="88">
        <f>($F$7/360)*($O$2/100)*M24</f>
        <v>23764.506802849679</v>
      </c>
      <c r="L25" s="90">
        <f>J25-K25</f>
        <v>19044.473197150324</v>
      </c>
      <c r="M25" s="79">
        <f>M24-L25</f>
        <v>790649.11463418463</v>
      </c>
      <c r="N25" s="126">
        <f>L25/M24</f>
        <v>2.3520592830873977E-2</v>
      </c>
      <c r="O25" s="52"/>
      <c r="P25" s="80">
        <f>I25</f>
        <v>41214</v>
      </c>
      <c r="Q25" s="97">
        <f ca="1">S24*N25</f>
        <v>11757.385553909426</v>
      </c>
      <c r="R25" s="98">
        <f ca="1">S24*$C$2/2</f>
        <v>12496.906050000001</v>
      </c>
      <c r="S25" s="99">
        <f ca="1">IF(P25&lt;$A$4,(VLOOKUP(P25,$A$11:$B$52,2,0)*$S$12),(S24-(Q25+R25)))</f>
        <v>462506.989</v>
      </c>
      <c r="U25" s="80">
        <f>P25</f>
        <v>41214</v>
      </c>
      <c r="V25" s="97">
        <f ca="1">IF(U25&lt;$A$4,0,(YEARFRAC($A$4,U25,1)))</f>
        <v>0</v>
      </c>
      <c r="W25" s="141">
        <f ca="1">V25*(S24-S25)</f>
        <v>0</v>
      </c>
    </row>
    <row r="26" spans="1:23">
      <c r="A26" s="49">
        <v>39753</v>
      </c>
      <c r="B26" s="50">
        <v>0.80840764700000001</v>
      </c>
      <c r="C26" s="52"/>
      <c r="D26" s="70" t="str">
        <f ca="1">IF(E26&lt;$A$4,"Actual","Model Num")</f>
        <v>Actual</v>
      </c>
      <c r="E26" s="71">
        <f>DATE(YEAR(E25),MONTH(E25)+6,DAY(E25))</f>
        <v>41395</v>
      </c>
      <c r="F26" s="74">
        <f>MAX(IF(ISERROR(VLOOKUP(E26,$A$12:$B$52,2,0)),VLOOKUP(E26,$P$11:$S$52,4,0)/1000000,(VLOOKUP(E26,$A$12:$B$52,2,0))),0)</f>
        <v>0.419725603</v>
      </c>
      <c r="G26" s="128">
        <f>F26*1000000</f>
        <v>419725.603</v>
      </c>
      <c r="H26" s="64"/>
      <c r="I26" s="80">
        <f>E26</f>
        <v>41395</v>
      </c>
      <c r="J26" s="210">
        <f>$M$12*$N$7</f>
        <v>42808.98</v>
      </c>
      <c r="K26" s="88">
        <f>($F$7/360)*($O$2/100)*M25</f>
        <v>23205.551514513321</v>
      </c>
      <c r="L26" s="90">
        <f>J26-K26</f>
        <v>19603.428485486682</v>
      </c>
      <c r="M26" s="79">
        <f>M25-L26</f>
        <v>771045.68614869798</v>
      </c>
      <c r="N26" s="126">
        <f>L26/M25</f>
        <v>2.4794094020527353E-2</v>
      </c>
      <c r="O26" s="52"/>
      <c r="P26" s="80">
        <f>I26</f>
        <v>41395</v>
      </c>
      <c r="Q26" s="97">
        <f ca="1">S25*N26</f>
        <v>11467.44177041701</v>
      </c>
      <c r="R26" s="98">
        <f ca="1">S25*$C$2/2</f>
        <v>11562.674725000001</v>
      </c>
      <c r="S26" s="99">
        <f ca="1">IF(P26&lt;$A$4,(VLOOKUP(P26,$A$11:$B$52,2,0)*$S$12),(S25-(Q26+R26)))</f>
        <v>419725.603</v>
      </c>
      <c r="U26" s="80">
        <f>P26</f>
        <v>41395</v>
      </c>
      <c r="V26" s="97">
        <f ca="1">IF(U26&lt;$A$4,0,(YEARFRAC($A$4,U26,1)))</f>
        <v>0</v>
      </c>
      <c r="W26" s="141">
        <f ca="1">V26*(S25-S26)</f>
        <v>0</v>
      </c>
    </row>
    <row r="27" spans="1:23">
      <c r="A27" s="49">
        <v>39569</v>
      </c>
      <c r="B27" s="50">
        <v>0.87048861799999999</v>
      </c>
      <c r="C27" s="52"/>
      <c r="D27" s="70" t="str">
        <f ca="1">IF(E27&lt;$A$4,"Actual","Model Num")</f>
        <v>Actual</v>
      </c>
      <c r="E27" s="71">
        <f>DATE(YEAR(E26),MONTH(E26)+6,DAY(E26))</f>
        <v>41579</v>
      </c>
      <c r="F27" s="74">
        <f>MAX(IF(ISERROR(VLOOKUP(E27,$A$12:$B$52,2,0)),VLOOKUP(E27,$P$11:$S$52,4,0)/1000000,(VLOOKUP(E27,$A$12:$B$52,2,0))),0)</f>
        <v>0.36636781400000001</v>
      </c>
      <c r="G27" s="128">
        <f>F27*1000000</f>
        <v>366367.81400000001</v>
      </c>
      <c r="H27" s="64"/>
      <c r="I27" s="80">
        <f>E27</f>
        <v>41579</v>
      </c>
      <c r="J27" s="210">
        <f>$M$12*$N$7</f>
        <v>42808.98</v>
      </c>
      <c r="K27" s="88">
        <f>($F$7/360)*($O$2/100)*M26</f>
        <v>22630.190888464287</v>
      </c>
      <c r="L27" s="90">
        <f>J27-K27</f>
        <v>20178.789111535716</v>
      </c>
      <c r="M27" s="79">
        <f>M26-L27</f>
        <v>750866.89703716221</v>
      </c>
      <c r="N27" s="126">
        <f>L27/M26</f>
        <v>2.6170678954611504E-2</v>
      </c>
      <c r="O27" s="52"/>
      <c r="P27" s="80">
        <f>I27</f>
        <v>41579</v>
      </c>
      <c r="Q27" s="97">
        <f ca="1">S26*N27</f>
        <v>10984.504005143723</v>
      </c>
      <c r="R27" s="98">
        <f ca="1">S26*$C$2/2</f>
        <v>10493.140075000001</v>
      </c>
      <c r="S27" s="99">
        <f ca="1">IF(P27&lt;$A$4,(VLOOKUP(P27,$A$11:$B$52,2,0)*$S$12),(S26-(Q27+R27)))</f>
        <v>366367.81400000001</v>
      </c>
      <c r="U27" s="80">
        <f>P27</f>
        <v>41579</v>
      </c>
      <c r="V27" s="97">
        <f ca="1">IF(U27&lt;$A$4,0,(YEARFRAC($A$4,U27,1)))</f>
        <v>0</v>
      </c>
      <c r="W27" s="141">
        <f ca="1">V27*(S26-S27)</f>
        <v>0</v>
      </c>
    </row>
    <row r="28" spans="1:23">
      <c r="A28" s="49">
        <v>39387</v>
      </c>
      <c r="B28" s="50">
        <v>0.91551371500000001</v>
      </c>
      <c r="C28" s="52"/>
      <c r="D28" s="70" t="str">
        <f ca="1">IF(E28&lt;$A$4,"Actual","Model Num")</f>
        <v>Actual</v>
      </c>
      <c r="E28" s="71">
        <f>DATE(YEAR(E27),MONTH(E27)+6,DAY(E27))</f>
        <v>41760</v>
      </c>
      <c r="F28" s="74">
        <f>MAX(IF(ISERROR(VLOOKUP(E28,$A$12:$B$52,2,0)),VLOOKUP(E28,$P$11:$S$52,4,0)/1000000,(VLOOKUP(E28,$A$12:$B$52,2,0))),0)</f>
        <v>0.33620887700000002</v>
      </c>
      <c r="G28" s="128">
        <f>F28*1000000</f>
        <v>336208.87700000004</v>
      </c>
      <c r="H28" s="64"/>
      <c r="I28" s="80">
        <f>E28</f>
        <v>41760</v>
      </c>
      <c r="J28" s="210">
        <f>$M$12*$N$7</f>
        <v>42808.98</v>
      </c>
      <c r="K28" s="88">
        <f>($F$7/360)*($O$2/100)*M27</f>
        <v>22037.943428040711</v>
      </c>
      <c r="L28" s="90">
        <f>J28-K28</f>
        <v>20771.036571959292</v>
      </c>
      <c r="M28" s="79">
        <f>M27-L28</f>
        <v>730095.86046520295</v>
      </c>
      <c r="N28" s="126">
        <f>L28/M27</f>
        <v>2.7662741098215284E-2</v>
      </c>
      <c r="O28" s="52"/>
      <c r="P28" s="80">
        <f>I28</f>
        <v>41760</v>
      </c>
      <c r="Q28" s="97">
        <f ca="1">S27*N28</f>
        <v>10134.737985401094</v>
      </c>
      <c r="R28" s="98">
        <f ca="1">S27*$C$2/2</f>
        <v>9159.19535</v>
      </c>
      <c r="S28" s="99">
        <f ca="1">IF(P28&lt;$A$4,(VLOOKUP(P28,$A$11:$B$52,2,0)*$S$12),(S27-(Q28+R28)))</f>
        <v>336208.87700000004</v>
      </c>
      <c r="U28" s="80">
        <f>P28</f>
        <v>41760</v>
      </c>
      <c r="V28" s="97">
        <f ca="1">IF(U28&lt;$A$4,0,(YEARFRAC($A$4,U28,1)))</f>
        <v>0</v>
      </c>
      <c r="W28" s="141">
        <f ca="1">V28*(S27-S28)</f>
        <v>0</v>
      </c>
    </row>
    <row r="29" spans="1:23">
      <c r="A29" s="49">
        <v>39203</v>
      </c>
      <c r="B29" s="50">
        <v>0.945873572</v>
      </c>
      <c r="C29" s="52"/>
      <c r="D29" s="70" t="str">
        <f ca="1">IF(E29&lt;$A$4,"Actual","Model Num")</f>
        <v>Actual</v>
      </c>
      <c r="E29" s="71">
        <f>DATE(YEAR(E28),MONTH(E28)+6,DAY(E28))</f>
        <v>41944</v>
      </c>
      <c r="F29" s="74">
        <f>MAX(IF(ISERROR(VLOOKUP(E29,$A$12:$B$52,2,0)),VLOOKUP(E29,$P$11:$S$52,4,0)/1000000,(VLOOKUP(E29,$A$12:$B$52,2,0))),0)</f>
        <v>0.29165445499999998</v>
      </c>
      <c r="G29" s="128">
        <f>F29*1000000</f>
        <v>291654.45499999996</v>
      </c>
      <c r="H29" s="64"/>
      <c r="I29" s="80">
        <f>E29</f>
        <v>41944</v>
      </c>
      <c r="J29" s="210">
        <f>$M$12*$N$7</f>
        <v>42808.98</v>
      </c>
      <c r="K29" s="88">
        <f>($F$7/360)*($O$2/100)*M28</f>
        <v>21428.313504653706</v>
      </c>
      <c r="L29" s="90">
        <f>J29-K29</f>
        <v>21380.666495346297</v>
      </c>
      <c r="M29" s="79">
        <f>M28-L29</f>
        <v>708715.1939698566</v>
      </c>
      <c r="N29" s="126">
        <f>L29/M28</f>
        <v>2.9284738694070871E-2</v>
      </c>
      <c r="O29" s="52"/>
      <c r="P29" s="80">
        <f>I29</f>
        <v>41944</v>
      </c>
      <c r="Q29" s="97">
        <f ca="1">S28*N29</f>
        <v>9845.7891095720151</v>
      </c>
      <c r="R29" s="98">
        <f ca="1">S28*$C$2/2</f>
        <v>8405.2219250000016</v>
      </c>
      <c r="S29" s="99">
        <f ca="1">IF(P29&lt;$A$4,(VLOOKUP(P29,$A$11:$B$52,2,0)*$S$12),(S28-(Q29+R29)))</f>
        <v>291654.45499999996</v>
      </c>
      <c r="U29" s="80">
        <f>P29</f>
        <v>41944</v>
      </c>
      <c r="V29" s="97">
        <f ca="1">IF(U29&lt;$A$4,0,(YEARFRAC($A$4,U29,1)))</f>
        <v>0</v>
      </c>
      <c r="W29" s="141">
        <f ca="1">V29*(S28-S29)</f>
        <v>0</v>
      </c>
    </row>
    <row r="30" spans="1:23">
      <c r="A30" s="49">
        <v>39022</v>
      </c>
      <c r="B30" s="50">
        <v>0.97880635999999999</v>
      </c>
      <c r="C30" s="52"/>
      <c r="D30" s="70" t="str">
        <f ca="1">IF(E30&lt;$A$4,"Actual","Model Num")</f>
        <v>Actual</v>
      </c>
      <c r="E30" s="71">
        <f>DATE(YEAR(E29),MONTH(E29)+6,DAY(E29))</f>
        <v>42125</v>
      </c>
      <c r="F30" s="74">
        <f>MAX(IF(ISERROR(VLOOKUP(E30,$A$12:$B$52,2,0)),VLOOKUP(E30,$P$11:$S$52,4,0)/1000000,(VLOOKUP(E30,$A$12:$B$52,2,0))),0)</f>
        <v>0.25315726599999999</v>
      </c>
      <c r="G30" s="128">
        <f>F30*1000000</f>
        <v>253157.266</v>
      </c>
      <c r="H30" s="64"/>
      <c r="I30" s="80">
        <f>E30</f>
        <v>42125</v>
      </c>
      <c r="J30" s="210">
        <f>$M$12*$N$7</f>
        <v>42808.98</v>
      </c>
      <c r="K30" s="88">
        <f>($F$7/360)*($O$2/100)*M29</f>
        <v>20800.79094301529</v>
      </c>
      <c r="L30" s="90">
        <f>J30-K30</f>
        <v>22008.189056984713</v>
      </c>
      <c r="M30" s="79">
        <f>M29-L30</f>
        <v>686707.00491287187</v>
      </c>
      <c r="N30" s="126">
        <f>L30/M29</f>
        <v>3.1053643613460861E-2</v>
      </c>
      <c r="O30" s="52"/>
      <c r="P30" s="80">
        <f>I30</f>
        <v>42125</v>
      </c>
      <c r="Q30" s="97">
        <f ca="1">S29*N30</f>
        <v>9056.9335038481568</v>
      </c>
      <c r="R30" s="98">
        <f ca="1">S29*$C$2/2</f>
        <v>7291.3613749999995</v>
      </c>
      <c r="S30" s="99">
        <f ca="1">IF(P30&lt;$A$4,(VLOOKUP(P30,$A$11:$B$52,2,0)*$S$12),(S29-(Q30+R30)))</f>
        <v>253157.266</v>
      </c>
      <c r="U30" s="80">
        <f>P30</f>
        <v>42125</v>
      </c>
      <c r="V30" s="97">
        <f ca="1">IF(U30&lt;$A$4,0,(YEARFRAC($A$4,U30,1)))</f>
        <v>0</v>
      </c>
      <c r="W30" s="141">
        <f ca="1">V30*(S29-S30)</f>
        <v>0</v>
      </c>
    </row>
    <row r="31" spans="1:23">
      <c r="A31" s="49">
        <v>38854</v>
      </c>
      <c r="B31" s="50">
        <v>1</v>
      </c>
      <c r="C31" s="52"/>
      <c r="D31" s="70" t="str">
        <f ca="1">IF(E31&lt;$A$4,"Actual","Model Num")</f>
        <v>Actual</v>
      </c>
      <c r="E31" s="71">
        <f>DATE(YEAR(E30),MONTH(E30)+6,DAY(E30))</f>
        <v>42309</v>
      </c>
      <c r="F31" s="74">
        <f>MAX(IF(ISERROR(VLOOKUP(E31,$A$12:$B$52,2,0)),VLOOKUP(E31,$P$11:$S$52,4,0)/1000000,(VLOOKUP(E31,$A$12:$B$52,2,0))),0)</f>
        <v>0.21744464699999999</v>
      </c>
      <c r="G31" s="128">
        <f>F31*1000000</f>
        <v>217444.647</v>
      </c>
      <c r="H31" s="64"/>
      <c r="I31" s="80">
        <f>E31</f>
        <v>42309</v>
      </c>
      <c r="J31" s="210">
        <f>$M$12*$N$7</f>
        <v>42808.98</v>
      </c>
      <c r="K31" s="88">
        <f>($F$7/360)*($O$2/100)*M30</f>
        <v>20154.850594192791</v>
      </c>
      <c r="L31" s="90">
        <f>J31-K31</f>
        <v>22654.129405807213</v>
      </c>
      <c r="M31" s="79">
        <f>M30-L31</f>
        <v>664052.87550706463</v>
      </c>
      <c r="N31" s="126">
        <f>L31/M30</f>
        <v>3.2989512621444027E-2</v>
      </c>
      <c r="O31" s="52"/>
      <c r="P31" s="80">
        <f>I31</f>
        <v>42309</v>
      </c>
      <c r="Q31" s="97">
        <f ca="1">S30*N31</f>
        <v>8351.5348219172629</v>
      </c>
      <c r="R31" s="98">
        <f ca="1">S30*$C$2/2</f>
        <v>6328.9316500000004</v>
      </c>
      <c r="S31" s="99">
        <f ca="1">IF(P31&lt;$A$4,(VLOOKUP(P31,$A$11:$B$52,2,0)*$S$12),(S30-(Q31+R31)))</f>
        <v>217444.647</v>
      </c>
      <c r="U31" s="80">
        <f>P31</f>
        <v>42309</v>
      </c>
      <c r="V31" s="97">
        <f ca="1">IF(U31&lt;$A$4,0,(YEARFRAC($A$4,U31,1)))</f>
        <v>0</v>
      </c>
      <c r="W31" s="141">
        <f ca="1">V31*(S30-S31)</f>
        <v>0</v>
      </c>
    </row>
    <row r="32" spans="1:23">
      <c r="A32" s="50"/>
      <c r="B32" s="50"/>
      <c r="C32" s="52"/>
      <c r="D32" s="70" t="str">
        <f ca="1">IF(E32&lt;$A$4,"Actual","Model Num")</f>
        <v>Model Num</v>
      </c>
      <c r="E32" s="71">
        <f>DATE(YEAR(E31),MONTH(E31)+6,DAY(E31))</f>
        <v>42491</v>
      </c>
      <c r="F32" s="74">
        <f ca="1">MAX(IF(ISERROR(VLOOKUP(E32,$A$12:$B$52,2,0)),VLOOKUP(E32,$P$11:$S$52,4,0)/1000000,(VLOOKUP(E32,$A$12:$B$52,2,0))),0)</f>
        <v>0.20437269635841973</v>
      </c>
      <c r="G32" s="128">
        <f ca="1">F32*1000000</f>
        <v>204372.69635841972</v>
      </c>
      <c r="H32" s="64"/>
      <c r="I32" s="80">
        <f>E32</f>
        <v>42491</v>
      </c>
      <c r="J32" s="210">
        <f>$M$12*$N$7</f>
        <v>42808.98</v>
      </c>
      <c r="K32" s="88">
        <f>($F$7/360)*($O$2/100)*M31</f>
        <v>19489.951896132348</v>
      </c>
      <c r="L32" s="90">
        <f>J32-K32</f>
        <v>23319.028103867655</v>
      </c>
      <c r="M32" s="79">
        <f>M31-L32</f>
        <v>640733.84740319697</v>
      </c>
      <c r="N32" s="126">
        <f>L32/M31</f>
        <v>3.5116221861190587E-2</v>
      </c>
      <c r="O32" s="52"/>
      <c r="P32" s="80">
        <f>I32</f>
        <v>42491</v>
      </c>
      <c r="Q32" s="97">
        <f ca="1">S31*N32</f>
        <v>7635.8344665802697</v>
      </c>
      <c r="R32" s="98">
        <f ca="1">S31*$C$2/2</f>
        <v>5436.1161750000001</v>
      </c>
      <c r="S32" s="99">
        <f ca="1">IF(P32&lt;$A$4,(VLOOKUP(P32,$A$11:$B$52,2,0)*$S$12),(S31-(Q32+R32)))</f>
        <v>204372.69635841972</v>
      </c>
      <c r="U32" s="80">
        <f>P32</f>
        <v>42491</v>
      </c>
      <c r="V32" s="97">
        <f ca="1">IF(U32&lt;$A$4,0,(YEARFRAC($A$4,U32,1)))</f>
        <v>6.2841530054644809E-2</v>
      </c>
      <c r="W32" s="141">
        <f ca="1">V32*(S31-S32)</f>
        <v>821.46137911570031</v>
      </c>
    </row>
    <row r="33" spans="1:23">
      <c r="A33" s="50"/>
      <c r="B33" s="50"/>
      <c r="C33" s="52"/>
      <c r="D33" s="70" t="str">
        <f ca="1">IF(E33&lt;$A$4,"Actual","Model Num")</f>
        <v>Model Num</v>
      </c>
      <c r="E33" s="71">
        <f>DATE(YEAR(E32),MONTH(E32)+6,DAY(E32))</f>
        <v>42675</v>
      </c>
      <c r="F33" s="74">
        <f ca="1">MAX(IF(ISERROR(VLOOKUP(E33,$A$12:$B$52,2,0)),VLOOKUP(E33,$P$11:$S$52,4,0)/1000000,(VLOOKUP(E33,$A$12:$B$52,2,0))),0)</f>
        <v>0.19160708281775662</v>
      </c>
      <c r="G33" s="128">
        <f ca="1">F33*1000000</f>
        <v>191607.08281775663</v>
      </c>
      <c r="H33" s="64"/>
      <c r="I33" s="80">
        <f>E33</f>
        <v>42675</v>
      </c>
      <c r="J33" s="210">
        <f>$M$12*$N$7</f>
        <v>42808.98</v>
      </c>
      <c r="K33" s="88">
        <f>($F$7/360)*($O$2/100)*M32</f>
        <v>18805.538421283833</v>
      </c>
      <c r="L33" s="90">
        <f>J33-K33</f>
        <v>24003.441578716171</v>
      </c>
      <c r="M33" s="79">
        <f>M32-L33</f>
        <v>616730.40582448081</v>
      </c>
      <c r="N33" s="126">
        <f>L33/M32</f>
        <v>3.7462421684134058E-2</v>
      </c>
      <c r="O33" s="52"/>
      <c r="P33" s="80">
        <f>I33</f>
        <v>42675</v>
      </c>
      <c r="Q33" s="97">
        <f ca="1">S32*N33</f>
        <v>7656.2961317026084</v>
      </c>
      <c r="R33" s="98">
        <f ca="1">S32*$C$2/2</f>
        <v>5109.3174089604936</v>
      </c>
      <c r="S33" s="99">
        <f ca="1">IF(P33&lt;$A$4,(VLOOKUP(P33,$A$11:$B$52,2,0)*$S$12),(S32-(Q33+R33)))</f>
        <v>191607.08281775663</v>
      </c>
      <c r="U33" s="80">
        <f>P33</f>
        <v>42675</v>
      </c>
      <c r="V33" s="97">
        <f ca="1">IF(U33&lt;$A$4,0,(YEARFRAC($A$4,U33,1)))</f>
        <v>0.56557377049180324</v>
      </c>
      <c r="W33" s="141">
        <f ca="1">V33*(S32-S33)</f>
        <v>7219.8961828340434</v>
      </c>
    </row>
    <row r="34" spans="1:23">
      <c r="A34" s="50"/>
      <c r="B34" s="50"/>
      <c r="C34" s="52"/>
      <c r="D34" s="70" t="str">
        <f ca="1">IF(E34&lt;$A$4,"Actual","Model Num")</f>
        <v>Model Num</v>
      </c>
      <c r="E34" s="71">
        <f>DATE(YEAR(E33),MONTH(E33)+6,DAY(E33))</f>
        <v>42856</v>
      </c>
      <c r="F34" s="74">
        <f ca="1">MAX(IF(ISERROR(VLOOKUP(E34,$A$12:$B$52,2,0)),VLOOKUP(E34,$P$11:$S$52,4,0)/1000000,(VLOOKUP(E34,$A$12:$B$52,2,0))),0)</f>
        <v>0.17914059084990175</v>
      </c>
      <c r="G34" s="128">
        <f ca="1">F34*1000000</f>
        <v>179140.59084990175</v>
      </c>
      <c r="H34" s="64"/>
      <c r="I34" s="80">
        <f>E34</f>
        <v>42856</v>
      </c>
      <c r="J34" s="210">
        <f>$M$12*$N$7</f>
        <v>42808.98</v>
      </c>
      <c r="K34" s="88">
        <f>($F$7/360)*($O$2/100)*M33</f>
        <v>18101.037410948513</v>
      </c>
      <c r="L34" s="90">
        <f>J34-K34</f>
        <v>24707.94258905149</v>
      </c>
      <c r="M34" s="79">
        <f>M33-L34</f>
        <v>592022.46323542937</v>
      </c>
      <c r="N34" s="126">
        <f>L34/M33</f>
        <v>4.0062793005998278E-2</v>
      </c>
      <c r="O34" s="52"/>
      <c r="P34" s="80">
        <f>I34</f>
        <v>42856</v>
      </c>
      <c r="Q34" s="97">
        <f ca="1">S33*N34</f>
        <v>7676.3148974109527</v>
      </c>
      <c r="R34" s="98">
        <f ca="1">S33*$C$2/2</f>
        <v>4790.1770704439159</v>
      </c>
      <c r="S34" s="99">
        <f ca="1">IF(P34&lt;$A$4,(VLOOKUP(P34,$A$11:$B$52,2,0)*$S$12),(S33-(Q34+R34)))</f>
        <v>179140.59084990175</v>
      </c>
      <c r="U34" s="80">
        <f>P34</f>
        <v>42856</v>
      </c>
      <c r="V34" s="97">
        <f ca="1">IF(U34&lt;$A$4,0,(YEARFRAC($A$4,U34,1)))</f>
        <v>1.0615595075239399</v>
      </c>
      <c r="W34" s="141">
        <f ca="1">V34*(S33-S34)</f>
        <v>13233.923073947175</v>
      </c>
    </row>
    <row r="35" spans="1:23">
      <c r="A35" s="31"/>
      <c r="B35" s="31"/>
      <c r="D35" s="70" t="str">
        <f ca="1">IF(E35&lt;$A$4,"Actual","Model Num")</f>
        <v>Model Num</v>
      </c>
      <c r="E35" s="71">
        <f>DATE(YEAR(E34),MONTH(E34)+6,DAY(E34))</f>
        <v>43040</v>
      </c>
      <c r="F35" s="74">
        <f ca="1">MAX(IF(ISERROR(VLOOKUP(E35,$A$12:$B$52,2,0)),VLOOKUP(E35,$P$11:$S$52,4,0)/1000000,(VLOOKUP(E35,$A$12:$B$52,2,0))),0)</f>
        <v>0.16696624601643104</v>
      </c>
      <c r="G35" s="128">
        <f ca="1">F35*1000000</f>
        <v>166966.24601643105</v>
      </c>
      <c r="I35" s="80">
        <f>E35</f>
        <v>43040</v>
      </c>
      <c r="J35" s="210">
        <f>$M$12*$N$7</f>
        <v>42808.98</v>
      </c>
      <c r="K35" s="88">
        <f>($F$7/360)*($O$2/100)*M34</f>
        <v>17375.859295959854</v>
      </c>
      <c r="L35" s="90">
        <f>J35-K35</f>
        <v>25433.12070404015</v>
      </c>
      <c r="M35" s="79">
        <f>M34-L35</f>
        <v>566589.34253138921</v>
      </c>
      <c r="N35" s="126">
        <f>L35/M34</f>
        <v>4.295972244878514E-2</v>
      </c>
      <c r="O35" s="52"/>
      <c r="P35" s="80">
        <f>I35</f>
        <v>43040</v>
      </c>
      <c r="Q35" s="97">
        <f ca="1">S34*N35</f>
        <v>7695.8300622231582</v>
      </c>
      <c r="R35" s="98">
        <f ca="1">S34*$C$2/2</f>
        <v>4478.5147712475436</v>
      </c>
      <c r="S35" s="99">
        <f ca="1">IF(P35&lt;$A$4,(VLOOKUP(P35,$A$11:$B$52,2,0)*$S$12),(S34-(Q35+R35)))</f>
        <v>166966.24601643105</v>
      </c>
      <c r="U35" s="80">
        <f>P35</f>
        <v>43040</v>
      </c>
      <c r="V35" s="97">
        <f ca="1">IF(U35&lt;$A$4,0,(YEARFRAC($A$4,U35,1)))</f>
        <v>1.5649794801641588</v>
      </c>
      <c r="W35" s="141">
        <f ca="1">V35*(S34-S35)</f>
        <v>19052.599848824197</v>
      </c>
    </row>
    <row r="36" spans="1:23">
      <c r="A36" s="31"/>
      <c r="B36" s="31"/>
      <c r="D36" s="70" t="str">
        <f ca="1">IF(E36&lt;$A$4,"Actual","Model Num")</f>
        <v>Model Num</v>
      </c>
      <c r="E36" s="71">
        <f>DATE(YEAR(E35),MONTH(E35)+6,DAY(E35))</f>
        <v>43221</v>
      </c>
      <c r="F36" s="74">
        <f ca="1">MAX(IF(ISERROR(VLOOKUP(E36,$A$12:$B$52,2,0)),VLOOKUP(E36,$P$11:$S$52,4,0)/1000000,(VLOOKUP(E36,$A$12:$B$52,2,0))),0)</f>
        <v>0.15507731951345261</v>
      </c>
      <c r="G36" s="128">
        <f ca="1">F36*1000000</f>
        <v>155077.31951345262</v>
      </c>
      <c r="I36" s="80">
        <f>E36</f>
        <v>43221</v>
      </c>
      <c r="J36" s="210">
        <f>$M$12*$N$7</f>
        <v>42808.98</v>
      </c>
      <c r="K36" s="88">
        <f>($F$7/360)*($O$2/100)*M35</f>
        <v>16629.397203296274</v>
      </c>
      <c r="L36" s="90">
        <f>J36-K36</f>
        <v>26179.582796703729</v>
      </c>
      <c r="M36" s="79">
        <f>M35-L36</f>
        <v>540409.75973468553</v>
      </c>
      <c r="N36" s="126">
        <f>L36/M35</f>
        <v>4.620556871002806E-2</v>
      </c>
      <c r="O36" s="52"/>
      <c r="P36" s="80">
        <f>I36</f>
        <v>43221</v>
      </c>
      <c r="Q36" s="97">
        <f ca="1">S35*N36</f>
        <v>7714.7703525676534</v>
      </c>
      <c r="R36" s="98">
        <f ca="1">S35*$C$2/2</f>
        <v>4174.1561504107767</v>
      </c>
      <c r="S36" s="99">
        <f ca="1">IF(P36&lt;$A$4,(VLOOKUP(P36,$A$11:$B$52,2,0)*$S$12),(S35-(Q36+R36)))</f>
        <v>155077.31951345262</v>
      </c>
      <c r="U36" s="80">
        <f>P36</f>
        <v>43221</v>
      </c>
      <c r="V36" s="97">
        <f ca="1">IF(U36&lt;$A$4,0,(YEARFRAC($A$4,U36,1)))</f>
        <v>2.0611313868613141</v>
      </c>
      <c r="W36" s="141">
        <f ca="1">V36*(S35-S36)</f>
        <v>24504.639571376163</v>
      </c>
    </row>
    <row r="37" spans="1:23">
      <c r="A37" s="31"/>
      <c r="B37" s="31"/>
      <c r="D37" s="70" t="str">
        <f ca="1">IF(E37&lt;$A$4,"Actual","Model Num")</f>
        <v>Model Num</v>
      </c>
      <c r="E37" s="71">
        <f>DATE(YEAR(E36),MONTH(E36)+6,DAY(E36))</f>
        <v>43405</v>
      </c>
      <c r="F37" s="74">
        <f ca="1">MAX(IF(ISERROR(VLOOKUP(E37,$A$12:$B$52,2,0)),VLOOKUP(E37,$P$11:$S$52,4,0)/1000000,(VLOOKUP(E37,$A$12:$B$52,2,0))),0)</f>
        <v>0.14346733521056262</v>
      </c>
      <c r="G37" s="128">
        <f ca="1">F37*1000000</f>
        <v>143467.33521056263</v>
      </c>
      <c r="I37" s="80">
        <f>E37</f>
        <v>43405</v>
      </c>
      <c r="J37" s="210">
        <f>$M$12*$N$7</f>
        <v>42808.98</v>
      </c>
      <c r="K37" s="88">
        <f>($F$7/360)*($O$2/100)*M36</f>
        <v>15861.026448213021</v>
      </c>
      <c r="L37" s="90">
        <f>J37-K37</f>
        <v>26947.953551786981</v>
      </c>
      <c r="M37" s="79">
        <f>M36-L37</f>
        <v>513461.80618289858</v>
      </c>
      <c r="N37" s="126">
        <f>L37/M36</f>
        <v>4.9865778821272758E-2</v>
      </c>
      <c r="O37" s="52"/>
      <c r="P37" s="80">
        <f>I37</f>
        <v>43405</v>
      </c>
      <c r="Q37" s="97">
        <f ca="1">S36*N37</f>
        <v>7733.0513150536744</v>
      </c>
      <c r="R37" s="98">
        <f ca="1">S36*$C$2/2</f>
        <v>3876.9329878363155</v>
      </c>
      <c r="S37" s="99">
        <f ca="1">IF(P37&lt;$A$4,(VLOOKUP(P37,$A$11:$B$52,2,0)*$S$12),(S36-(Q37+R37)))</f>
        <v>143467.33521056263</v>
      </c>
      <c r="U37" s="80">
        <f>P37</f>
        <v>43405</v>
      </c>
      <c r="V37" s="97">
        <f ca="1">IF(U37&lt;$A$4,0,(YEARFRAC($A$4,U37,1)))</f>
        <v>2.5647810218978102</v>
      </c>
      <c r="W37" s="141">
        <f ca="1">V37*(S36-S37)</f>
        <v>29777.06740458373</v>
      </c>
    </row>
    <row r="38" spans="1:23">
      <c r="A38" s="31"/>
      <c r="B38" s="31"/>
      <c r="D38" s="70" t="str">
        <f ca="1">IF(E38&lt;$A$4,"Actual","Model Num")</f>
        <v>Model Num</v>
      </c>
      <c r="E38" s="71">
        <f>DATE(YEAR(E37),MONTH(E37)+6,DAY(E37))</f>
        <v>43586</v>
      </c>
      <c r="F38" s="74">
        <f ca="1">MAX(IF(ISERROR(VLOOKUP(E38,$A$12:$B$52,2,0)),VLOOKUP(E38,$P$11:$S$52,4,0)/1000000,(VLOOKUP(E38,$A$12:$B$52,2,0))),0)</f>
        <v>0.13213007998271431</v>
      </c>
      <c r="G38" s="128">
        <f ca="1">F38*1000000</f>
        <v>132130.07998271432</v>
      </c>
      <c r="I38" s="80">
        <f>E38</f>
        <v>43586</v>
      </c>
      <c r="J38" s="210">
        <f>$M$12*$N$7</f>
        <v>42808.98</v>
      </c>
      <c r="K38" s="88">
        <f>($F$7/360)*($O$2/100)*M37</f>
        <v>15070.104011468075</v>
      </c>
      <c r="L38" s="90">
        <f>J38-K38</f>
        <v>27738.87598853193</v>
      </c>
      <c r="M38" s="79">
        <f>M37-L38</f>
        <v>485722.93019436667</v>
      </c>
      <c r="N38" s="126">
        <f>L38/M37</f>
        <v>5.4023250910801249E-2</v>
      </c>
      <c r="O38" s="52"/>
      <c r="P38" s="80">
        <f>I38</f>
        <v>43586</v>
      </c>
      <c r="Q38" s="97">
        <f ca="1">S37*N38</f>
        <v>7750.571847584255</v>
      </c>
      <c r="R38" s="98">
        <f ca="1">S37*$C$2/2</f>
        <v>3586.6833802640658</v>
      </c>
      <c r="S38" s="99">
        <f ca="1">IF(P38&lt;$A$4,(VLOOKUP(P38,$A$11:$B$52,2,0)*$S$12),(S37-(Q38+R38)))</f>
        <v>132130.07998271432</v>
      </c>
      <c r="U38" s="80">
        <f>P38</f>
        <v>43586</v>
      </c>
      <c r="V38" s="97">
        <f ca="1">IF(U38&lt;$A$4,0,(YEARFRAC($A$4,U38,1)))</f>
        <v>3.0609171800136892</v>
      </c>
      <c r="W38" s="141">
        <f ca="1">V38*(S37-S38)</f>
        <v>34702.399301120888</v>
      </c>
    </row>
    <row r="39" spans="1:23">
      <c r="A39" s="31"/>
      <c r="B39" s="31"/>
      <c r="D39" s="70" t="str">
        <f ca="1">IF(E39&lt;$A$4,"Actual","Model Num")</f>
        <v>Model Num</v>
      </c>
      <c r="E39" s="71">
        <f>DATE(YEAR(E38),MONTH(E38)+6,DAY(E38))</f>
        <v>43770</v>
      </c>
      <c r="F39" s="74">
        <f ca="1">MAX(IF(ISERROR(VLOOKUP(E39,$A$12:$B$52,2,0)),VLOOKUP(E39,$P$11:$S$52,4,0)/1000000,(VLOOKUP(E39,$A$12:$B$52,2,0))),0)</f>
        <v>0.12105961848031624</v>
      </c>
      <c r="G39" s="128">
        <f ca="1">F39*1000000</f>
        <v>121059.61848031623</v>
      </c>
      <c r="I39" s="80">
        <f>E39</f>
        <v>43770</v>
      </c>
      <c r="J39" s="210">
        <f>$M$12*$N$7</f>
        <v>42808.98</v>
      </c>
      <c r="K39" s="88">
        <f>($F$7/360)*($O$2/100)*M38</f>
        <v>14255.968001204663</v>
      </c>
      <c r="L39" s="90">
        <f>J39-K39</f>
        <v>28553.01199879534</v>
      </c>
      <c r="M39" s="79">
        <f>M38-L39</f>
        <v>457169.91819557134</v>
      </c>
      <c r="N39" s="126">
        <f>L39/M38</f>
        <v>5.8784566722780783E-2</v>
      </c>
      <c r="O39" s="52"/>
      <c r="P39" s="80">
        <f>I39</f>
        <v>43770</v>
      </c>
      <c r="Q39" s="97">
        <f ca="1">S38*N39</f>
        <v>7767.209502830231</v>
      </c>
      <c r="R39" s="98">
        <f ca="1">S38*$C$2/2</f>
        <v>3303.2519995678581</v>
      </c>
      <c r="S39" s="99">
        <f ca="1">IF(P39&lt;$A$4,(VLOOKUP(P39,$A$11:$B$52,2,0)*$S$12),(S38-(Q39+R39)))</f>
        <v>121059.61848031623</v>
      </c>
      <c r="U39" s="80">
        <f>P39</f>
        <v>43770</v>
      </c>
      <c r="V39" s="97">
        <f ca="1">IF(U39&lt;$A$4,0,(YEARFRAC($A$4,U39,1)))</f>
        <v>3.5646817248459959</v>
      </c>
      <c r="W39" s="141">
        <f ca="1">V39*(S38-S39)</f>
        <v>39462.671803209611</v>
      </c>
    </row>
    <row r="40" spans="1:23">
      <c r="A40" s="31"/>
      <c r="B40" s="31"/>
      <c r="D40" s="70" t="str">
        <f ca="1">IF(E40&lt;$A$4,"Actual","Model Num")</f>
        <v>Model Num</v>
      </c>
      <c r="E40" s="71">
        <f>DATE(YEAR(E39),MONTH(E39)+6,DAY(E39))</f>
        <v>43952</v>
      </c>
      <c r="F40" s="74">
        <f ca="1">MAX(IF(ISERROR(VLOOKUP(E40,$A$12:$B$52,2,0)),VLOOKUP(E40,$P$11:$S$52,4,0)/1000000,(VLOOKUP(E40,$A$12:$B$52,2,0))),0)</f>
        <v>0.11025031401695767</v>
      </c>
      <c r="G40" s="128">
        <f ca="1">F40*1000000</f>
        <v>110250.31401695768</v>
      </c>
      <c r="I40" s="80">
        <f>E40</f>
        <v>43952</v>
      </c>
      <c r="J40" s="210">
        <f>$M$12*$N$7</f>
        <v>42808.98</v>
      </c>
      <c r="K40" s="88">
        <f>($F$7/360)*($O$2/100)*M39</f>
        <v>13417.93709904002</v>
      </c>
      <c r="L40" s="90">
        <f>J40-K40</f>
        <v>29391.042900959983</v>
      </c>
      <c r="M40" s="79">
        <f>M39-L40</f>
        <v>427778.87529461138</v>
      </c>
      <c r="N40" s="126">
        <f>L40/M39</f>
        <v>6.4289100684850567E-2</v>
      </c>
      <c r="O40" s="52"/>
      <c r="P40" s="80">
        <f>I40</f>
        <v>43952</v>
      </c>
      <c r="Q40" s="97">
        <f ca="1">S39*N40</f>
        <v>7782.8140013506463</v>
      </c>
      <c r="R40" s="98">
        <f ca="1">S39*$C$2/2</f>
        <v>3026.490462007906</v>
      </c>
      <c r="S40" s="99">
        <f ca="1">IF(P40&lt;$A$4,(VLOOKUP(P40,$A$11:$B$52,2,0)*$S$12),(S39-(Q40+R40)))</f>
        <v>110250.31401695768</v>
      </c>
      <c r="U40" s="80">
        <f>P40</f>
        <v>43952</v>
      </c>
      <c r="V40" s="97">
        <f ca="1">IF(U40&lt;$A$4,0,(YEARFRAC($A$4,U40,1)))</f>
        <v>4.0613026819923377</v>
      </c>
      <c r="W40" s="141">
        <f ca="1">V40*(S39-S40)</f>
        <v>43899.857207509835</v>
      </c>
    </row>
    <row r="41" spans="1:23">
      <c r="A41" s="31"/>
      <c r="B41" s="31"/>
      <c r="D41" s="70" t="str">
        <f ca="1">IF(E41&lt;$A$4,"Actual","Model Num")</f>
        <v>Model Num</v>
      </c>
      <c r="E41" s="71">
        <f>DATE(YEAR(E40),MONTH(E40)+6,DAY(E40))</f>
        <v>44136</v>
      </c>
      <c r="F41" s="74">
        <f ca="1">MAX(IF(ISERROR(VLOOKUP(E41,$A$12:$B$52,2,0)),VLOOKUP(E41,$P$11:$S$52,4,0)/1000000,(VLOOKUP(E41,$A$12:$B$52,2,0))),0)</f>
        <v>9.9696858101336758E-2</v>
      </c>
      <c r="G41" s="128">
        <f ca="1">F41*1000000</f>
        <v>99696.858101336751</v>
      </c>
      <c r="I41" s="80">
        <f>E41</f>
        <v>44136</v>
      </c>
      <c r="J41" s="210">
        <f>$M$12*$N$7</f>
        <v>42808.98</v>
      </c>
      <c r="K41" s="88">
        <f>($F$7/360)*($O$2/100)*M40</f>
        <v>12555.309989896845</v>
      </c>
      <c r="L41" s="90">
        <f>J41-K41</f>
        <v>30253.67001010316</v>
      </c>
      <c r="M41" s="79">
        <f>M40-L41</f>
        <v>397525.20528450824</v>
      </c>
      <c r="N41" s="126">
        <f>L41/M40</f>
        <v>7.0722683510885037E-2</v>
      </c>
      <c r="O41" s="52"/>
      <c r="P41" s="80">
        <f>I41</f>
        <v>44136</v>
      </c>
      <c r="Q41" s="97">
        <f ca="1">S40*N41</f>
        <v>7797.1980651969907</v>
      </c>
      <c r="R41" s="98">
        <f ca="1">S40*$C$2/2</f>
        <v>2756.2578504239423</v>
      </c>
      <c r="S41" s="99">
        <f ca="1">IF(P41&lt;$A$4,(VLOOKUP(P41,$A$11:$B$52,2,0)*$S$12),(S40-(Q41+R41)))</f>
        <v>99696.858101336751</v>
      </c>
      <c r="U41" s="80">
        <f>P41</f>
        <v>44136</v>
      </c>
      <c r="V41" s="97">
        <f ca="1">IF(U41&lt;$A$4,0,(YEARFRAC($A$4,U41,1)))</f>
        <v>4.5648604269293926</v>
      </c>
      <c r="W41" s="141">
        <f ca="1">V41*(S40-S41)</f>
        <v>48175.053276561877</v>
      </c>
    </row>
    <row r="42" spans="1:23">
      <c r="A42" s="31"/>
      <c r="B42" s="31"/>
      <c r="D42" s="70" t="str">
        <f ca="1">IF(E42&lt;$A$4,"Actual","Model Num")</f>
        <v>Model Num</v>
      </c>
      <c r="E42" s="71">
        <f>DATE(YEAR(E41),MONTH(E41)+6,DAY(E41))</f>
        <v>44317</v>
      </c>
      <c r="F42" s="74">
        <f ca="1">MAX(IF(ISERROR(VLOOKUP(E42,$A$12:$B$52,2,0)),VLOOKUP(E42,$P$11:$S$52,4,0)/1000000,(VLOOKUP(E42,$A$12:$B$52,2,0))),0)</f>
        <v>8.9394312528746078E-2</v>
      </c>
      <c r="G42" s="128">
        <f ca="1">F42*1000000</f>
        <v>89394.312528746072</v>
      </c>
      <c r="I42" s="80">
        <f>E42</f>
        <v>44317</v>
      </c>
      <c r="J42" s="210">
        <f>$M$12*$N$7</f>
        <v>42808.98</v>
      </c>
      <c r="K42" s="88">
        <f>($F$7/360)*($O$2/100)*M41</f>
        <v>11667.364775100317</v>
      </c>
      <c r="L42" s="90">
        <f>J42-K42</f>
        <v>31141.615224899688</v>
      </c>
      <c r="M42" s="79">
        <f>M41-L42</f>
        <v>366383.59005960857</v>
      </c>
      <c r="N42" s="126">
        <f>L42/M41</f>
        <v>7.8338718679766925E-2</v>
      </c>
      <c r="O42" s="52"/>
      <c r="P42" s="80">
        <f>I42</f>
        <v>44317</v>
      </c>
      <c r="Q42" s="97">
        <f ca="1">S41*N42</f>
        <v>7810.1241200572622</v>
      </c>
      <c r="R42" s="98">
        <f ca="1">S41*$C$2/2</f>
        <v>2492.4214525334191</v>
      </c>
      <c r="S42" s="99">
        <f ca="1">IF(P42&lt;$A$4,(VLOOKUP(P42,$A$11:$B$52,2,0)*$S$12),(S41-(Q42+R42)))</f>
        <v>89394.312528746072</v>
      </c>
      <c r="U42" s="80">
        <f>P42</f>
        <v>44317</v>
      </c>
      <c r="V42" s="97">
        <f ca="1">IF(U42&lt;$A$4,0,(YEARFRAC($A$4,U42,1)))</f>
        <v>5.0611313868613141</v>
      </c>
      <c r="W42" s="141">
        <f ca="1">V42*(S41-S42)</f>
        <v>52142.53676200776</v>
      </c>
    </row>
    <row r="43" spans="1:23">
      <c r="A43" s="31"/>
      <c r="B43" s="31"/>
      <c r="D43" s="70" t="str">
        <f ca="1">IF(E43&lt;$A$4,"Actual","Model Num")</f>
        <v>Model Num</v>
      </c>
      <c r="E43" s="71">
        <f>DATE(YEAR(E42),MONTH(E42)+6,DAY(E42))</f>
        <v>44501</v>
      </c>
      <c r="F43" s="74">
        <f ca="1">MAX(IF(ISERROR(VLOOKUP(E43,$A$12:$B$52,2,0)),VLOOKUP(E43,$P$11:$S$52,4,0)/1000000,(VLOOKUP(E43,$A$12:$B$52,2,0))),0)</f>
        <v>7.9338170312517678E-2</v>
      </c>
      <c r="G43" s="128">
        <f ca="1">F43*1000000</f>
        <v>79338.170312517672</v>
      </c>
      <c r="I43" s="80">
        <f>E43</f>
        <v>44501</v>
      </c>
      <c r="J43" s="210">
        <f>$M$12*$N$7</f>
        <v>42808.98</v>
      </c>
      <c r="K43" s="88">
        <f>($F$7/360)*($O$2/100)*M42</f>
        <v>10753.358368249512</v>
      </c>
      <c r="L43" s="90">
        <f>J43-K43</f>
        <v>32055.621631750491</v>
      </c>
      <c r="M43" s="79">
        <f>M42-L43</f>
        <v>334327.96842785808</v>
      </c>
      <c r="N43" s="126">
        <f>L43/M42</f>
        <v>8.7491968803884532E-2</v>
      </c>
      <c r="O43" s="52"/>
      <c r="P43" s="80">
        <f>I43</f>
        <v>44501</v>
      </c>
      <c r="Q43" s="97">
        <f ca="1">S42*N43</f>
        <v>7821.2844030097558</v>
      </c>
      <c r="R43" s="98">
        <f ca="1">S42*$C$2/2</f>
        <v>2234.8578132186517</v>
      </c>
      <c r="S43" s="99">
        <f ca="1">IF(P43&lt;$A$4,(VLOOKUP(P43,$A$11:$B$52,2,0)*$S$12),(S42-(Q43+R43)))</f>
        <v>79338.170312517672</v>
      </c>
      <c r="U43" s="80">
        <f>P43</f>
        <v>44501</v>
      </c>
      <c r="V43" s="97">
        <f ca="1">IF(U43&lt;$A$4,0,(YEARFRAC($A$4,U43,1)))</f>
        <v>5.5647810218978107</v>
      </c>
      <c r="W43" s="141">
        <f ca="1">V43*(S42-S43)</f>
        <v>55960.229358373188</v>
      </c>
    </row>
    <row r="44" spans="1:23">
      <c r="A44" s="31"/>
      <c r="B44" s="31"/>
      <c r="D44" s="70" t="str">
        <f ca="1">IF(E44&lt;$A$4,"Actual","Model Num")</f>
        <v>Model Num</v>
      </c>
      <c r="E44" s="71">
        <f>DATE(YEAR(E43),MONTH(E43)+6,DAY(E43))</f>
        <v>44682</v>
      </c>
      <c r="F44" s="74">
        <f ca="1">MAX(IF(ISERROR(VLOOKUP(E44,$A$12:$B$52,2,0)),VLOOKUP(E44,$P$11:$S$52,4,0)/1000000,(VLOOKUP(E44,$A$12:$B$52,2,0))),0)</f>
        <v>6.9524445947423477E-2</v>
      </c>
      <c r="G44" s="128">
        <f ca="1">F44*1000000</f>
        <v>69524.445947423475</v>
      </c>
      <c r="I44" s="80">
        <f>E44</f>
        <v>44682</v>
      </c>
      <c r="J44" s="210">
        <f>$M$12*$N$7</f>
        <v>42808.98</v>
      </c>
      <c r="K44" s="88">
        <f>($F$7/360)*($O$2/100)*M43</f>
        <v>9812.5258733576356</v>
      </c>
      <c r="L44" s="90">
        <f>J44-K44</f>
        <v>32996.454126642369</v>
      </c>
      <c r="M44" s="79">
        <f>M43-L44</f>
        <v>301331.51430121571</v>
      </c>
      <c r="N44" s="126">
        <f>L44/M43</f>
        <v>9.8694866247070814E-2</v>
      </c>
      <c r="O44" s="52"/>
      <c r="P44" s="80">
        <f>I44</f>
        <v>44682</v>
      </c>
      <c r="Q44" s="97">
        <f ca="1">S43*N44</f>
        <v>7830.2701072812561</v>
      </c>
      <c r="R44" s="98">
        <f ca="1">S43*$C$2/2</f>
        <v>1983.4542578129419</v>
      </c>
      <c r="S44" s="99">
        <f ca="1">IF(P44&lt;$A$4,(VLOOKUP(P44,$A$11:$B$52,2,0)*$S$12),(S43-(Q44+R44)))</f>
        <v>69524.445947423475</v>
      </c>
      <c r="U44" s="80">
        <f>P44</f>
        <v>44682</v>
      </c>
      <c r="V44" s="97">
        <f ca="1">IF(U44&lt;$A$4,0,(YEARFRAC($A$4,U44,1)))</f>
        <v>6.0610089949159169</v>
      </c>
      <c r="W44" s="141">
        <f ca="1">V44*(S43-S44)</f>
        <v>59481.071650461417</v>
      </c>
    </row>
    <row r="45" spans="1:23">
      <c r="A45" s="31"/>
      <c r="B45" s="31"/>
      <c r="D45" s="70" t="str">
        <f ca="1">IF(E45&lt;$A$4,"Actual","Model Num")</f>
        <v>Model Num</v>
      </c>
      <c r="E45" s="71">
        <f>DATE(YEAR(E44),MONTH(E44)+6,DAY(E44))</f>
        <v>44866</v>
      </c>
      <c r="F45" s="74">
        <f ca="1">MAX(IF(ISERROR(VLOOKUP(E45,$A$12:$B$52,2,0)),VLOOKUP(E45,$P$11:$S$52,4,0)/1000000,(VLOOKUP(E45,$A$12:$B$52,2,0))),0)</f>
        <v>5.9949813406418355E-2</v>
      </c>
      <c r="G45" s="128">
        <f ca="1">F45*1000000</f>
        <v>59949.813406418354</v>
      </c>
      <c r="I45" s="80">
        <f>E45</f>
        <v>44866</v>
      </c>
      <c r="J45" s="210">
        <f>$M$12*$N$7</f>
        <v>42808.98</v>
      </c>
      <c r="K45" s="88">
        <f>($F$7/360)*($O$2/100)*M44</f>
        <v>8844.0799447406807</v>
      </c>
      <c r="L45" s="90">
        <f>J45-K45</f>
        <v>33964.900055259321</v>
      </c>
      <c r="M45" s="79">
        <f>M44-L45</f>
        <v>267366.61424595641</v>
      </c>
      <c r="N45" s="126">
        <f>L45/M44</f>
        <v>0.11271605671256632</v>
      </c>
      <c r="O45" s="52"/>
      <c r="P45" s="80">
        <f>I45</f>
        <v>44866</v>
      </c>
      <c r="Q45" s="97">
        <f ca="1">S44*N45</f>
        <v>7836.5213923195361</v>
      </c>
      <c r="R45" s="98">
        <f ca="1">S44*$C$2/2</f>
        <v>1738.1111486855871</v>
      </c>
      <c r="S45" s="99">
        <f ca="1">IF(P45&lt;$A$4,(VLOOKUP(P45,$A$11:$B$52,2,0)*$S$12),(S44-(Q45+R45)))</f>
        <v>59949.813406418354</v>
      </c>
      <c r="U45" s="80">
        <f>P45</f>
        <v>44866</v>
      </c>
      <c r="V45" s="97">
        <f ca="1">IF(U45&lt;$A$4,0,(YEARFRAC($A$4,U45,1)))</f>
        <v>6.564724286272976</v>
      </c>
      <c r="W45" s="141">
        <f ca="1">V45*(S44-S45)</f>
        <v>62854.822774075852</v>
      </c>
    </row>
    <row r="46" spans="1:23">
      <c r="A46" s="31"/>
      <c r="B46" s="31"/>
      <c r="D46" s="70" t="str">
        <f ca="1">IF(E46&lt;$A$4,"Actual","Model Num")</f>
        <v>Model Num</v>
      </c>
      <c r="E46" s="71">
        <f>DATE(YEAR(E45),MONTH(E45)+6,DAY(E45))</f>
        <v>45047</v>
      </c>
      <c r="F46" s="74">
        <f ca="1">MAX(IF(ISERROR(VLOOKUP(E46,$A$12:$B$52,2,0)),VLOOKUP(E46,$P$11:$S$52,4,0)/1000000,(VLOOKUP(E46,$A$12:$B$52,2,0))),0)</f>
        <v>5.0611826114708658E-2</v>
      </c>
      <c r="G46" s="128">
        <f ca="1">F46*1000000</f>
        <v>50611.82611470866</v>
      </c>
      <c r="I46" s="80">
        <f>E46</f>
        <v>45047</v>
      </c>
      <c r="J46" s="210">
        <f>$M$12*$N$7</f>
        <v>42808.98</v>
      </c>
      <c r="K46" s="88">
        <f>($F$7/360)*($O$2/100)*M45</f>
        <v>7847.2101281188206</v>
      </c>
      <c r="L46" s="90">
        <f>J46-K46</f>
        <v>34961.769871881181</v>
      </c>
      <c r="M46" s="79">
        <f>M45-L46</f>
        <v>232404.84437407524</v>
      </c>
      <c r="N46" s="126">
        <f>L46/M45</f>
        <v>0.13076340877668099</v>
      </c>
      <c r="O46" s="52"/>
      <c r="P46" s="80">
        <f>I46</f>
        <v>45047</v>
      </c>
      <c r="Q46" s="97">
        <f ca="1">S45*N46</f>
        <v>7839.2419565492337</v>
      </c>
      <c r="R46" s="98">
        <f ca="1">S45*$C$2/2</f>
        <v>1498.745335160459</v>
      </c>
      <c r="S46" s="99">
        <f ca="1">IF(P46&lt;$A$4,(VLOOKUP(P46,$A$11:$B$52,2,0)*$S$12),(S45-(Q46+R46)))</f>
        <v>50611.82611470866</v>
      </c>
      <c r="U46" s="80">
        <f>P46</f>
        <v>45047</v>
      </c>
      <c r="V46" s="97">
        <f ca="1">IF(U46&lt;$A$4,0,(YEARFRAC($A$4,U46,1)))</f>
        <v>7.0609171800136892</v>
      </c>
      <c r="W46" s="141">
        <f ca="1">V46*(S45-S46)</f>
        <v>65934.754894782483</v>
      </c>
    </row>
    <row r="47" spans="1:23">
      <c r="A47" s="31"/>
      <c r="B47" s="31"/>
      <c r="D47" s="70" t="str">
        <f ca="1">IF(E47&lt;$A$4,"Actual","Model Num")</f>
        <v>Model Num</v>
      </c>
      <c r="E47" s="71">
        <f>DATE(YEAR(E46),MONTH(E46)+6,DAY(E46))</f>
        <v>45231</v>
      </c>
      <c r="F47" s="74">
        <f ca="1">MAX(IF(ISERROR(VLOOKUP(E47,$A$12:$B$52,2,0)),VLOOKUP(E47,$P$11:$S$52,4,0)/1000000,(VLOOKUP(E47,$A$12:$B$52,2,0))),0)</f>
        <v>4.1509287518455423E-2</v>
      </c>
      <c r="G47" s="128">
        <f ca="1">F47*1000000</f>
        <v>41509.287518455421</v>
      </c>
      <c r="I47" s="80">
        <f>E47</f>
        <v>45231</v>
      </c>
      <c r="J47" s="210">
        <f>$M$12*$N$7</f>
        <v>42808.98</v>
      </c>
      <c r="K47" s="88">
        <f>($F$7/360)*($O$2/100)*M46</f>
        <v>6821.0821823791084</v>
      </c>
      <c r="L47" s="90">
        <f>J47-K47</f>
        <v>35987.897817620891</v>
      </c>
      <c r="M47" s="79">
        <f>M46-L47</f>
        <v>196416.94655645435</v>
      </c>
      <c r="N47" s="126">
        <f>L47/M46</f>
        <v>0.15485003298681385</v>
      </c>
      <c r="O47" s="52"/>
      <c r="P47" s="80">
        <f>I47</f>
        <v>45231</v>
      </c>
      <c r="Q47" s="97">
        <f ca="1">S46*N47</f>
        <v>7837.2429433855223</v>
      </c>
      <c r="R47" s="98">
        <f ca="1">S46*$C$2/2</f>
        <v>1265.2956528677166</v>
      </c>
      <c r="S47" s="99">
        <f ca="1">IF(P47&lt;$A$4,(VLOOKUP(P47,$A$11:$B$52,2,0)*$S$12),(S46-(Q47+R47)))</f>
        <v>41509.287518455421</v>
      </c>
      <c r="U47" s="80">
        <f>P47</f>
        <v>45231</v>
      </c>
      <c r="V47" s="97">
        <f ca="1">IF(U47&lt;$A$4,0,(YEARFRAC($A$4,U47,1)))</f>
        <v>7.5646817248459959</v>
      </c>
      <c r="W47" s="141">
        <f ca="1">V47*(S46-S47)</f>
        <v>68857.807368782189</v>
      </c>
    </row>
    <row r="48" spans="1:23">
      <c r="A48" s="31"/>
      <c r="B48" s="31"/>
      <c r="D48" s="70" t="str">
        <f ca="1">IF(E48&lt;$A$4,"Actual","Model Num")</f>
        <v>Model Num</v>
      </c>
      <c r="E48" s="71">
        <f>DATE(YEAR(E47),MONTH(E47)+6,DAY(E47))</f>
        <v>45413</v>
      </c>
      <c r="F48" s="74">
        <f ca="1">MAX(IF(ISERROR(VLOOKUP(E48,$A$12:$B$52,2,0)),VLOOKUP(E48,$P$11:$S$52,4,0)/1000000,(VLOOKUP(E48,$A$12:$B$52,2,0))),0)</f>
        <v>3.264292346452187E-2</v>
      </c>
      <c r="G48" s="128">
        <f ca="1">F48*1000000</f>
        <v>32642.923464521871</v>
      </c>
      <c r="I48" s="80">
        <f>E48</f>
        <v>45413</v>
      </c>
      <c r="J48" s="210">
        <f>$M$12*$N$7</f>
        <v>42808.98</v>
      </c>
      <c r="K48" s="88">
        <f>($F$7/360)*($O$2/100)*M47</f>
        <v>5764.8373814319357</v>
      </c>
      <c r="L48" s="90">
        <f>J48-K48</f>
        <v>37044.142618568068</v>
      </c>
      <c r="M48" s="79">
        <f>M47-L48</f>
        <v>159372.80393788629</v>
      </c>
      <c r="N48" s="126">
        <f>L48/M47</f>
        <v>0.18859952396175148</v>
      </c>
      <c r="O48" s="52"/>
      <c r="P48" s="80">
        <f>I48</f>
        <v>45413</v>
      </c>
      <c r="Q48" s="97">
        <f ca="1">S47*N48</f>
        <v>7828.6318659721646</v>
      </c>
      <c r="R48" s="98">
        <f ca="1">S47*$C$2/2</f>
        <v>1037.7321879613855</v>
      </c>
      <c r="S48" s="99">
        <f ca="1">IF(P48&lt;$A$4,(VLOOKUP(P48,$A$11:$B$52,2,0)*$S$12),(S47-(Q48+R48)))</f>
        <v>32642.923464521871</v>
      </c>
      <c r="U48" s="80">
        <f>P48</f>
        <v>45413</v>
      </c>
      <c r="V48" s="97">
        <f ca="1">IF(U48&lt;$A$4,0,(YEARFRAC($A$4,U48,1)))</f>
        <v>8.0611313868613141</v>
      </c>
      <c r="W48" s="141">
        <f ca="1">V48*(S47-S48)</f>
        <v>71472.925562502656</v>
      </c>
    </row>
    <row r="49" spans="1:23">
      <c r="A49" s="31"/>
      <c r="B49" s="31"/>
      <c r="D49" s="70" t="str">
        <f ca="1">IF(E49&lt;$A$4,"Actual","Model Num")</f>
        <v>Model Num</v>
      </c>
      <c r="E49" s="71">
        <f>DATE(YEAR(E48),MONTH(E48)+6,DAY(E48))</f>
        <v>45597</v>
      </c>
      <c r="F49" s="74">
        <f ca="1">MAX(IF(ISERROR(VLOOKUP(E49,$A$12:$B$52,2,0)),VLOOKUP(E49,$P$11:$S$52,4,0)/1000000,(VLOOKUP(E49,$A$12:$B$52,2,0))),0)</f>
        <v>2.4016735000644905E-2</v>
      </c>
      <c r="G49" s="128">
        <f ca="1">F49*1000000</f>
        <v>24016.735000644905</v>
      </c>
      <c r="I49" s="80">
        <f>E49</f>
        <v>45597</v>
      </c>
      <c r="J49" s="210">
        <f>$M$12*$N$7</f>
        <v>42808.98</v>
      </c>
      <c r="K49" s="88">
        <f>($F$7/360)*($O$2/100)*M48</f>
        <v>4677.5917955769628</v>
      </c>
      <c r="L49" s="90">
        <f>J49-K49</f>
        <v>38131.388204423041</v>
      </c>
      <c r="M49" s="79">
        <f>M48-L49</f>
        <v>121241.41573346325</v>
      </c>
      <c r="N49" s="126">
        <f>L49/M48</f>
        <v>0.23925906592748603</v>
      </c>
      <c r="O49" s="52"/>
      <c r="P49" s="80">
        <f>I49</f>
        <v>45597</v>
      </c>
      <c r="Q49" s="97">
        <f ca="1">S48*N49</f>
        <v>7810.1153772639191</v>
      </c>
      <c r="R49" s="98">
        <f ca="1">S48*$C$2/2</f>
        <v>816.07308661304683</v>
      </c>
      <c r="S49" s="99">
        <f ca="1">IF(P49&lt;$A$4,(VLOOKUP(P49,$A$11:$B$52,2,0)*$S$12),(S48-(Q49+R49)))</f>
        <v>24016.735000644905</v>
      </c>
      <c r="U49" s="80">
        <f>P49</f>
        <v>45597</v>
      </c>
      <c r="V49" s="97">
        <f ca="1">IF(U49&lt;$A$4,0,(YEARFRAC($A$4,U49,1)))</f>
        <v>8.5647810218978115</v>
      </c>
      <c r="W49" s="141">
        <f ca="1">V49*(S48-S49)</f>
        <v>73881.41524672728</v>
      </c>
    </row>
    <row r="50" spans="1:23">
      <c r="A50" s="31"/>
      <c r="B50" s="31"/>
      <c r="D50" s="70" t="str">
        <f ca="1">IF(E50&lt;$A$4,"Actual","Model Num")</f>
        <v>Model Num</v>
      </c>
      <c r="E50" s="71">
        <f>DATE(YEAR(E49),MONTH(E49)+6,DAY(E49))</f>
        <v>45778</v>
      </c>
      <c r="F50" s="74">
        <f ca="1">MAX(IF(ISERROR(VLOOKUP(E50,$A$12:$B$52,2,0)),VLOOKUP(E50,$P$11:$S$52,4,0)/1000000,(VLOOKUP(E50,$A$12:$B$52,2,0))),0)</f>
        <v>1.5641168843485057E-2</v>
      </c>
      <c r="G50" s="128">
        <f ca="1">F50*1000000</f>
        <v>15641.168843485057</v>
      </c>
      <c r="I50" s="80">
        <f>E50</f>
        <v>45778</v>
      </c>
      <c r="J50" s="210">
        <f>$M$12*$N$7</f>
        <v>42808.98</v>
      </c>
      <c r="K50" s="88">
        <f>($F$7/360)*($O$2/100)*M49</f>
        <v>3558.4355517771464</v>
      </c>
      <c r="L50" s="90">
        <f>J50-K50</f>
        <v>39250.544448222856</v>
      </c>
      <c r="M50" s="79">
        <f>M49-L50</f>
        <v>81990.871285240399</v>
      </c>
      <c r="N50" s="126">
        <f>L50/M49</f>
        <v>0.32373875058099894</v>
      </c>
      <c r="O50" s="52"/>
      <c r="P50" s="80">
        <f>I50</f>
        <v>45778</v>
      </c>
      <c r="Q50" s="97">
        <f ca="1">S49*N50</f>
        <v>7775.1477821437284</v>
      </c>
      <c r="R50" s="98">
        <f ca="1">S49*$C$2/2</f>
        <v>600.4183750161227</v>
      </c>
      <c r="S50" s="99">
        <f ca="1">IF(P50&lt;$A$4,(VLOOKUP(P50,$A$11:$B$52,2,0)*$S$12),(S49-(Q50+R50)))</f>
        <v>15641.168843485055</v>
      </c>
      <c r="U50" s="80">
        <f>P50</f>
        <v>45778</v>
      </c>
      <c r="V50" s="97">
        <f ca="1">IF(U50&lt;$A$4,0,(YEARFRAC($A$4,U50,1)))</f>
        <v>9.0610457158499855</v>
      </c>
      <c r="W50" s="141">
        <f ca="1">V50*(S49-S50)</f>
        <v>75891.387846151381</v>
      </c>
    </row>
    <row r="51" spans="1:23">
      <c r="A51" s="31"/>
      <c r="B51" s="31"/>
      <c r="D51" s="70" t="str">
        <f ca="1">IF(E51&lt;$A$4,"Actual","Model Num")</f>
        <v>Model Num</v>
      </c>
      <c r="E51" s="71">
        <f>DATE(YEAR(E50),MONTH(E50)+6,DAY(E50))</f>
        <v>45962</v>
      </c>
      <c r="F51" s="74">
        <f ca="1">MAX(IF(ISERROR(VLOOKUP(E51,$A$12:$B$52,2,0)),VLOOKUP(E51,$P$11:$S$52,4,0)/1000000,(VLOOKUP(E51,$A$12:$B$52,2,0))),0)</f>
        <v>7.5426587292276252E-3</v>
      </c>
      <c r="G51" s="128">
        <f ca="1">F51*1000000</f>
        <v>7542.6587292276254</v>
      </c>
      <c r="I51" s="80">
        <f>E51</f>
        <v>45962</v>
      </c>
      <c r="J51" s="210">
        <f>$M$12*$N$7</f>
        <v>42808.98</v>
      </c>
      <c r="K51" s="88">
        <f>($F$7/360)*($O$2/100)*M50</f>
        <v>2406.4320722218058</v>
      </c>
      <c r="L51" s="90">
        <f>J51-K51</f>
        <v>40402.5479277782</v>
      </c>
      <c r="M51" s="79">
        <f>M50-L51</f>
        <v>41588.323357462199</v>
      </c>
      <c r="N51" s="126">
        <f>L51/M50</f>
        <v>0.49276885700141682</v>
      </c>
      <c r="O51" s="52"/>
      <c r="P51" s="80">
        <f>I51</f>
        <v>45962</v>
      </c>
      <c r="Q51" s="97">
        <f ca="1">S50*N51</f>
        <v>7707.4808931703028</v>
      </c>
      <c r="R51" s="98">
        <f ca="1">S50*$C$2/2</f>
        <v>391.02922108712642</v>
      </c>
      <c r="S51" s="99">
        <f ca="1">IF(P51&lt;$A$4,(VLOOKUP(P51,$A$11:$B$52,2,0)*$S$12),(S50-(Q51+R51)))</f>
        <v>7542.6587292276254</v>
      </c>
      <c r="U51" s="80">
        <f>P51</f>
        <v>45962</v>
      </c>
      <c r="V51" s="97">
        <f ca="1">IF(U51&lt;$A$4,0,(YEARFRAC($A$4,U51,1)))</f>
        <v>9.5647413085135504</v>
      </c>
      <c r="W51" s="141">
        <f ca="1">V51*(S50-S51)</f>
        <v>77460.154227252831</v>
      </c>
    </row>
    <row r="52" spans="1:23" s="82" customFormat="1" ht="13.5" thickBot="1">
      <c r="A52" s="81"/>
      <c r="B52" s="81"/>
      <c r="D52" s="70" t="str">
        <f ca="1">IF(E52&lt;$A$4,"Actual","Model Num")</f>
        <v>Model Num</v>
      </c>
      <c r="E52" s="71">
        <f>DATE(YEAR(E51),MONTH(E51)+6,DAY(E51))</f>
        <v>46143</v>
      </c>
      <c r="F52" s="74">
        <f>MAX(IF(ISERROR(VLOOKUP(E52,$A$12:$B$52,2,0)),VLOOKUP(E52,$P$11:$S$52,4,0)/1000000,(VLOOKUP(E52,$A$12:$B$52,2,0))),0)</f>
        <v>0</v>
      </c>
      <c r="G52" s="75">
        <f>F52*1000000</f>
        <v>0</v>
      </c>
      <c r="H52" s="83"/>
      <c r="I52" s="80">
        <f>E52</f>
        <v>46143</v>
      </c>
      <c r="J52" s="211">
        <f>$M$12*$N$7</f>
        <v>42808.98</v>
      </c>
      <c r="K52" s="89">
        <f>($F$7/360)*($O$2/100)*M51</f>
        <v>1220.6172905415156</v>
      </c>
      <c r="L52" s="91">
        <f>J52-K52</f>
        <v>41588.362709458488</v>
      </c>
      <c r="M52" s="85">
        <f>M51-L52</f>
        <v>-3.935199628904229E-2</v>
      </c>
      <c r="N52" s="127">
        <f>L52/M51</f>
        <v>1.0000009462270443</v>
      </c>
      <c r="O52" s="86"/>
      <c r="P52" s="84">
        <f>I52</f>
        <v>46143</v>
      </c>
      <c r="Q52" s="100">
        <f ca="1">S51*N52</f>
        <v>7542.6658662953005</v>
      </c>
      <c r="R52" s="98">
        <f ca="1">S51*$C$2/2</f>
        <v>188.56646823069065</v>
      </c>
      <c r="S52" s="102">
        <v>0</v>
      </c>
      <c r="U52" s="142">
        <f>P52</f>
        <v>46143</v>
      </c>
      <c r="V52" s="143">
        <f ca="1">IF(U52&lt;$A$4,0,(YEARFRAC($A$4,U52,1)))</f>
        <v>10.060975609756099</v>
      </c>
      <c r="W52" s="141">
        <f ca="1">V52*(S51-S52)</f>
        <v>75886.505507473077</v>
      </c>
    </row>
    <row r="53" spans="1:23">
      <c r="A53" s="31"/>
      <c r="B53" s="31"/>
    </row>
  </sheetData>
  <mergeCells count="5">
    <mergeCell ref="U10:W10"/>
    <mergeCell ref="A10:B10"/>
    <mergeCell ref="D10:G10"/>
    <mergeCell ref="I10:N10"/>
    <mergeCell ref="P10:S10"/>
  </mergeCells>
  <phoneticPr fontId="2" type="noConversion"/>
  <conditionalFormatting sqref="A1:XFD2 D12:G52">
    <cfRule type="expression" dxfId="3" priority="1" stopIfTrue="1">
      <formula>$D1="Actual"</formula>
    </cfRule>
  </conditionalFormatting>
  <conditionalFormatting sqref="A4">
    <cfRule type="expression" dxfId="2" priority="2" stopIfTrue="1">
      <formula>#REF!="Actual"</formula>
    </cfRule>
  </conditionalFormatting>
  <conditionalFormatting sqref="C6:C9">
    <cfRule type="cellIs" dxfId="1" priority="3" stopIfTrue="1" operator="equal">
      <formula>"PROB!!"</formula>
    </cfRule>
  </conditionalFormatting>
  <conditionalFormatting sqref="A7">
    <cfRule type="expression" dxfId="0" priority="4" stopIfTrue="1">
      <formula>A7="Warning - Update"</formula>
    </cfRule>
  </conditionalFormatting>
  <pageMargins left="0.75" right="0.75" top="1" bottom="1" header="0.5" footer="0.5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O15"/>
  <sheetViews>
    <sheetView workbookViewId="0"/>
  </sheetViews>
  <sheetFormatPr defaultRowHeight="12.75"/>
  <cols>
    <col min="1" max="1" width="15.140625" bestFit="1" customWidth="1"/>
    <col min="2" max="2" width="22.140625" bestFit="1" customWidth="1"/>
    <col min="3" max="3" width="22.140625" customWidth="1"/>
    <col min="4" max="4" width="18.5703125" customWidth="1"/>
  </cols>
  <sheetData>
    <row r="2" spans="1:15">
      <c r="A2" s="196" t="s">
        <v>19</v>
      </c>
      <c r="B2" s="196" t="s">
        <v>168</v>
      </c>
      <c r="C2" s="196" t="s">
        <v>170</v>
      </c>
      <c r="D2" s="196" t="s">
        <v>169</v>
      </c>
      <c r="E2" s="214" t="s">
        <v>171</v>
      </c>
      <c r="F2" t="e">
        <f>_xll.BDP($B2&amp;" Mtge Cusip",F$1)</f>
        <v>#N/A</v>
      </c>
      <c r="I2" t="e">
        <f>_xll.BDP($B2&amp;" Mtge Cusip",I$1)</f>
        <v>#N/A</v>
      </c>
      <c r="J2" t="e">
        <f>_xll.BDP($B2&amp;" Mtge Cusip",J$1)</f>
        <v>#N/A</v>
      </c>
      <c r="K2" t="e">
        <f>_xll.BDP($B2&amp;" Mtge Cusip",K$1)</f>
        <v>#N/A</v>
      </c>
      <c r="L2" t="e">
        <f>_xll.BDP($B2&amp;" Mtge Cusip",L$1)</f>
        <v>#N/A</v>
      </c>
      <c r="M2" t="e">
        <f>_xll.BDP($B2&amp;" Mtge Cusip",M$1)</f>
        <v>#N/A</v>
      </c>
      <c r="N2" t="e">
        <f>_xll.BDP($B2&amp;" Mtge Cusip",N$1)</f>
        <v>#N/A</v>
      </c>
      <c r="O2" t="e">
        <f>_xll.BDP($B2&amp;" Mtge Cusip",O$1)</f>
        <v>#N/A</v>
      </c>
    </row>
    <row r="3" spans="1:15">
      <c r="A3" s="25" t="s">
        <v>16</v>
      </c>
      <c r="B3" s="25">
        <v>5.5541937814128968</v>
      </c>
      <c r="C3" t="str">
        <f>_xll.BDP($A3&amp;" Equity ISIN",C$2)</f>
        <v>Mtge</v>
      </c>
      <c r="D3" t="str">
        <f>_xll.BDP($A3&amp;" Equity ISIN",D$2)</f>
        <v>SBAP 2007-20I 1</v>
      </c>
      <c r="E3" s="215">
        <f>_xll.BDP($A3&amp;" mtge ISIN",E$2,"ALLOW_DYNAMIC_CASHFLOW_CALCS ","Y","MTG PREPAY SPEED",5,"MTG PREPAY TYP","CPR")</f>
        <v>5.35</v>
      </c>
    </row>
    <row r="4" spans="1:15">
      <c r="A4" s="25" t="s">
        <v>14</v>
      </c>
      <c r="B4" s="25">
        <v>5.4996457201204771</v>
      </c>
      <c r="C4" t="str">
        <f>_xll.BDP($A4&amp;" Equity ISIN",C$2)</f>
        <v>Mtge</v>
      </c>
      <c r="D4" t="str">
        <f>_xll.BDP(A4&amp;" Equity ISIN",$D$2)</f>
        <v>SBAP 2007-20E 1</v>
      </c>
      <c r="E4" s="215">
        <f>_xll.BDP($A4&amp;" mtge ISIN",E$2,"ALLOW_DYNAMIC_CASHFLOW_CALCS ","Y","MTG PREPAY SPEED",5,"MTG PREPAY TYP","CPR")</f>
        <v>5</v>
      </c>
    </row>
    <row r="5" spans="1:15">
      <c r="A5" s="25" t="s">
        <v>9</v>
      </c>
      <c r="B5" s="25">
        <v>5.3673179781611964</v>
      </c>
      <c r="C5" t="str">
        <f>_xll.BDP($A5&amp;" Equity ISIN",C$2)</f>
        <v>Mtge</v>
      </c>
      <c r="D5" t="str">
        <f>_xll.BDP(A5&amp;" Equity ISIN",$D$2)</f>
        <v>SBAP 2006-20L 1</v>
      </c>
      <c r="E5" s="215">
        <f>_xll.BDP($A5&amp;" mtge ISIN",E$2,"ALLOW_DYNAMIC_CASHFLOW_CALCS ","Y","MTG PREPAY SPEED",5,"MTG PREPAY TYP","CPR")</f>
        <v>4.8599999999999994</v>
      </c>
    </row>
    <row r="6" spans="1:15">
      <c r="A6" s="25" t="s">
        <v>12</v>
      </c>
      <c r="B6" s="25" t="str">
        <f>_xll.BDP(B2&amp;" Mtge Cusip",$B$5)</f>
        <v>#N/A Invalid Security</v>
      </c>
      <c r="C6" t="str">
        <f>_xll.BDP($A6&amp;" Equity ISIN",C$2)</f>
        <v>Mtge</v>
      </c>
      <c r="D6" t="str">
        <f>_xll.BDP(A6&amp;" Equity ISIN",$D$2)</f>
        <v>SBAP 2007-20C 1</v>
      </c>
      <c r="E6" s="215">
        <f>_xll.BDP($A6&amp;" mtge ISIN",E$2,"ALLOW_DYNAMIC_CASHFLOW_CALCS ","Y","MTG PREPAY SPEED",5,"MTG PREPAY TYP","CPR")</f>
        <v>5.1199999999999992</v>
      </c>
    </row>
    <row r="7" spans="1:15">
      <c r="A7" s="25" t="s">
        <v>3</v>
      </c>
      <c r="B7" s="25">
        <v>4.3599665825234579</v>
      </c>
      <c r="C7" t="str">
        <f>_xll.BDP($A7&amp;" Equity ISIN",C$2)</f>
        <v>Mtge</v>
      </c>
      <c r="D7" t="str">
        <f>_xll.BDP(A7&amp;" Equity ISIN",$D$2)</f>
        <v>SBAP 2004-20F 1</v>
      </c>
      <c r="E7" s="215">
        <f>_xll.BDP($A7&amp;" mtge ISIN",E$2,"ALLOW_DYNAMIC_CASHFLOW_CALCS ","Y","MTG PREPAY SPEED",5,"MTG PREPAY TYP","CPR")</f>
        <v>3.84</v>
      </c>
    </row>
    <row r="8" spans="1:15">
      <c r="A8" s="25" t="s">
        <v>5</v>
      </c>
      <c r="B8" s="25">
        <v>4.7930219983071298</v>
      </c>
      <c r="C8" t="str">
        <f>_xll.BDP($A8&amp;" Equity ISIN",C$2)</f>
        <v>Mtge</v>
      </c>
      <c r="D8" t="str">
        <f>_xll.BDP(A8&amp;" Equity ISIN",$D$2)</f>
        <v>SBAP 2005-20J 1</v>
      </c>
      <c r="E8" s="215">
        <f>_xll.BDP($A8&amp;" mtge ISIN",E$2,"ALLOW_DYNAMIC_CASHFLOW_CALCS ","Y","MTG PREPAY SPEED",5,"MTG PREPAY TYP","CPR")</f>
        <v>4.58</v>
      </c>
    </row>
    <row r="9" spans="1:15">
      <c r="A9" s="25" t="s">
        <v>2</v>
      </c>
      <c r="B9" s="25">
        <v>3.6976698078929897</v>
      </c>
      <c r="C9" t="str">
        <f>_xll.BDP($A9&amp;" Equity ISIN",C$2)</f>
        <v>Mtge</v>
      </c>
      <c r="D9" t="str">
        <f>_xll.BDP(A9&amp;" Equity ISIN",$D$2)</f>
        <v>SBAP 2002-20L 1</v>
      </c>
      <c r="E9" s="215">
        <f>_xll.BDP($A9&amp;" mtge ISIN",E$2,"ALLOW_DYNAMIC_CASHFLOW_CALCS ","Y","MTG PREPAY SPEED",5,"MTG PREPAY TYP","CPR")</f>
        <v>3.17</v>
      </c>
    </row>
    <row r="10" spans="1:15">
      <c r="A10" s="25" t="s">
        <v>13</v>
      </c>
      <c r="B10" s="25">
        <v>5.4169828338979737</v>
      </c>
      <c r="C10" t="str">
        <f>_xll.BDP($A10&amp;" Equity ISIN",C$2)</f>
        <v>Mtge</v>
      </c>
      <c r="D10" t="str">
        <f>_xll.BDP(A10&amp;" Equity ISIN",$D$2)</f>
        <v>SBAP 2007-20D 1</v>
      </c>
      <c r="E10" s="215">
        <f>_xll.BDP($A10&amp;" mtge ISIN",E$2,"ALLOW_DYNAMIC_CASHFLOW_CALCS ","Y","MTG PREPAY SPEED",5,"MTG PREPAY TYP","CPR")</f>
        <v>5.21</v>
      </c>
    </row>
    <row r="11" spans="1:15">
      <c r="A11" s="25" t="s">
        <v>15</v>
      </c>
      <c r="B11" s="25">
        <v>5.4116196193294401</v>
      </c>
      <c r="C11" t="str">
        <f>_xll.BDP($A11&amp;" Equity ISIN",C$2)</f>
        <v>Mtge</v>
      </c>
      <c r="D11" t="str">
        <f>_xll.BDP(A11&amp;" Equity ISIN",$D$2)</f>
        <v>SBAP 2007-20G 1</v>
      </c>
      <c r="E11" s="215">
        <f>_xll.BDP($A11&amp;" mtge ISIN",E$2,"ALLOW_DYNAMIC_CASHFLOW_CALCS ","Y","MTG PREPAY SPEED",5,"MTG PREPAY TYP","CPR")</f>
        <v>5.2</v>
      </c>
    </row>
    <row r="12" spans="1:15">
      <c r="A12" s="25" t="e">
        <f>_xll.BDS($B2&amp;" Mtge Cusip",A11)</f>
        <v>#N/A</v>
      </c>
      <c r="B12" s="25">
        <v>5.2668461983724857</v>
      </c>
      <c r="C12" t="e">
        <f>_xll.BDP($A12&amp;" Equity ISIN",C$2)</f>
        <v>#N/A</v>
      </c>
      <c r="D12" t="e">
        <f>_xll.BDP(A12&amp;" Equity ISIN",$D$2)</f>
        <v>#N/A</v>
      </c>
      <c r="E12" s="215" t="e">
        <f>_xll.BDP($A12&amp;" mtge ISIN",E$2,"ALLOW_DYNAMIC_CASHFLOW_CALCS ","Y","MTG PREPAY SPEED",5,"MTG PREPAY TYP","CPR")</f>
        <v>#N/A</v>
      </c>
      <c r="F12" t="e">
        <f>MAX(IF(ISERROR(VLOOKUP(E12,$A$12:$B$52,2,0)),VLOOKUP(E12,$P$11:$S$52,4,0)/1000000,(VLOOKUP(E12,$A$12:$B$52,2,0))),0)</f>
        <v>#N/A</v>
      </c>
    </row>
    <row r="13" spans="1:15">
      <c r="A13" s="25" t="s">
        <v>4</v>
      </c>
      <c r="B13" s="25">
        <v>4.1362583618059308</v>
      </c>
      <c r="C13" t="str">
        <f>_xll.BDP($A13&amp;" Equity ISIN",C$2)</f>
        <v>Mtge</v>
      </c>
      <c r="D13" t="str">
        <f>_xll.BDP(A13&amp;" Equity ISIN",$D$2)</f>
        <v>SBAP 2004-20G 1</v>
      </c>
      <c r="E13" s="215">
        <f>_xll.BDP($A13&amp;" mtge ISIN",E$2,"ALLOW_DYNAMIC_CASHFLOW_CALCS ","Y","MTG PREPAY SPEED",5,"MTG PREPAY TYP","CPR")</f>
        <v>3.9099999999999997</v>
      </c>
      <c r="F13" t="e">
        <f>MAX(IF(ISERROR(VLOOKUP(E13,$A$12:$B$52,2,0)),VLOOKUP(E13,$P$11:$S$52,4,0)/1000000,(VLOOKUP(E13,$A$12:$B$52,2,0))),0)</f>
        <v>#N/A</v>
      </c>
    </row>
    <row r="14" spans="1:15">
      <c r="A14" s="25" t="s">
        <v>8</v>
      </c>
      <c r="B14" s="25">
        <v>5.0815154809362859</v>
      </c>
      <c r="C14" t="str">
        <f>_xll.BDP($A14&amp;" Equity ISIN",C$2)</f>
        <v>Mtge</v>
      </c>
      <c r="D14" t="str">
        <f>_xll.BDP(A14&amp;" Equity ISIN",$D$2)</f>
        <v>SBAP 2006-20H 1</v>
      </c>
      <c r="E14" s="215">
        <f>_xll.BDP($A14&amp;" mtge ISIN",E$2,"ALLOW_DYNAMIC_CASHFLOW_CALCS ","Y","MTG PREPAY SPEED",5,"MTG PREPAY TYP","CPR")</f>
        <v>4.87</v>
      </c>
      <c r="F14" t="e">
        <f>MAX(IF(ISERROR(VLOOKUP(E14,$A$12:$B$52,2,0)),VLOOKUP(E14,$P$11:$S$52,4,0)/1000000,(VLOOKUP(E14,$A$12:$B$52,2,0))),0)</f>
        <v>#N/A</v>
      </c>
    </row>
    <row r="15" spans="1:15">
      <c r="A15" s="25" t="s">
        <v>6</v>
      </c>
      <c r="B15" s="25">
        <v>4.8949321794821579</v>
      </c>
      <c r="C15" t="str">
        <f>_xll.BDP($A15&amp;" Equity ISIN",C$2)</f>
        <v>Mtge</v>
      </c>
      <c r="D15" t="str">
        <f>_xll.BDP(A15&amp;" Equity ISIN",$D$2)</f>
        <v>SBAP 2005-20K 1</v>
      </c>
      <c r="E15" s="215">
        <f>_xll.BDP($A15&amp;" mtge ISIN",E$2,"ALLOW_DYNAMIC_CASHFLOW_CALCS ","Y","MTG PREPAY SPEED",5,"MTG PREPAY TYP","CPR")</f>
        <v>4.3899999999999997</v>
      </c>
      <c r="F15" t="e">
        <f>MAX(IF(ISERROR(VLOOKUP(E15,$A$12:$B$52,2,0)),VLOOKUP(E15,$P$11:$S$52,4,0)/1000000,(VLOOKUP(E15,$A$12:$B$52,2,0))),0)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</vt:i4>
      </vt:variant>
    </vt:vector>
  </HeadingPairs>
  <TitlesOfParts>
    <vt:vector size="29" baseType="lpstr">
      <vt:lpstr>Cover Sheet</vt:lpstr>
      <vt:lpstr>Text File Generator</vt:lpstr>
      <vt:lpstr>Bond Position per Summit</vt:lpstr>
      <vt:lpstr>Workings</vt:lpstr>
      <vt:lpstr>01 - US83162CRG05</vt:lpstr>
      <vt:lpstr>02 - US83162CRA35</vt:lpstr>
      <vt:lpstr>03 - US83162CQS51</vt:lpstr>
      <vt:lpstr>04 - US83162CQX47</vt:lpstr>
      <vt:lpstr>05 - US83162CNU35</vt:lpstr>
      <vt:lpstr>06- US83162CPV99</vt:lpstr>
      <vt:lpstr>07 - US83162CMR15</vt:lpstr>
      <vt:lpstr>08 - US83162CQY20</vt:lpstr>
      <vt:lpstr>09 - 83162CRD7</vt:lpstr>
      <vt:lpstr>10 - US83162CQV80</vt:lpstr>
      <vt:lpstr>11 - US83162CNW90</vt:lpstr>
      <vt:lpstr>12 - US83162CQL09</vt:lpstr>
      <vt:lpstr>13 - US83162CPX55</vt:lpstr>
      <vt:lpstr>14 - US83162CQE65</vt:lpstr>
      <vt:lpstr>15 - US83162CQA44</vt:lpstr>
      <vt:lpstr>16 - US83162CPU17</vt:lpstr>
      <vt:lpstr>17 - US83162CPY39</vt:lpstr>
      <vt:lpstr>18 - US83162CQB27</vt:lpstr>
      <vt:lpstr>19 - US83162CQH96</vt:lpstr>
      <vt:lpstr>20 - US83162CRE56</vt:lpstr>
      <vt:lpstr>21 - US83162CQG14</vt:lpstr>
      <vt:lpstr>WALs</vt:lpstr>
      <vt:lpstr>Mtge_Cusip</vt:lpstr>
      <vt:lpstr>Today</vt:lpstr>
      <vt:lpstr>today_text</vt:lpstr>
    </vt:vector>
  </TitlesOfParts>
  <Company>Hypo Real Estate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Nkennedy</dc:creator>
  <cp:lastModifiedBy>MRP</cp:lastModifiedBy>
  <cp:lastPrinted>2009-02-12T16:24:23Z</cp:lastPrinted>
  <dcterms:created xsi:type="dcterms:W3CDTF">2008-01-02T21:22:51Z</dcterms:created>
  <dcterms:modified xsi:type="dcterms:W3CDTF">2016-04-08T13:31:55Z</dcterms:modified>
</cp:coreProperties>
</file>